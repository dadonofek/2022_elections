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9ffdc5d2b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יכום" sheetId="1" r:id="R334b5311badf412c"/>
    <x:sheet xmlns:r="http://schemas.openxmlformats.org/officeDocument/2006/relationships" name="אתרים" sheetId="2" r:id="Rff08cf43d8db427f"/>
    <x:sheet xmlns:r="http://schemas.openxmlformats.org/officeDocument/2006/relationships" name="התאמות" sheetId="3" r:id="R1ee5f2a10edc4abf"/>
    <x:sheet xmlns:r="http://schemas.openxmlformats.org/officeDocument/2006/relationships" name="קלפיות" sheetId="4" r:id="R5c3d78231fac4c0c"/>
    <x:sheet xmlns:r="http://schemas.openxmlformats.org/officeDocument/2006/relationships" name="מקורות וסיווג" sheetId="5" r:id="R9c41732e184c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"/>
    <x:numFmt numFmtId="203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664D03"/>
      <x:name val="Carlito"/>
    </x:font>
    <x:font>
      <x:b/>
      <x:sz val="11"/>
      <x:color rgb="FFFFFFFF"/>
      <x:name val="Carlito"/>
    </x:font>
    <x:font>
      <x:b/>
      <x:sz val="11"/>
      <x:color rgb="FF153B5B"/>
      <x:name val="Carlito"/>
    </x:font>
    <x:font>
      <x:sz val="11"/>
      <x:color rgb="FF153B5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FFF2CC"/>
      </x:patternFill>
    </x:fill>
    <x:fill>
      <x:patternFill patternType="solid">
        <x:fgColor rgb="FF0B7285"/>
      </x:patternFill>
    </x:fill>
    <x:fill>
      <x:patternFill patternType="solid">
        <x:fgColor rgb="FFDCEFF7"/>
      </x:patternFill>
    </x:fill>
  </x:fills>
  <x:borders count="2">
    <x:border/>
    <x:border>
      <x:left style="thin">
        <x:color rgb="FFCCD6DD"/>
      </x:left>
      <x:right style="thin">
        <x:color rgb="FFCCD6DD"/>
      </x:right>
      <x:top style="thin">
        <x:color rgb="FFCCD6DD"/>
      </x:top>
      <x:bottom style="thin">
        <x:color rgb="FFCCD6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/>
    </x:xf>
    <x:xf numFmtId="203" fontId="0" fillId="0" borderId="1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right" wrapText="1"/>
    </x:xf>
    <x:xf numFmtId="0" fontId="5" fillId="5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664D03"/>
      </x:font>
      <x:fill>
        <x:patternFill patternType="solid">
          <x:bgColor rgb="FFFFF2CC"/>
        </x:patternFill>
      </x:fill>
    </x:dxf>
    <x:dxf>
      <x:font>
        <x:b/>
        <x:color rgb="FF9C2B1B"/>
      </x:font>
      <x:fill>
        <x:patternFill patternType="solid">
          <x:bgColor rgb="FFFCE8E6"/>
        </x:patternFill>
      </x:fill>
    </x:dxf>
    <x:dxf>
      <x:font>
        <x:b/>
        <x:color rgb="FF664D03"/>
      </x:font>
      <x:fill>
        <x:patternFill patternType="solid">
          <x:bgColor rgb="FFFFF2CC"/>
        </x:patternFill>
      </x:fill>
    </x:dxf>
    <x:dxf>
      <x:font>
        <x:b/>
        <x:color rgb="FF9C2B1B"/>
      </x:font>
      <x:fill>
        <x:patternFill patternType="solid">
          <x:bgColor rgb="FFFCE8E6"/>
        </x:patternFill>
      </x:fill>
    </x:dxf>
    <x:dxf>
      <x:font>
        <x:b/>
        <x:color rgb="FF9C2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a8ffe165a47b5" /><Relationship Type="http://schemas.openxmlformats.org/officeDocument/2006/relationships/theme" Target="/xl/theme/theme1.xml" Id="Rb3a4aaf4f5ae4170" /><Relationship Type="http://schemas.openxmlformats.org/officeDocument/2006/relationships/sharedStrings" Target="/xl/sharedStrings.xml" Id="Rc19de5ea3d234155" /><Relationship Type="http://schemas.openxmlformats.org/officeDocument/2006/relationships/worksheet" Target="/xl/worksheets/sheet1.xml" Id="R334b5311badf412c" /><Relationship Type="http://schemas.openxmlformats.org/officeDocument/2006/relationships/worksheet" Target="/xl/worksheets/sheet2.xml" Id="Rff08cf43d8db427f" /><Relationship Type="http://schemas.openxmlformats.org/officeDocument/2006/relationships/worksheet" Target="/xl/worksheets/sheet3.xml" Id="R1ee5f2a10edc4abf" /><Relationship Type="http://schemas.openxmlformats.org/officeDocument/2006/relationships/worksheet" Target="/xl/worksheets/sheet4.xml" Id="R5c3d78231fac4c0c" /><Relationship Type="http://schemas.openxmlformats.org/officeDocument/2006/relationships/worksheet" Target="/xl/worksheets/sheet5.xml" Id="R9c41732e184c44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b209c8a16a42e5" /><Relationship Type="http://schemas.openxmlformats.org/officeDocument/2006/relationships/chart" Target="/xl/drawings/charts/chart2.xml" Id="R8a8618d1ac0e40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התפלגות רמת הביטחון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קלפיות</c:v>
          </c:tx>
          <c:cat>
            <c:strRef>
              <c:f>'סיכום'!$D$5:$D$7</c:f>
              <c:strCache>
                <c:ptCount val="0"/>
              </c:strCache>
            </c:strRef>
          </c:cat>
          <c:val>
            <c:numRef>
              <c:f>'סיכום'!$E$5:$E$7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קלפיות יעד במחקר</a:t>
            </a:r>
          </a:p>
        </c:rich>
      </c:tx>
      <c:overlay val="0"/>
    </c:title>
    <c:plotArea>
      <c:doughnutChart>
        <c:ser>
          <c:idx val="0"/>
          <c:order val="0"/>
          <c:tx>
            <c:v>קלפיות</c:v>
          </c:tx>
          <c:cat>
            <c:strRef>
              <c:f>'סיכום'!$G$5:$G$6</c:f>
              <c:strCache>
                <c:ptCount val="0"/>
              </c:strCache>
            </c:strRef>
          </c:cat>
          <c:val>
            <c:numRef>
              <c:f>'סיכום'!$H$5:$H$6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6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b209c8a16a42e5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8618d1ac0e40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itesTable" displayName="SitesTable" ref="A2:J142" headerRowCount="1" totalsRowCount="0" totalsRowShown="0">
  <x:tableColumns count="10">
    <x:tableColumn id="1" name="מס' אתר"/>
    <x:tableColumn id="2" name="שם אתר הקלפי"/>
    <x:tableColumn id="3" name="כתובת מועמדת"/>
    <x:tableColumn id="4" name="מספר קלפיות"/>
    <x:tableColumn id="5" name="מספרי קלפי"/>
    <x:tableColumn id="6" name="מספרי ברזל"/>
    <x:tableColumn id="7" name="רמת ביטחון"/>
    <x:tableColumn id="8" name="שיטת התאמה"/>
    <x:tableColumn id="9" name="מקור"/>
    <x:tableColumn id="10" name="סטטוס בדיק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esTable" displayName="MatchesTable" ref="A2:K426" headerRowCount="1" totalsRowCount="0" totalsRowShown="0">
  <x:tableColumns count="11">
    <x:tableColumn id="1" name="מספר קלפי 2022"/>
    <x:tableColumn id="2" name="מספר ברזל"/>
    <x:tableColumn id="3" name="שם אתר 2022"/>
    <x:tableColumn id="4" name="כתובת מועמדת"/>
    <x:tableColumn id="5" name="רמת ביטחון"/>
    <x:tableColumn id="6" name="שיטת התאמה"/>
    <x:tableColumn id="7" name="מקור"/>
    <x:tableColumn id="8" name="עמוד במקור"/>
    <x:tableColumn id="9" name="קלפי ייחוס 2024"/>
    <x:tableColumn id="10" name="שם אתר ייחוס"/>
    <x:tableColumn id="11" name="סטטו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llotsTable" displayName="BallotsTable" ref="A2:BG426" headerRowCount="1" totalsRowCount="0" totalsRowShown="0">
  <x:tableColumns count="59">
    <x:tableColumn id="1" name="מספר קלפי"/>
    <x:tableColumn id="2" name="מספר ברזל"/>
    <x:tableColumn id="3" name="שם אתר"/>
    <x:tableColumn id="4" name="כתובת מועמדת"/>
    <x:tableColumn id="5" name="רמת ביטחון"/>
    <x:tableColumn id="6" name="בעלי זכות"/>
    <x:tableColumn id="7" name="מצביעים"/>
    <x:tableColumn id="8" name="אחוז הצבעה"/>
    <x:tableColumn id="9" name="פסולים"/>
    <x:tableColumn id="10" name="כשרים"/>
    <x:tableColumn id="11" name="קולות קואליציית ההקמה 2022"/>
    <x:tableColumn id="12" name="קולות אופוזיציה רחבה 2022"/>
    <x:tableColumn id="13" name="שיעור קואליציה"/>
    <x:tableColumn id="14" name="שיעור אופוזיציה רחבה"/>
    <x:tableColumn id="15" name="גוש מוביל"/>
    <x:tableColumn id="16" name="קלפי יעד"/>
    <x:tableColumn id="17" name="אופוזיציה ציונית - קולות"/>
    <x:tableColumn id="18" name="רשימות ערביות - קולות"/>
    <x:tableColumn id="19" name="רשימות אחרות - קולות"/>
    <x:tableColumn id="20" name="מפלגה אמת"/>
    <x:tableColumn id="21" name="מפלגה אצ"/>
    <x:tableColumn id="22" name="מפלגה ב"/>
    <x:tableColumn id="23" name="מפלגה ג"/>
    <x:tableColumn id="24" name="מפלגה ד"/>
    <x:tableColumn id="25" name="מפלגה ום"/>
    <x:tableColumn id="26" name="מפלגה ז"/>
    <x:tableColumn id="27" name="מפלגה זך"/>
    <x:tableColumn id="28" name="מפלגה זנ"/>
    <x:tableColumn id="29" name="מפלגה זץ"/>
    <x:tableColumn id="30" name="מפלגה ט"/>
    <x:tableColumn id="31" name="מפלגה י"/>
    <x:tableColumn id="32" name="מפלגה יז"/>
    <x:tableColumn id="33" name="מפלגה ינ"/>
    <x:tableColumn id="34" name="מפלגה יץ"/>
    <x:tableColumn id="35" name="מפלגה יק"/>
    <x:tableColumn id="36" name="מפלגה כן"/>
    <x:tableColumn id="37" name="מפלגה ך"/>
    <x:tableColumn id="38" name="מפלגה ל"/>
    <x:tableColumn id="39" name="מפלגה מחל"/>
    <x:tableColumn id="40" name="מפלגה מרצ"/>
    <x:tableColumn id="41" name="מפלגה נז"/>
    <x:tableColumn id="42" name="מפלגה ני"/>
    <x:tableColumn id="43" name="מפלגה נף"/>
    <x:tableColumn id="44" name="מפלגה נץ"/>
    <x:tableColumn id="45" name="מפלגה נק"/>
    <x:tableColumn id="46" name="מפלגה נר"/>
    <x:tableColumn id="47" name="מפלגה עם"/>
    <x:tableColumn id="48" name="מפלגה פה"/>
    <x:tableColumn id="49" name="מפלגה ף"/>
    <x:tableColumn id="50" name="מפלגה צ"/>
    <x:tableColumn id="51" name="מפלגה ץ"/>
    <x:tableColumn id="52" name="מפלגה ק"/>
    <x:tableColumn id="53" name="מפלגה קי"/>
    <x:tableColumn id="54" name="מפלגה קך"/>
    <x:tableColumn id="55" name="מפלגה קנ"/>
    <x:tableColumn id="56" name="מפלגה קץ"/>
    <x:tableColumn id="57" name="מפלגה רז"/>
    <x:tableColumn id="58" name="מפלגה שס"/>
    <x:tableColumn id="59" name="מפלגה ת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tyGroupingTable" displayName="PartyGroupingTable" ref="A11:C51" headerRowCount="1" totalsRowCount="0" totalsRowShown="0">
  <x:tableColumns count="3">
    <x:tableColumn id="1" name="קוד רשימה"/>
    <x:tableColumn id="2" name="סיווג אנליטי"/>
    <x:tableColumn id="3" name="הער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87433bcdc442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ef97e7e9574b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c297bd62c74f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d0953be6a54e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9c595f8e7c47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4.439998626708984" hidden="0" customWidth="1"/>
    <x:col min="3" max="3" width="17.780000686645508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</x:cols>
  <x:sheetData>
    <x:row r="1" ht="34" customHeight="1">
      <x:c r="A1" s="4" t="str">
        <x:v>חיפה - התאמת קלפיות הכנסת ה-25 לכתובות</x:v>
      </x:c>
      <x:c r="B1" s="4" t="str">
        <x:v>חיפה - התאמת קלפיות הכנסת ה-25 לכתובות</x:v>
      </x:c>
      <x:c r="C1" s="4" t="str">
        <x:v>חיפה - התאמת קלפיות הכנסת ה-25 לכתובות</x:v>
      </x:c>
      <x:c r="D1" s="4" t="str">
        <x:v>חיפה - התאמת קלפיות הכנסת ה-25 לכתובות</x:v>
      </x:c>
      <x:c r="E1" s="4" t="str">
        <x:v>חיפה - התאמת קלפיות הכנסת ה-25 לכתובות</x:v>
      </x:c>
      <x:c r="F1" s="4" t="str">
        <x:v>חיפה - התאמת קלפיות הכנסת ה-25 לכתובות</x:v>
      </x:c>
      <x:c r="G1" s="4" t="str">
        <x:v>חיפה - התאמת קלפיות הכנסת ה-25 לכתובות</x:v>
      </x:c>
      <x:c r="H1" s="4" t="str">
        <x:v>חיפה - התאמת קלפיות הכנסת ה-25 לכתובות</x:v>
      </x:c>
      <x:c r="I1" s="4" t="str">
        <x:v>חיפה - התאמת קלפיות הכנסת ה-25 לכתובות</x:v>
      </x:c>
      <x:c r="J1" s="4" t="str">
        <x:v>חיפה - התאמת קלפיות הכנסת ה-25 לכתובות</x:v>
      </x:c>
    </x:row>
    <x:row r="2" ht="42" customHeight="1">
      <x:c r="A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B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C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D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E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F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G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H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I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  <x:c r="J2" s="9" t="str">
        <x:v>גרסת עבודה: כתובת מועמדת לכל קלפי. מקור ההתאמה העיקרי הוא הודעת בחירות רשמית של חיפה מ-2024; אימות סופי מול טופס א' של הכנסת ה-25 עדיין מומלץ.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 ht="34" customHeight="1">
      <x:c r="A4" s="27" t="str">
        <x:v>מדד</x:v>
      </x:c>
      <x:c r="B4" s="27" t="str">
        <x:v>ערך</x:v>
      </x:c>
      <x:c r="C4" s="26"/>
      <x:c r="D4" s="27" t="str">
        <x:v>רמת ביטחון</x:v>
      </x:c>
      <x:c r="E4" s="27" t="str">
        <x:v>קלפיות</x:v>
      </x:c>
      <x:c r="F4" s="26"/>
      <x:c r="G4" s="27" t="str">
        <x:v>סיווג</x:v>
      </x:c>
      <x:c r="H4" s="27" t="str">
        <x:v>קלפיות</x:v>
      </x:c>
      <x:c r="I4" s="26"/>
      <x:c r="J4" s="26"/>
    </x:row>
    <x:row r="5">
      <x:c r="A5" s="17" t="str">
        <x:v>מספר קלפיות</x:v>
      </x:c>
      <x:c r="B5" s="18" t="n">
        <x:f>COUNTA('קלפיות'!$A$3:$A$426)</x:f>
        <x:v>424</x:v>
      </x:c>
      <x:c r="C5" s="26"/>
      <x:c r="D5" s="17" t="str">
        <x:v>גבוה מאוד</x:v>
      </x:c>
      <x:c r="E5" s="17" t="n">
        <x:f>COUNTIF('קלפיות'!$E$3:$E$426,D5)</x:f>
        <x:v>412</x:v>
      </x:c>
      <x:c r="F5" s="26"/>
      <x:c r="G5" s="17" t="str">
        <x:v>יעד מחקר</x:v>
      </x:c>
      <x:c r="H5" s="17" t="n">
        <x:f>B11</x:f>
        <x:v>106</x:v>
      </x:c>
      <x:c r="I5" s="26"/>
      <x:c r="J5" s="26"/>
    </x:row>
    <x:row r="6">
      <x:c r="A6" s="17" t="str">
        <x:v>קלפיות עם כתובת מועמדת</x:v>
      </x:c>
      <x:c r="B6" s="18" t="n">
        <x:f>COUNTIF('קלפיות'!$D$3:$D$426,"&lt;&gt;")</x:f>
        <x:v>424</x:v>
      </x:c>
      <x:c r="C6" s="26"/>
      <x:c r="D6" s="17" t="str">
        <x:v>גבוה</x:v>
      </x:c>
      <x:c r="E6" s="17" t="n">
        <x:f>COUNTIF('קלפיות'!$E$3:$E$426,D6)</x:f>
        <x:v>10</x:v>
      </x:c>
      <x:c r="F6" s="26"/>
      <x:c r="G6" s="17" t="str">
        <x:v>יתר הקלפיות</x:v>
      </x:c>
      <x:c r="H6" s="17" t="n">
        <x:f>B5-B11</x:f>
        <x:v>318</x:v>
      </x:c>
      <x:c r="I6" s="26"/>
      <x:c r="J6" s="26"/>
    </x:row>
    <x:row r="7">
      <x:c r="A7" s="17" t="str">
        <x:v>אתרי הצבעה (שם + כתובת)</x:v>
      </x:c>
      <x:c r="B7" s="18" t="n">
        <x:f>COUNTA('אתרים'!$A$3:$A$142)</x:f>
        <x:v>140</x:v>
      </x:c>
      <x:c r="C7" s="26"/>
      <x:c r="D7" s="17" t="str">
        <x:v>בינוני-גבוה</x:v>
      </x:c>
      <x:c r="E7" s="17" t="n">
        <x:f>COUNTIF('קלפיות'!$E$3:$E$426,D7)</x:f>
        <x:v>2</x:v>
      </x:c>
      <x:c r="F7" s="26"/>
      <x:c r="G7" s="26"/>
      <x:c r="H7" s="26"/>
      <x:c r="I7" s="26"/>
      <x:c r="J7" s="26"/>
    </x:row>
    <x:row r="8">
      <x:c r="A8" s="17" t="str">
        <x:v>בעלי זכות בחירה</x:v>
      </x:c>
      <x:c r="B8" s="18" t="n">
        <x:f>SUM('קלפיות'!$F$3:$F$426)</x:f>
        <x:v>253292</x:v>
      </x:c>
      <x:c r="C8" s="26"/>
      <x:c r="D8" s="26"/>
      <x:c r="E8" s="26"/>
      <x:c r="F8" s="26"/>
      <x:c r="G8" s="26"/>
      <x:c r="H8" s="26"/>
      <x:c r="I8" s="26"/>
      <x:c r="J8" s="26"/>
    </x:row>
    <x:row r="9">
      <x:c r="A9" s="17" t="str">
        <x:v>מצביעים</x:v>
      </x:c>
      <x:c r="B9" s="18" t="n">
        <x:f>SUM('קלפיות'!$G$3:$G$426)</x:f>
        <x:v>140650</x:v>
      </x:c>
      <x:c r="C9" s="26"/>
      <x:c r="D9" s="26"/>
      <x:c r="E9" s="26"/>
      <x:c r="F9" s="26"/>
      <x:c r="G9" s="26"/>
      <x:c r="H9" s="26"/>
      <x:c r="I9" s="26"/>
      <x:c r="J9" s="26"/>
    </x:row>
    <x:row r="10">
      <x:c r="A10" s="17" t="str">
        <x:v>אחוז הצבעה</x:v>
      </x:c>
      <x:c r="B10" s="19" t="n">
        <x:f>IFERROR(B9/B8,0)</x:f>
        <x:v>0.5552879680368902</x:v>
      </x:c>
      <x:c r="C10" s="26"/>
      <x:c r="D10" s="26"/>
      <x:c r="E10" s="26"/>
      <x:c r="F10" s="26"/>
      <x:c r="G10" s="26"/>
      <x:c r="H10" s="26"/>
      <x:c r="I10" s="26"/>
      <x:c r="J10" s="26"/>
    </x:row>
    <x:row r="11">
      <x:c r="A11" s="17" t="str">
        <x:v>פחות מ-50% הצבעה + רוב אופוזיציה רחבה</x:v>
      </x:c>
      <x:c r="B11" s="18" t="n">
        <x:f>COUNTIF('קלפיות'!$P$3:$P$426,"כן")</x:f>
        <x:v>106</x:v>
      </x:c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17" t="str">
        <x:v>כתובות הדורשות בדיקה ממוקדת</x:v>
      </x:c>
      <x:c r="B12" s="18" t="n">
        <x:f>COUNTIF('אתרים'!$J$3:$J$142,"בדיקה ממוקדת")</x:f>
        <x:v>2</x:v>
      </x:c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</x:row>
    <x:row r="15">
      <x:c r="A15" s="23" t="str">
        <x:v>מה כבר סגור ומה עדיין דורש אימות</x:v>
      </x:c>
      <x:c r="B15" s="23" t="str">
        <x:v>מה כבר סגור ומה עדיין דורש אימות</x:v>
      </x:c>
      <x:c r="C15" s="23" t="str">
        <x:v>מה כבר סגור ומה עדיין דורש אימות</x:v>
      </x:c>
      <x:c r="D15" s="23" t="str">
        <x:v>מה כבר סגור ומה עדיין דורש אימות</x:v>
      </x:c>
      <x:c r="E15" s="23" t="str">
        <x:v>מה כבר סגור ומה עדיין דורש אימות</x:v>
      </x:c>
      <x:c r="F15" s="23" t="str">
        <x:v>מה כבר סגור ומה עדיין דורש אימות</x:v>
      </x:c>
      <x:c r="G15" s="23" t="str">
        <x:v>מה כבר סגור ומה עדיין דורש אימות</x:v>
      </x:c>
      <x:c r="H15" s="23" t="str">
        <x:v>מה כבר סגור ומה עדיין דורש אימות</x:v>
      </x:c>
      <x:c r="I15" s="23" t="str">
        <x:v>מה כבר סגור ומה עדיין דורש אימות</x:v>
      </x:c>
      <x:c r="J15" s="23" t="str">
        <x:v>מה כבר סגור ומה עדיין דורש אימות</x:v>
      </x:c>
    </x:row>
    <x:row r="16">
      <x:c r="A16" s="24" t="str">
        <x:v>412 קלפיות</x:v>
      </x:c>
      <x:c r="B16" s="25" t="str">
        <x:v>אותו מספר קלפי בסיסי ואותו שם אתר במקור הרשמי מ-2024</x:v>
      </x:c>
      <x:c r="C16" s="25" t="str">
        <x:v>התאמה חזקה מאוד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7">
      <x:c r="A17" s="24" t="str">
        <x:v>10 קלפיות</x:v>
      </x:c>
      <x:c r="B17" s="25" t="str">
        <x:v>שם ייחודי, מספר שהשתנה/פוצל, או הכרעה לפי מספר</x:v>
      </x:c>
      <x:c r="C17" s="25" t="str">
        <x:v>התאמה חזקה</x:v>
      </x:c>
      <x:c r="D17" s="17" t="str"/>
      <x:c r="E17" s="17" t="str"/>
      <x:c r="F17" s="17" t="str"/>
      <x:c r="G17" s="17" t="str"/>
      <x:c r="H17" s="17" t="str"/>
      <x:c r="I17" s="17" t="str"/>
      <x:c r="J17" s="17" t="str"/>
    </x:row>
    <x:row r="18">
      <x:c r="A18" s="24" t="str">
        <x:v>2 קלפיות</x:v>
      </x:c>
      <x:c r="B18" s="25" t="str">
        <x:v>בית ההגנה צוות וגן כוכבית</x:v>
      </x:c>
      <x:c r="C18" s="25" t="str">
        <x:v>בדיקה ממוקדת מול מקור 2022</x:v>
      </x:c>
      <x:c r="D18" s="17" t="str"/>
      <x:c r="E18" s="17" t="str"/>
      <x:c r="F18" s="17" t="str"/>
      <x:c r="G18" s="17" t="str"/>
      <x:c r="H18" s="17" t="str"/>
      <x:c r="I18" s="17" t="str"/>
      <x:c r="J18" s="17" t="str"/>
    </x:row>
    <x:row r="19">
      <x:c r="A19" s="24" t="str">
        <x:v>0 קלפיות</x:v>
      </x:c>
      <x:c r="B19" s="25" t="str">
        <x:v>ללא כתובת מועמדת</x:v>
      </x:c>
      <x:c r="C19" s="25" t="str">
        <x:v>אין חוסרים במאגר העבודה</x:v>
      </x:c>
      <x:c r="D19" s="17" t="str"/>
      <x:c r="E19" s="17" t="str"/>
      <x:c r="F19" s="17" t="str"/>
      <x:c r="G19" s="17" t="str"/>
      <x:c r="H19" s="17" t="str"/>
      <x:c r="I19" s="17" t="str"/>
      <x:c r="J19" s="17" t="str"/>
    </x:row>
  </x:sheetData>
  <x:mergeCells>
    <x:mergeCell ref="A1:J1"/>
    <x:mergeCell ref="A2:J2"/>
    <x:mergeCell ref="A15:J15"/>
  </x:mergeCells>
  <x:pageMargins left="0.7" right="0.7" top="0.75" bottom="0.75" header="0.3" footer="0.3"/>
  <x:drawing xmlns:r="http://schemas.openxmlformats.org/officeDocument/2006/relationships" r:id="R7a87433bcdc4423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6.110000610351562" hidden="0" customWidth="1"/>
    <x:col min="3" max="3" width="18.889999389648438" hidden="0" customWidth="1"/>
    <x:col min="4" max="4" width="8.890000343322754" hidden="0" customWidth="1"/>
    <x:col min="5" max="5" width="23.329999923706055" hidden="0" customWidth="1"/>
    <x:col min="6" max="6" width="24.440000534057617" hidden="0" customWidth="1"/>
    <x:col min="7" max="7" width="11.670000076293945" hidden="0" customWidth="1"/>
    <x:col min="8" max="8" width="27.780000686645508" hidden="0" customWidth="1"/>
    <x:col min="9" max="9" width="21.110000610351562" hidden="0" customWidth="1"/>
    <x:col min="10" max="10" width="19.440000534057617" hidden="0" customWidth="1"/>
  </x:cols>
  <x:sheetData>
    <x:row r="1" ht="34" customHeight="1">
      <x:c r="A1" s="4" t="str">
        <x:v>אתרי הצבעה - חיבור בין כתובת למספרי קלפיות</x:v>
      </x:c>
      <x:c r="B1" s="4" t="str">
        <x:v>אתרי הצבעה - חיבור בין כתובת למספרי קלפיות</x:v>
      </x:c>
      <x:c r="C1" s="4" t="str">
        <x:v>אתרי הצבעה - חיבור בין כתובת למספרי קלפיות</x:v>
      </x:c>
      <x:c r="D1" s="4" t="str">
        <x:v>אתרי הצבעה - חיבור בין כתובת למספרי קלפיות</x:v>
      </x:c>
      <x:c r="E1" s="4" t="str">
        <x:v>אתרי הצבעה - חיבור בין כתובת למספרי קלפיות</x:v>
      </x:c>
      <x:c r="F1" s="4" t="str">
        <x:v>אתרי הצבעה - חיבור בין כתובת למספרי קלפיות</x:v>
      </x:c>
      <x:c r="G1" s="4" t="str">
        <x:v>אתרי הצבעה - חיבור בין כתובת למספרי קלפיות</x:v>
      </x:c>
      <x:c r="H1" s="4" t="str">
        <x:v>אתרי הצבעה - חיבור בין כתובת למספרי קלפיות</x:v>
      </x:c>
      <x:c r="I1" s="4" t="str">
        <x:v>אתרי הצבעה - חיבור בין כתובת למספרי קלפיות</x:v>
      </x:c>
      <x:c r="J1" s="4" t="str">
        <x:v>אתרי הצבעה - חיבור בין כתובת למספרי קלפיות</x:v>
      </x:c>
    </x:row>
    <x:row r="2" ht="34" customHeight="1">
      <x:c r="A2" s="14" t="str">
        <x:v>מס' אתר</x:v>
      </x:c>
      <x:c r="B2" s="14" t="str">
        <x:v>שם אתר הקלפי</x:v>
      </x:c>
      <x:c r="C2" s="14" t="str">
        <x:v>כתובת מועמדת</x:v>
      </x:c>
      <x:c r="D2" s="14" t="str">
        <x:v>מספר קלפיות</x:v>
      </x:c>
      <x:c r="E2" s="14" t="str">
        <x:v>מספרי קלפי</x:v>
      </x:c>
      <x:c r="F2" s="14" t="str">
        <x:v>מספרי ברזל</x:v>
      </x:c>
      <x:c r="G2" s="14" t="str">
        <x:v>רמת ביטחון</x:v>
      </x:c>
      <x:c r="H2" s="14" t="str">
        <x:v>שיטת התאמה</x:v>
      </x:c>
      <x:c r="I2" s="14" t="str">
        <x:v>מקור</x:v>
      </x:c>
      <x:c r="J2" s="14" t="str">
        <x:v>סטטוס בדיקה</x:v>
      </x:c>
    </x:row>
    <x:row r="3" ht="42" customHeight="1">
      <x:c r="A3" s="17" t="n">
        <x:v>1</x:v>
      </x:c>
      <x:c r="B3" s="17" t="str">
        <x:v>אגף חינוך של העירייה</x:v>
      </x:c>
      <x:c r="C3" s="17" t="str">
        <x:v>מרכוס הרב 9</x:v>
      </x:c>
      <x:c r="D3" s="28" t="n">
        <x:v>2</x:v>
      </x:c>
      <x:c r="E3" s="25" t="str">
        <x:v>58.1, 58.2</x:v>
      </x:c>
      <x:c r="F3" s="25" t="str">
        <x:v>2856, 2857</x:v>
      </x:c>
      <x:c r="G3" s="17" t="str">
        <x:v>גבוה מאוד</x:v>
      </x:c>
      <x:c r="H3" s="25" t="str">
        <x:v>מספר קלפי בסיסי ושם אתר זהים</x:v>
      </x:c>
      <x:c r="I3" s="25" t="str">
        <x:v>הודעת הבחירות הרשמית של חיפה (2024)</x:v>
      </x:c>
      <x:c r="J3" s="25" t="str">
        <x:v>מוכן לעבודה</x:v>
      </x:c>
    </x:row>
    <x:row r="4" ht="42" customHeight="1">
      <x:c r="A4" s="17" t="n">
        <x:v>2</x:v>
      </x:c>
      <x:c r="B4" s="17" t="str">
        <x:v>אולם ספורט ביה"ס רוממה</x:v>
      </x:c>
      <x:c r="C4" s="17" t="str">
        <x:v>אורן 27</x:v>
      </x:c>
      <x:c r="D4" s="28" t="n">
        <x:v>1</x:v>
      </x:c>
      <x:c r="E4" s="25" t="str">
        <x:v>365</x:v>
      </x:c>
      <x:c r="F4" s="25" t="str">
        <x:v>3060</x:v>
      </x:c>
      <x:c r="G4" s="17" t="str">
        <x:v>גבוה מאוד</x:v>
      </x:c>
      <x:c r="H4" s="25" t="str">
        <x:v>מספר קלפי בסיסי ושם אתר זהים</x:v>
      </x:c>
      <x:c r="I4" s="25" t="str">
        <x:v>הודעת הבחירות הרשמית של חיפה (2024)</x:v>
      </x:c>
      <x:c r="J4" s="25" t="str">
        <x:v>מוכן לעבודה</x:v>
      </x:c>
    </x:row>
    <x:row r="5" ht="42" customHeight="1">
      <x:c r="A5" s="17" t="n">
        <x:v>3</x:v>
      </x:c>
      <x:c r="B5" s="17" t="str">
        <x:v>אולפנת צביה</x:v>
      </x:c>
      <x:c r="C5" s="17" t="str">
        <x:v>רבי עקיבא 40</x:v>
      </x:c>
      <x:c r="D5" s="28" t="n">
        <x:v>3</x:v>
      </x:c>
      <x:c r="E5" s="25" t="str">
        <x:v>354.1, 354.2, 354.3</x:v>
      </x:c>
      <x:c r="F5" s="25" t="str">
        <x:v>2905, 2906, 2907</x:v>
      </x:c>
      <x:c r="G5" s="17" t="str">
        <x:v>גבוה מאוד</x:v>
      </x:c>
      <x:c r="H5" s="25" t="str">
        <x:v>מספר קלפי בסיסי ושם אתר זהים</x:v>
      </x:c>
      <x:c r="I5" s="25" t="str">
        <x:v>הודעת הבחירות הרשמית של חיפה (2024)</x:v>
      </x:c>
      <x:c r="J5" s="25" t="str">
        <x:v>מוכן לעבודה</x:v>
      </x:c>
    </x:row>
    <x:row r="6" ht="42" customHeight="1">
      <x:c r="A6" s="17" t="n">
        <x:v>4</x:v>
      </x:c>
      <x:c r="B6" s="17" t="str">
        <x:v>אשכול גני ילדים</x:v>
      </x:c>
      <x:c r="C6" s="17" t="str">
        <x:v>שונית 12</x:v>
      </x:c>
      <x:c r="D6" s="28" t="n">
        <x:v>3</x:v>
      </x:c>
      <x:c r="E6" s="25" t="str">
        <x:v>272, 300, 466</x:v>
      </x:c>
      <x:c r="F6" s="25" t="str">
        <x:v>3001, 3002, 3006</x:v>
      </x:c>
      <x:c r="G6" s="17" t="str">
        <x:v>גבוה מאוד</x:v>
      </x:c>
      <x:c r="H6" s="25" t="str">
        <x:v>מספר קלפי בסיסי ושם אתר זהים</x:v>
      </x:c>
      <x:c r="I6" s="25" t="str">
        <x:v>הודעת הבחירות הרשמית של חיפה (2024)</x:v>
      </x:c>
      <x:c r="J6" s="25" t="str">
        <x:v>מוכן לעבודה</x:v>
      </x:c>
    </x:row>
    <x:row r="7" ht="42" customHeight="1">
      <x:c r="A7" s="17" t="n">
        <x:v>5</x:v>
      </x:c>
      <x:c r="B7" s="17" t="str">
        <x:v>אשכול פייס</x:v>
      </x:c>
      <x:c r="C7" s="17" t="str">
        <x:v>צה"ל 41</x:v>
      </x:c>
      <x:c r="D7" s="28" t="n">
        <x:v>2</x:v>
      </x:c>
      <x:c r="E7" s="25" t="str">
        <x:v>132, 159</x:v>
      </x:c>
      <x:c r="F7" s="25" t="str">
        <x:v>2937, 2946</x:v>
      </x:c>
      <x:c r="G7" s="17" t="str">
        <x:v>גבוה מאוד</x:v>
      </x:c>
      <x:c r="H7" s="25" t="str">
        <x:v>מספר קלפי בסיסי ושם אתר זהים</x:v>
      </x:c>
      <x:c r="I7" s="25" t="str">
        <x:v>הודעת הבחירות הרשמית של חיפה (2024)</x:v>
      </x:c>
      <x:c r="J7" s="25" t="str">
        <x:v>מוכן לעבודה</x:v>
      </x:c>
    </x:row>
    <x:row r="8" ht="42" customHeight="1">
      <x:c r="A8" s="17" t="n">
        <x:v>6</x:v>
      </x:c>
      <x:c r="B8" s="17" t="str">
        <x:v>בי"ס "ריאלי" יסודי</x:v>
      </x:c>
      <x:c r="C8" s="17" t="str">
        <x:v>קריית ספר 27</x:v>
      </x:c>
      <x:c r="D8" s="28" t="n">
        <x:v>4</x:v>
      </x:c>
      <x:c r="E8" s="25" t="str">
        <x:v>199.1, 199.2, 199.3, 199.4</x:v>
      </x:c>
      <x:c r="F8" s="25" t="str">
        <x:v>3048, 3049, 3050, 3051</x:v>
      </x:c>
      <x:c r="G8" s="17" t="str">
        <x:v>גבוה מאוד</x:v>
      </x:c>
      <x:c r="H8" s="25" t="str">
        <x:v>מספר קלפי בסיסי ושם אתר זהים</x:v>
      </x:c>
      <x:c r="I8" s="25" t="str">
        <x:v>הודעת הבחירות הרשמית של חיפה (2024)</x:v>
      </x:c>
      <x:c r="J8" s="25" t="str">
        <x:v>מוכן לעבודה</x:v>
      </x:c>
    </x:row>
    <x:row r="9" ht="42" customHeight="1">
      <x:c r="A9" s="17" t="n">
        <x:v>7</x:v>
      </x:c>
      <x:c r="B9" s="17" t="str">
        <x:v>בי"ס אבן גבירול</x:v>
      </x:c>
      <x:c r="C9" s="17" t="str">
        <x:v>בודנהיימר מקס ד"ר 7</x:v>
      </x:c>
      <x:c r="D9" s="28" t="n">
        <x:v>4</x:v>
      </x:c>
      <x:c r="E9" s="25" t="str">
        <x:v>228, 229, 244, 261</x:v>
      </x:c>
      <x:c r="F9" s="25" t="str">
        <x:v>2953, 2954, 2965, 2967</x:v>
      </x:c>
      <x:c r="G9" s="17" t="str">
        <x:v>גבוה מאוד</x:v>
      </x:c>
      <x:c r="H9" s="25" t="str">
        <x:v>מספר קלפי בסיסי ושם אתר זהים</x:v>
      </x:c>
      <x:c r="I9" s="25" t="str">
        <x:v>הודעת הבחירות הרשמית של חיפה (2024)</x:v>
      </x:c>
      <x:c r="J9" s="25" t="str">
        <x:v>מוכן לעבודה</x:v>
      </x:c>
    </x:row>
    <x:row r="10" ht="42" customHeight="1">
      <x:c r="A10" s="17" t="n">
        <x:v>8</x:v>
      </x:c>
      <x:c r="B10" s="17" t="str">
        <x:v>בי"ס אהוד</x:v>
      </x:c>
      <x:c r="C10" s="17" t="str">
        <x:v>אהוד 18</x:v>
      </x:c>
      <x:c r="D10" s="28" t="n">
        <x:v>5</x:v>
      </x:c>
      <x:c r="E10" s="25" t="str">
        <x:v>273.1, 273.2, 273.3, 273.4, 273.5</x:v>
      </x:c>
      <x:c r="F10" s="25" t="str">
        <x:v>3054, 3055, 3056, 3057, 3058</x:v>
      </x:c>
      <x:c r="G10" s="17" t="str">
        <x:v>גבוה מאוד</x:v>
      </x:c>
      <x:c r="H10" s="25" t="str">
        <x:v>מספר קלפי בסיסי ושם אתר זהים</x:v>
      </x:c>
      <x:c r="I10" s="25" t="str">
        <x:v>הודעת הבחירות הרשמית של חיפה (2024)</x:v>
      </x:c>
      <x:c r="J10" s="25" t="str">
        <x:v>מוכן לעבודה</x:v>
      </x:c>
    </x:row>
    <x:row r="11" ht="42" customHeight="1">
      <x:c r="A11" s="17" t="n">
        <x:v>9</x:v>
      </x:c>
      <x:c r="B11" s="17" t="str">
        <x:v>בי"ס אהרן הרואה</x:v>
      </x:c>
      <x:c r="C11" s="17" t="str">
        <x:v>שד הרא"ה 10</x:v>
      </x:c>
      <x:c r="D11" s="28" t="n">
        <x:v>4</x:v>
      </x:c>
      <x:c r="E11" s="25" t="str">
        <x:v>3, 13, 33, 716</x:v>
      </x:c>
      <x:c r="F11" s="25" t="str">
        <x:v>3186, 3187, 3191, 3205</x:v>
      </x:c>
      <x:c r="G11" s="17" t="str">
        <x:v>גבוה מאוד</x:v>
      </x:c>
      <x:c r="H11" s="25" t="str">
        <x:v>מספר קלפי בסיסי ושם אתר זהים</x:v>
      </x:c>
      <x:c r="I11" s="25" t="str">
        <x:v>הודעת הבחירות הרשמית של חיפה (2024)</x:v>
      </x:c>
      <x:c r="J11" s="25" t="str">
        <x:v>מוכן לעבודה</x:v>
      </x:c>
    </x:row>
    <x:row r="12" ht="42" customHeight="1">
      <x:c r="A12" s="17" t="n">
        <x:v>10</x:v>
      </x:c>
      <x:c r="B12" s="17" t="str">
        <x:v>בי"ס אורים</x:v>
      </x:c>
      <x:c r="C12" s="17" t="str">
        <x:v>מונטיפיורי 15</x:v>
      </x:c>
      <x:c r="D12" s="28" t="n">
        <x:v>2</x:v>
      </x:c>
      <x:c r="E12" s="25" t="str">
        <x:v>267, 284</x:v>
      </x:c>
      <x:c r="F12" s="25" t="str">
        <x:v>2884, 2889</x:v>
      </x:c>
      <x:c r="G12" s="17" t="str">
        <x:v>גבוה מאוד</x:v>
      </x:c>
      <x:c r="H12" s="25" t="str">
        <x:v>מספר קלפי בסיסי ושם אתר זהים</x:v>
      </x:c>
      <x:c r="I12" s="25" t="str">
        <x:v>הודעת הבחירות הרשמית של חיפה (2024)</x:v>
      </x:c>
      <x:c r="J12" s="25" t="str">
        <x:v>מוכן לעבודה</x:v>
      </x:c>
    </x:row>
    <x:row r="13" ht="42" customHeight="1">
      <x:c r="A13" s="17" t="n">
        <x:v>11</x:v>
      </x:c>
      <x:c r="B13" s="17" t="str">
        <x:v>בי"ס אחוה</x:v>
      </x:c>
      <x:c r="C13" s="17" t="str">
        <x:v>קיסריה 20</x:v>
      </x:c>
      <x:c r="D13" s="28" t="n">
        <x:v>3</x:v>
      </x:c>
      <x:c r="E13" s="25" t="str">
        <x:v>50, 79, 80</x:v>
      </x:c>
      <x:c r="F13" s="25" t="str">
        <x:v>2813, 2817, 2818</x:v>
      </x:c>
      <x:c r="G13" s="17" t="str">
        <x:v>גבוה מאוד</x:v>
      </x:c>
      <x:c r="H13" s="25" t="str">
        <x:v>מספר קלפי בסיסי ושם אתר זהים</x:v>
      </x:c>
      <x:c r="I13" s="25" t="str">
        <x:v>הודעת הבחירות הרשמית של חיפה (2024)</x:v>
      </x:c>
      <x:c r="J13" s="25" t="str">
        <x:v>מוכן לעבודה</x:v>
      </x:c>
    </x:row>
    <x:row r="14" ht="42" customHeight="1">
      <x:c r="A14" s="17" t="n">
        <x:v>12</x:v>
      </x:c>
      <x:c r="B14" s="17" t="str">
        <x:v>בי"ס אחמדיה</x:v>
      </x:c>
      <x:c r="C14" s="17" t="str">
        <x:v>גלאל אל דין 3</x:v>
      </x:c>
      <x:c r="D14" s="28" t="n">
        <x:v>5</x:v>
      </x:c>
      <x:c r="E14" s="25" t="str">
        <x:v>255.1, 255.2, 255.3, 255.4, 255.5</x:v>
      </x:c>
      <x:c r="F14" s="25" t="str">
        <x:v>3031, 3032, 3033, 3034, 3035</x:v>
      </x:c>
      <x:c r="G14" s="17" t="str">
        <x:v>גבוה מאוד</x:v>
      </x:c>
      <x:c r="H14" s="25" t="str">
        <x:v>מספר קלפי בסיסי ושם אתר זהים</x:v>
      </x:c>
      <x:c r="I14" s="25" t="str">
        <x:v>הודעת הבחירות הרשמית של חיפה (2024)</x:v>
      </x:c>
      <x:c r="J14" s="25" t="str">
        <x:v>מוכן לעבודה</x:v>
      </x:c>
    </x:row>
    <x:row r="15" ht="42" customHeight="1">
      <x:c r="A15" s="17" t="n">
        <x:v>13</x:v>
      </x:c>
      <x:c r="B15" s="17" t="str">
        <x:v>בי"ס אילנות</x:v>
      </x:c>
      <x:c r="C15" s="17" t="str">
        <x:v>הסנה 8</x:v>
      </x:c>
      <x:c r="D15" s="28" t="n">
        <x:v>5</x:v>
      </x:c>
      <x:c r="E15" s="25" t="str">
        <x:v>463.1, 463.2, 463.3, 463.4, 463.5</x:v>
      </x:c>
      <x:c r="F15" s="25" t="str">
        <x:v>2975, 2976, 2977, 2978, 2979</x:v>
      </x:c>
      <x:c r="G15" s="17" t="str">
        <x:v>גבוה מאוד</x:v>
      </x:c>
      <x:c r="H15" s="25" t="str">
        <x:v>מספר קלפי בסיסי ושם אתר זהים</x:v>
      </x:c>
      <x:c r="I15" s="25" t="str">
        <x:v>הודעת הבחירות הרשמית של חיפה (2024)</x:v>
      </x:c>
      <x:c r="J15" s="25" t="str">
        <x:v>מוכן לעבודה</x:v>
      </x:c>
    </x:row>
    <x:row r="16" ht="42" customHeight="1">
      <x:c r="A16" s="17" t="n">
        <x:v>14</x:v>
      </x:c>
      <x:c r="B16" s="17" t="str">
        <x:v>בי"ס אילנשיל אופקים</x:v>
      </x:c>
      <x:c r="C16" s="17" t="str">
        <x:v>דרך הים 44</x:v>
      </x:c>
      <x:c r="D16" s="28" t="n">
        <x:v>3</x:v>
      </x:c>
      <x:c r="E16" s="25" t="str">
        <x:v>219, 220, 334</x:v>
      </x:c>
      <x:c r="F16" s="25" t="str">
        <x:v>2951, 2952, 2973</x:v>
      </x:c>
      <x:c r="G16" s="17" t="str">
        <x:v>גבוה מאוד</x:v>
      </x:c>
      <x:c r="H16" s="25" t="str">
        <x:v>מספר קלפי בסיסי ושם אתר זהים</x:v>
      </x:c>
      <x:c r="I16" s="25" t="str">
        <x:v>הודעת הבחירות הרשמית של חיפה (2024)</x:v>
      </x:c>
      <x:c r="J16" s="25" t="str">
        <x:v>מוכן לעבודה</x:v>
      </x:c>
    </x:row>
    <x:row r="17" ht="42" customHeight="1">
      <x:c r="A17" s="17" t="n">
        <x:v>15</x:v>
      </x:c>
      <x:c r="B17" s="17" t="str">
        <x:v>בי"ס ארלוזורוב</x:v>
      </x:c>
      <x:c r="C17" s="17" t="str">
        <x:v>הקבוצים 65</x:v>
      </x:c>
      <x:c r="D17" s="28" t="n">
        <x:v>6</x:v>
      </x:c>
      <x:c r="E17" s="25" t="str">
        <x:v>722.1, 722.2, 722.3, 722.4, 722.5, 722.6</x:v>
      </x:c>
      <x:c r="F17" s="25" t="str">
        <x:v>3214, 3215, 3216, 3217, 3218, 3219</x:v>
      </x:c>
      <x:c r="G17" s="17" t="str">
        <x:v>גבוה מאוד</x:v>
      </x:c>
      <x:c r="H17" s="25" t="str">
        <x:v>מספר קלפי בסיסי ושם אתר זהים</x:v>
      </x:c>
      <x:c r="I17" s="25" t="str">
        <x:v>הודעת הבחירות הרשמית של חיפה (2024)</x:v>
      </x:c>
      <x:c r="J17" s="25" t="str">
        <x:v>מוכן לעבודה</x:v>
      </x:c>
    </x:row>
    <x:row r="18" ht="42" customHeight="1">
      <x:c r="A18" s="17" t="n">
        <x:v>16</x:v>
      </x:c>
      <x:c r="B18" s="17" t="str">
        <x:v>בי"ס בארי</x:v>
      </x:c>
      <x:c r="C18" s="17" t="str">
        <x:v>ברל כצנלסון 48</x:v>
      </x:c>
      <x:c r="D18" s="28" t="n">
        <x:v>3</x:v>
      </x:c>
      <x:c r="E18" s="25" t="str">
        <x:v>405.1, 405.2, 405.3</x:v>
      </x:c>
      <x:c r="F18" s="25" t="str">
        <x:v>3173, 3174, 3175</x:v>
      </x:c>
      <x:c r="G18" s="17" t="str">
        <x:v>גבוה מאוד</x:v>
      </x:c>
      <x:c r="H18" s="25" t="str">
        <x:v>מספר קלפי בסיסי ושם אתר זהים</x:v>
      </x:c>
      <x:c r="I18" s="25" t="str">
        <x:v>הודעת הבחירות הרשמית של חיפה (2024)</x:v>
      </x:c>
      <x:c r="J18" s="25" t="str">
        <x:v>מוכן לעבודה</x:v>
      </x:c>
    </x:row>
    <x:row r="19" ht="42" customHeight="1">
      <x:c r="A19" s="17" t="n">
        <x:v>17</x:v>
      </x:c>
      <x:c r="B19" s="17" t="str">
        <x:v>בי"ס בית יעקב לבנות</x:v>
      </x:c>
      <x:c r="C19" s="17" t="str">
        <x:v>המימוני 2</x:v>
      </x:c>
      <x:c r="D19" s="28" t="n">
        <x:v>2</x:v>
      </x:c>
      <x:c r="E19" s="25" t="str">
        <x:v>319, 325</x:v>
      </x:c>
      <x:c r="F19" s="25" t="str">
        <x:v>2895, 2896</x:v>
      </x:c>
      <x:c r="G19" s="17" t="str">
        <x:v>גבוה מאוד</x:v>
      </x:c>
      <x:c r="H19" s="25" t="str">
        <x:v>מספר קלפי בסיסי ושם אתר זהים</x:v>
      </x:c>
      <x:c r="I19" s="25" t="str">
        <x:v>הודעת הבחירות הרשמית של חיפה (2024)</x:v>
      </x:c>
      <x:c r="J19" s="25" t="str">
        <x:v>מוכן לעבודה</x:v>
      </x:c>
    </x:row>
    <x:row r="20" ht="42" customHeight="1">
      <x:c r="A20" s="17" t="n">
        <x:v>18</x:v>
      </x:c>
      <x:c r="B20" s="17" t="str">
        <x:v>בי"ס בן גוריון</x:v>
      </x:c>
      <x:c r="C20" s="17" t="str">
        <x:v>קרן היסוד 33</x:v>
      </x:c>
      <x:c r="D20" s="28" t="n">
        <x:v>4</x:v>
      </x:c>
      <x:c r="E20" s="25" t="str">
        <x:v>461.1, 461.2, 461.3, 461.4</x:v>
      </x:c>
      <x:c r="F20" s="25" t="str">
        <x:v>3065, 3066, 3067, 3068</x:v>
      </x:c>
      <x:c r="G20" s="17" t="str">
        <x:v>גבוה מאוד</x:v>
      </x:c>
      <x:c r="H20" s="25" t="str">
        <x:v>מספר קלפי בסיסי ושם אתר זהים</x:v>
      </x:c>
      <x:c r="I20" s="25" t="str">
        <x:v>הודעת הבחירות הרשמית של חיפה (2024)</x:v>
      </x:c>
      <x:c r="J20" s="25" t="str">
        <x:v>מוכן לעבודה</x:v>
      </x:c>
    </x:row>
    <x:row r="21" ht="42" customHeight="1">
      <x:c r="A21" s="17" t="n">
        <x:v>19</x:v>
      </x:c>
      <x:c r="B21" s="17" t="str">
        <x:v>בי"ס בסמת - חטיבה עליונה</x:v>
      </x:c>
      <x:c r="C21" s="17" t="str">
        <x:v>דוד המלך 28</x:v>
      </x:c>
      <x:c r="D21" s="28" t="n">
        <x:v>3</x:v>
      </x:c>
      <x:c r="E21" s="25" t="str">
        <x:v>151, 161, 164</x:v>
      </x:c>
      <x:c r="F21" s="25" t="str">
        <x:v>2983, 2991, 2994</x:v>
      </x:c>
      <x:c r="G21" s="17" t="str">
        <x:v>גבוה מאוד</x:v>
      </x:c>
      <x:c r="H21" s="25" t="str">
        <x:v>מספר קלפי בסיסי ושם אתר זהים</x:v>
      </x:c>
      <x:c r="I21" s="25" t="str">
        <x:v>הודעת הבחירות הרשמית של חיפה (2024)</x:v>
      </x:c>
      <x:c r="J21" s="25" t="str">
        <x:v>מוכן לעבודה</x:v>
      </x:c>
    </x:row>
    <x:row r="22" ht="42" customHeight="1">
      <x:c r="A22" s="17" t="n">
        <x:v>20</x:v>
      </x:c>
      <x:c r="B22" s="17" t="str">
        <x:v>בי"ס גורדון</x:v>
      </x:c>
      <x:c r="C22" s="17" t="str">
        <x:v>ארן זלמן 43</x:v>
      </x:c>
      <x:c r="D22" s="28" t="n">
        <x:v>3</x:v>
      </x:c>
      <x:c r="E22" s="25" t="str">
        <x:v>706, 711, 712</x:v>
      </x:c>
      <x:c r="F22" s="25" t="str">
        <x:v>3207, 3208, 3209</x:v>
      </x:c>
      <x:c r="G22" s="17" t="str">
        <x:v>גבוה מאוד</x:v>
      </x:c>
      <x:c r="H22" s="25" t="str">
        <x:v>מספר קלפי בסיסי ושם אתר זהים</x:v>
      </x:c>
      <x:c r="I22" s="25" t="str">
        <x:v>הודעת הבחירות הרשמית של חיפה (2024)</x:v>
      </x:c>
      <x:c r="J22" s="25" t="str">
        <x:v>מוכן לעבודה</x:v>
      </x:c>
    </x:row>
    <x:row r="23" ht="42" customHeight="1">
      <x:c r="A23" s="17" t="n">
        <x:v>21</x:v>
      </x:c>
      <x:c r="B23" s="17" t="str">
        <x:v>בי"ס גיל</x:v>
      </x:c>
      <x:c r="C23" s="17" t="str">
        <x:v>התשבי 34</x:v>
      </x:c>
      <x:c r="D23" s="28" t="n">
        <x:v>5</x:v>
      </x:c>
      <x:c r="E23" s="25" t="str">
        <x:v>236.1, 236.2, 236.3, 236.4, 236.5</x:v>
      </x:c>
      <x:c r="F23" s="25" t="str">
        <x:v>2960, 2961, 2962, 2963, 2964</x:v>
      </x:c>
      <x:c r="G23" s="17" t="str">
        <x:v>גבוה מאוד</x:v>
      </x:c>
      <x:c r="H23" s="25" t="str">
        <x:v>מספר קלפי בסיסי ושם אתר זהים</x:v>
      </x:c>
      <x:c r="I23" s="25" t="str">
        <x:v>הודעת הבחירות הרשמית של חיפה (2024)</x:v>
      </x:c>
      <x:c r="J23" s="25" t="str">
        <x:v>מוכן לעבודה</x:v>
      </x:c>
    </x:row>
    <x:row r="24" ht="42" customHeight="1">
      <x:c r="A24" s="17" t="n">
        <x:v>22</x:v>
      </x:c>
      <x:c r="B24" s="17" t="str">
        <x:v>בי"ס דגניה</x:v>
      </x:c>
      <x:c r="C24" s="17" t="str">
        <x:v>שד דגניה 33</x:v>
      </x:c>
      <x:c r="D24" s="28" t="n">
        <x:v>3</x:v>
      </x:c>
      <x:c r="E24" s="25" t="str">
        <x:v>715.1, 715.2, 715.3</x:v>
      </x:c>
      <x:c r="F24" s="25" t="str">
        <x:v>3202, 3203, 3204</x:v>
      </x:c>
      <x:c r="G24" s="17" t="str">
        <x:v>גבוה מאוד</x:v>
      </x:c>
      <x:c r="H24" s="25" t="str">
        <x:v>מספר קלפי בסיסי ושם אתר זהים</x:v>
      </x:c>
      <x:c r="I24" s="25" t="str">
        <x:v>הודעת הבחירות הרשמית של חיפה (2024)</x:v>
      </x:c>
      <x:c r="J24" s="25" t="str">
        <x:v>מוכן לעבודה</x:v>
      </x:c>
    </x:row>
    <x:row r="25" ht="42" customHeight="1">
      <x:c r="A25" s="17" t="n">
        <x:v>23</x:v>
      </x:c>
      <x:c r="B25" s="17" t="str">
        <x:v>בי"ס דינור</x:v>
      </x:c>
      <x:c r="C25" s="17" t="str">
        <x:v>קליבנוב 20</x:v>
      </x:c>
      <x:c r="D25" s="28" t="n">
        <x:v>5</x:v>
      </x:c>
      <x:c r="E25" s="25" t="str">
        <x:v>432.1, 432.2, 432.3, 432.4, 432.5</x:v>
      </x:c>
      <x:c r="F25" s="25" t="str">
        <x:v>3180, 3181, 3182, 3183, 3184</x:v>
      </x:c>
      <x:c r="G25" s="17" t="str">
        <x:v>גבוה מאוד</x:v>
      </x:c>
      <x:c r="H25" s="25" t="str">
        <x:v>מספר קלפי בסיסי ושם אתר זהים</x:v>
      </x:c>
      <x:c r="I25" s="25" t="str">
        <x:v>הודעת הבחירות הרשמית של חיפה (2024)</x:v>
      </x:c>
      <x:c r="J25" s="25" t="str">
        <x:v>מוכן לעבודה</x:v>
      </x:c>
    </x:row>
    <x:row r="26" ht="42" customHeight="1">
      <x:c r="A26" s="17" t="n">
        <x:v>24</x:v>
      </x:c>
      <x:c r="B26" s="17" t="str">
        <x:v>בי"ס דרור</x:v>
      </x:c>
      <x:c r="C26" s="17" t="str">
        <x:v>דרור 19</x:v>
      </x:c>
      <x:c r="D26" s="28" t="n">
        <x:v>6</x:v>
      </x:c>
      <x:c r="E26" s="25" t="str">
        <x:v>93, 121, 126, 127, 128, 130</x:v>
      </x:c>
      <x:c r="F26" s="25" t="str">
        <x:v>2926, 2931, 2932, 2933, 2934, 2935</x:v>
      </x:c>
      <x:c r="G26" s="17" t="str">
        <x:v>גבוה מאוד</x:v>
      </x:c>
      <x:c r="H26" s="25" t="str">
        <x:v>מספר קלפי בסיסי ושם אתר זהים</x:v>
      </x:c>
      <x:c r="I26" s="25" t="str">
        <x:v>הודעת הבחירות הרשמית של חיפה (2024)</x:v>
      </x:c>
      <x:c r="J26" s="25" t="str">
        <x:v>מוכן לעבודה</x:v>
      </x:c>
    </x:row>
    <x:row r="27" ht="42" customHeight="1">
      <x:c r="A27" s="17" t="n">
        <x:v>25</x:v>
      </x:c>
      <x:c r="B27" s="17" t="str">
        <x:v>בי"ס האונטרופוסופי</x:v>
      </x:c>
      <x:c r="C27" s="17" t="str">
        <x:v>העליה השניה 27</x:v>
      </x:c>
      <x:c r="D27" s="28" t="n">
        <x:v>4</x:v>
      </x:c>
      <x:c r="E27" s="25" t="str">
        <x:v>101.1, 101.2, 101.3, 101.4</x:v>
      </x:c>
      <x:c r="F27" s="25" t="str">
        <x:v>2927, 2928, 2929, 2930</x:v>
      </x:c>
      <x:c r="G27" s="17" t="str">
        <x:v>גבוה מאוד</x:v>
      </x:c>
      <x:c r="H27" s="25" t="str">
        <x:v>מספר קלפי בסיסי ושם אתר זהים</x:v>
      </x:c>
      <x:c r="I27" s="25" t="str">
        <x:v>הודעת הבחירות הרשמית של חיפה (2024)</x:v>
      </x:c>
      <x:c r="J27" s="25" t="str">
        <x:v>מוכן לעבודה</x:v>
      </x:c>
    </x:row>
    <x:row r="28" ht="42" customHeight="1">
      <x:c r="A28" s="17" t="n">
        <x:v>26</x:v>
      </x:c>
      <x:c r="B28" s="17" t="str">
        <x:v>בי"ס הבונים</x:v>
      </x:c>
      <x:c r="C28" s="17" t="str">
        <x:v>חביבה רייך 16</x:v>
      </x:c>
      <x:c r="D28" s="28" t="n">
        <x:v>6</x:v>
      </x:c>
      <x:c r="E28" s="25" t="str">
        <x:v>409, 410, 446, 462, 465, 961</x:v>
      </x:c>
      <x:c r="F28" s="25" t="str">
        <x:v>3120, 3121, 3124, 3128, 3129, 3130</x:v>
      </x:c>
      <x:c r="G28" s="17" t="str">
        <x:v>גבוה</x:v>
      </x:c>
      <x:c r="H28" s="25" t="str">
        <x:v>מספר קלפי בסיסי ושם אתר זהים | שם אתר ייחודי זהה; מספר הקלפי השתנה או פוצל</x:v>
      </x:c>
      <x:c r="I28" s="25" t="str">
        <x:v>הודעת הבחירות הרשמית של חיפה (2024)</x:v>
      </x:c>
      <x:c r="J28" s="25" t="str">
        <x:v>מוכן לעבודה</x:v>
      </x:c>
    </x:row>
    <x:row r="29" ht="42" customHeight="1">
      <x:c r="A29" s="17" t="n">
        <x:v>27</x:v>
      </x:c>
      <x:c r="B29" s="17" t="str">
        <x:v>בי"ס הריאלי</x:v>
      </x:c>
      <x:c r="C29" s="17" t="str">
        <x:v>שמריהו לוין 15</x:v>
      </x:c>
      <x:c r="D29" s="28" t="n">
        <x:v>6</x:v>
      </x:c>
      <x:c r="E29" s="25" t="str">
        <x:v>344.1, 344.2, 344.3, 344.4, 344.5, 344.6</x:v>
      </x:c>
      <x:c r="F29" s="25" t="str">
        <x:v>2876, 2877, 2878, 2879, 2880, 2881</x:v>
      </x:c>
      <x:c r="G29" s="17" t="str">
        <x:v>גבוה מאוד</x:v>
      </x:c>
      <x:c r="H29" s="25" t="str">
        <x:v>מספר קלפי בסיסי ושם אתר זהים</x:v>
      </x:c>
      <x:c r="I29" s="25" t="str">
        <x:v>הודעת הבחירות הרשמית של חיפה (2024)</x:v>
      </x:c>
      <x:c r="J29" s="25" t="str">
        <x:v>מוכן לעבודה</x:v>
      </x:c>
    </x:row>
    <x:row r="30" ht="42" customHeight="1">
      <x:c r="A30" s="17" t="n">
        <x:v>28</x:v>
      </x:c>
      <x:c r="B30" s="17" t="str">
        <x:v>בי"ס הריאלי - בנין לנדס</x:v>
      </x:c>
      <x:c r="C30" s="17" t="str">
        <x:v>שד אבא חושי 15</x:v>
      </x:c>
      <x:c r="D30" s="28" t="n">
        <x:v>4</x:v>
      </x:c>
      <x:c r="E30" s="25" t="str">
        <x:v>181.1, 181.2, 181.3, 181.4</x:v>
      </x:c>
      <x:c r="F30" s="25" t="str">
        <x:v>3075, 3076, 3077, 3078</x:v>
      </x:c>
      <x:c r="G30" s="17" t="str">
        <x:v>גבוה מאוד</x:v>
      </x:c>
      <x:c r="H30" s="25" t="str">
        <x:v>מספר קלפי בסיסי ושם אתר זהים</x:v>
      </x:c>
      <x:c r="I30" s="25" t="str">
        <x:v>הודעת הבחירות הרשמית של חיפה (2024)</x:v>
      </x:c>
      <x:c r="J30" s="25" t="str">
        <x:v>מוכן לעבודה</x:v>
      </x:c>
    </x:row>
    <x:row r="31" ht="42" customHeight="1">
      <x:c r="A31" s="17" t="n">
        <x:v>29</x:v>
      </x:c>
      <x:c r="B31" s="17" t="str">
        <x:v>בי"ס הרצל</x:v>
      </x:c>
      <x:c r="C31" s="17" t="str">
        <x:v>צדקיהו 6</x:v>
      </x:c>
      <x:c r="D31" s="28" t="n">
        <x:v>4</x:v>
      </x:c>
      <x:c r="E31" s="25" t="str">
        <x:v>202, 213, 214, 256</x:v>
      </x:c>
      <x:c r="F31" s="25" t="str">
        <x:v>3012, 3019, 3020, 3036</x:v>
      </x:c>
      <x:c r="G31" s="17" t="str">
        <x:v>גבוה מאוד</x:v>
      </x:c>
      <x:c r="H31" s="25" t="str">
        <x:v>מספר קלפי בסיסי ושם אתר זהים</x:v>
      </x:c>
      <x:c r="I31" s="25" t="str">
        <x:v>הודעת הבחירות הרשמית של חיפה (2024)</x:v>
      </x:c>
      <x:c r="J31" s="25" t="str">
        <x:v>מוכן לעבודה</x:v>
      </x:c>
    </x:row>
    <x:row r="32" ht="42" customHeight="1">
      <x:c r="A32" s="17" t="n">
        <x:v>30</x:v>
      </x:c>
      <x:c r="B32" s="17" t="str">
        <x:v>בי"ס חופית</x:v>
      </x:c>
      <x:c r="C32" s="17" t="str">
        <x:v>החיננית 3</x:v>
      </x:c>
      <x:c r="D32" s="28" t="n">
        <x:v>4</x:v>
      </x:c>
      <x:c r="E32" s="25" t="str">
        <x:v>162, 163, 227, 245</x:v>
      </x:c>
      <x:c r="F32" s="25" t="str">
        <x:v>2992, 2993, 2999, 3000</x:v>
      </x:c>
      <x:c r="G32" s="17" t="str">
        <x:v>גבוה מאוד</x:v>
      </x:c>
      <x:c r="H32" s="25" t="str">
        <x:v>מספר קלפי בסיסי ושם אתר זהים</x:v>
      </x:c>
      <x:c r="I32" s="25" t="str">
        <x:v>הודעת הבחירות הרשמית של חיפה (2024)</x:v>
      </x:c>
      <x:c r="J32" s="25" t="str">
        <x:v>מוכן לעבודה</x:v>
      </x:c>
    </x:row>
    <x:row r="33" ht="42" customHeight="1">
      <x:c r="A33" s="17" t="n">
        <x:v>31</x:v>
      </x:c>
      <x:c r="B33" s="17" t="str">
        <x:v>בי"ס חטיבת בינים רעות</x:v>
      </x:c>
      <x:c r="C33" s="17" t="str">
        <x:v>נח"ל 2</x:v>
      </x:c>
      <x:c r="D33" s="28" t="n">
        <x:v>3</x:v>
      </x:c>
      <x:c r="E33" s="25" t="str">
        <x:v>1.4, 133, 138</x:v>
      </x:c>
      <x:c r="F33" s="25" t="str">
        <x:v>2911, 2938, 2942</x:v>
      </x:c>
      <x:c r="G33" s="17" t="str">
        <x:v>גבוה</x:v>
      </x:c>
      <x:c r="H33" s="25" t="str">
        <x:v>שם אתר ייחודי זהה; מספר הקלפי השתנה או פוצל | מספר קלפי בסיסי ושם אתר זהים</x:v>
      </x:c>
      <x:c r="I33" s="25" t="str">
        <x:v>הודעת הבחירות הרשמית של חיפה (2024)</x:v>
      </x:c>
      <x:c r="J33" s="25" t="str">
        <x:v>מוכן לעבודה</x:v>
      </x:c>
    </x:row>
    <x:row r="34" ht="42" customHeight="1">
      <x:c r="A34" s="17" t="n">
        <x:v>32</x:v>
      </x:c>
      <x:c r="B34" s="17" t="str">
        <x:v>בי"ס טכנולוגי אורט הכרמל</x:v>
      </x:c>
      <x:c r="C34" s="17" t="str">
        <x:v>התשעים ושלוש 8</x:v>
      </x:c>
      <x:c r="D34" s="28" t="n">
        <x:v>2</x:v>
      </x:c>
      <x:c r="E34" s="25" t="str">
        <x:v>2, 74</x:v>
      </x:c>
      <x:c r="F34" s="25" t="str">
        <x:v>2812, 2814</x:v>
      </x:c>
      <x:c r="G34" s="17" t="str">
        <x:v>גבוה מאוד</x:v>
      </x:c>
      <x:c r="H34" s="25" t="str">
        <x:v>מספר קלפי בסיסי ושם אתר זהים</x:v>
      </x:c>
      <x:c r="I34" s="25" t="str">
        <x:v>הודעת הבחירות הרשמית של חיפה (2024)</x:v>
      </x:c>
      <x:c r="J34" s="25" t="str">
        <x:v>מוכן לעבודה</x:v>
      </x:c>
    </x:row>
    <x:row r="35" ht="42" customHeight="1">
      <x:c r="A35" s="17" t="n">
        <x:v>33</x:v>
      </x:c>
      <x:c r="B35" s="17" t="str">
        <x:v>בי"ס טשרניחובסקי</x:v>
      </x:c>
      <x:c r="C35" s="17" t="str">
        <x:v>טשרניחובסקי 34</x:v>
      </x:c>
      <x:c r="D35" s="28" t="n">
        <x:v>4</x:v>
      </x:c>
      <x:c r="E35" s="25" t="str">
        <x:v>265.1, 265.2, 265.3, 265.4</x:v>
      </x:c>
      <x:c r="F35" s="25" t="str">
        <x:v>2968, 2969, 2970, 2971</x:v>
      </x:c>
      <x:c r="G35" s="17" t="str">
        <x:v>גבוה מאוד</x:v>
      </x:c>
      <x:c r="H35" s="25" t="str">
        <x:v>מספר קלפי בסיסי ושם אתר זהים</x:v>
      </x:c>
      <x:c r="I35" s="25" t="str">
        <x:v>הודעת הבחירות הרשמית של חיפה (2024)</x:v>
      </x:c>
      <x:c r="J35" s="25" t="str">
        <x:v>מוכן לעבודה</x:v>
      </x:c>
    </x:row>
    <x:row r="36" ht="42" customHeight="1">
      <x:c r="A36" s="17" t="n">
        <x:v>34</x:v>
      </x:c>
      <x:c r="B36" s="17" t="str">
        <x:v>בי"ס יבניאלי</x:v>
      </x:c>
      <x:c r="C36" s="17" t="str">
        <x:v>יואב 5</x:v>
      </x:c>
      <x:c r="D36" s="28" t="n">
        <x:v>3</x:v>
      </x:c>
      <x:c r="E36" s="25" t="str">
        <x:v>134, 135, 136</x:v>
      </x:c>
      <x:c r="F36" s="25" t="str">
        <x:v>2939, 2940, 2941</x:v>
      </x:c>
      <x:c r="G36" s="17" t="str">
        <x:v>גבוה מאוד</x:v>
      </x:c>
      <x:c r="H36" s="25" t="str">
        <x:v>מספר קלפי בסיסי ושם אתר זהים</x:v>
      </x:c>
      <x:c r="I36" s="25" t="str">
        <x:v>הודעת הבחירות הרשמית של חיפה (2024)</x:v>
      </x:c>
      <x:c r="J36" s="25" t="str">
        <x:v>מוכן לעבודה</x:v>
      </x:c>
    </x:row>
    <x:row r="37" ht="42" customHeight="1">
      <x:c r="A37" s="17" t="n">
        <x:v>35</x:v>
      </x:c>
      <x:c r="B37" s="17" t="str">
        <x:v>בי"ס יגאל אלון</x:v>
      </x:c>
      <x:c r="C37" s="17" t="str">
        <x:v>יגאל אלון 8</x:v>
      </x:c>
      <x:c r="D37" s="28" t="n">
        <x:v>2</x:v>
      </x:c>
      <x:c r="E37" s="25" t="str">
        <x:v>372, 420</x:v>
      </x:c>
      <x:c r="F37" s="25" t="str">
        <x:v>3119, 3122</x:v>
      </x:c>
      <x:c r="G37" s="17" t="str">
        <x:v>גבוה מאוד</x:v>
      </x:c>
      <x:c r="H37" s="25" t="str">
        <x:v>מספר קלפי בסיסי ושם אתר זהים</x:v>
      </x:c>
      <x:c r="I37" s="25" t="str">
        <x:v>הודעת הבחירות הרשמית של חיפה (2024)</x:v>
      </x:c>
      <x:c r="J37" s="25" t="str">
        <x:v>מוכן לעבודה</x:v>
      </x:c>
    </x:row>
    <x:row r="38" ht="42" customHeight="1">
      <x:c r="A38" s="17" t="n">
        <x:v>36</x:v>
      </x:c>
      <x:c r="B38" s="17" t="str">
        <x:v>בי"ס יזרעאליה</x:v>
      </x:c>
      <x:c r="C38" s="17" t="str">
        <x:v>צ'רניאבסקי אהרון 20</x:v>
      </x:c>
      <x:c r="D38" s="28" t="n">
        <x:v>5</x:v>
      </x:c>
      <x:c r="E38" s="25" t="str">
        <x:v>346.1, 346.2, 346.3, 346.4, 346.5</x:v>
      </x:c>
      <x:c r="F38" s="25" t="str">
        <x:v>3156, 3157, 3158, 3159, 3160</x:v>
      </x:c>
      <x:c r="G38" s="17" t="str">
        <x:v>גבוה מאוד</x:v>
      </x:c>
      <x:c r="H38" s="25" t="str">
        <x:v>מספר קלפי בסיסי ושם אתר זהים</x:v>
      </x:c>
      <x:c r="I38" s="25" t="str">
        <x:v>הודעת הבחירות הרשמית של חיפה (2024)</x:v>
      </x:c>
      <x:c r="J38" s="25" t="str">
        <x:v>מוכן לעבודה</x:v>
      </x:c>
    </x:row>
    <x:row r="39" ht="42" customHeight="1">
      <x:c r="A39" s="17" t="n">
        <x:v>37</x:v>
      </x:c>
      <x:c r="B39" s="17" t="str">
        <x:v>בי"ס ליאו בק</x:v>
      </x:c>
      <x:c r="C39" s="17" t="str">
        <x:v>שד גולומב אליהו 4</x:v>
      </x:c>
      <x:c r="D39" s="28" t="n">
        <x:v>3</x:v>
      </x:c>
      <x:c r="E39" s="25" t="str">
        <x:v>283.1, 283.2, 283.3</x:v>
      </x:c>
      <x:c r="F39" s="25" t="str">
        <x:v>2886, 2887, 2888</x:v>
      </x:c>
      <x:c r="G39" s="17" t="str">
        <x:v>גבוה מאוד</x:v>
      </x:c>
      <x:c r="H39" s="25" t="str">
        <x:v>מספר קלפי בסיסי ושם אתר זהים</x:v>
      </x:c>
      <x:c r="I39" s="25" t="str">
        <x:v>הודעת הבחירות הרשמית של חיפה (2024)</x:v>
      </x:c>
      <x:c r="J39" s="25" t="str">
        <x:v>מוכן לעבודה</x:v>
      </x:c>
    </x:row>
    <x:row r="40" ht="42" customHeight="1">
      <x:c r="A40" s="17" t="n">
        <x:v>38</x:v>
      </x:c>
      <x:c r="B40" s="17" t="str">
        <x:v>בי"ס ליאו בק + מתנ"ס</x:v>
      </x:c>
      <x:c r="C40" s="17" t="str">
        <x:v>טשרניחובסקי 71</x:v>
      </x:c>
      <x:c r="D40" s="28" t="n">
        <x:v>3</x:v>
      </x:c>
      <x:c r="E40" s="25" t="str">
        <x:v>231.1, 231.2, 231.3</x:v>
      </x:c>
      <x:c r="F40" s="25" t="str">
        <x:v>2955, 2956, 2957</x:v>
      </x:c>
      <x:c r="G40" s="17" t="str">
        <x:v>גבוה מאוד</x:v>
      </x:c>
      <x:c r="H40" s="25" t="str">
        <x:v>מספר קלפי בסיסי ושם אתר זהים</x:v>
      </x:c>
      <x:c r="I40" s="25" t="str">
        <x:v>הודעת הבחירות הרשמית של חיפה (2024)</x:v>
      </x:c>
      <x:c r="J40" s="25" t="str">
        <x:v>מוכן לעבודה</x:v>
      </x:c>
    </x:row>
    <x:row r="41" ht="42" customHeight="1">
      <x:c r="A41" s="17" t="n">
        <x:v>39</x:v>
      </x:c>
      <x:c r="B41" s="17" t="str">
        <x:v>בי"ס למחוננים</x:v>
      </x:c>
      <x:c r="C41" s="17" t="str">
        <x:v>מסדה 8</x:v>
      </x:c>
      <x:c r="D41" s="28" t="n">
        <x:v>5</x:v>
      </x:c>
      <x:c r="E41" s="25" t="str">
        <x:v>287.1, 287.2, 287.3, 287.4, 287.5</x:v>
      </x:c>
      <x:c r="F41" s="25" t="str">
        <x:v>2890, 2891, 2892, 2893, 2894</x:v>
      </x:c>
      <x:c r="G41" s="17" t="str">
        <x:v>גבוה מאוד</x:v>
      </x:c>
      <x:c r="H41" s="25" t="str">
        <x:v>מספר קלפי בסיסי ושם אתר זהים</x:v>
      </x:c>
      <x:c r="I41" s="25" t="str">
        <x:v>הודעת הבחירות הרשמית של חיפה (2024)</x:v>
      </x:c>
      <x:c r="J41" s="25" t="str">
        <x:v>מוכן לעבודה</x:v>
      </x:c>
    </x:row>
    <x:row r="42" ht="42" customHeight="1">
      <x:c r="A42" s="17" t="n">
        <x:v>40</x:v>
      </x:c>
      <x:c r="B42" s="17" t="str">
        <x:v>בי"ס מוריה</x:v>
      </x:c>
      <x:c r="C42" s="17" t="str">
        <x:v>אנילביץ מרדכי 26</x:v>
      </x:c>
      <x:c r="D42" s="28" t="n">
        <x:v>2</x:v>
      </x:c>
      <x:c r="E42" s="25" t="str">
        <x:v>85, 87</x:v>
      </x:c>
      <x:c r="F42" s="25" t="str">
        <x:v>2914, 2916</x:v>
      </x:c>
      <x:c r="G42" s="17" t="str">
        <x:v>גבוה מאוד</x:v>
      </x:c>
      <x:c r="H42" s="25" t="str">
        <x:v>מספר קלפי בסיסי ושם אתר זהים</x:v>
      </x:c>
      <x:c r="I42" s="25" t="str">
        <x:v>הודעת הבחירות הרשמית של חיפה (2024)</x:v>
      </x:c>
      <x:c r="J42" s="25" t="str">
        <x:v>מוכן לעבודה</x:v>
      </x:c>
    </x:row>
    <x:row r="43" ht="42" customHeight="1">
      <x:c r="A43" s="17" t="n">
        <x:v>41</x:v>
      </x:c>
      <x:c r="B43" s="17" t="str">
        <x:v>בי"ס ממ'ד אהרון הרואה - בנים</x:v>
      </x:c>
      <x:c r="C43" s="17" t="str">
        <x:v>פרומר דב 15</x:v>
      </x:c>
      <x:c r="D43" s="28" t="n">
        <x:v>2</x:v>
      </x:c>
      <x:c r="E43" s="25" t="str">
        <x:v>31, 34</x:v>
      </x:c>
      <x:c r="F43" s="25" t="str">
        <x:v>3190, 3192</x:v>
      </x:c>
      <x:c r="G43" s="17" t="str">
        <x:v>גבוה מאוד</x:v>
      </x:c>
      <x:c r="H43" s="25" t="str">
        <x:v>מספר קלפי בסיסי ושם אתר זהים</x:v>
      </x:c>
      <x:c r="I43" s="25" t="str">
        <x:v>הודעת הבחירות הרשמית של חיפה (2024)</x:v>
      </x:c>
      <x:c r="J43" s="25" t="str">
        <x:v>מוכן לעבודה</x:v>
      </x:c>
    </x:row>
    <x:row r="44" ht="42" customHeight="1">
      <x:c r="A44" s="17" t="n">
        <x:v>42</x:v>
      </x:c>
      <x:c r="B44" s="17" t="str">
        <x:v>בי"ס נאות פרס</x:v>
      </x:c>
      <x:c r="C44" s="17" t="str">
        <x:v>כיכר ואצלב האוול</x:v>
      </x:c>
      <x:c r="D44" s="28" t="n">
        <x:v>5</x:v>
      </x:c>
      <x:c r="E44" s="25" t="str">
        <x:v>439, 440, 441, 966, 968</x:v>
      </x:c>
      <x:c r="F44" s="25" t="str">
        <x:v>3003, 3004, 3005, 3010, 3011</x:v>
      </x:c>
      <x:c r="G44" s="17" t="str">
        <x:v>גבוה מאוד</x:v>
      </x:c>
      <x:c r="H44" s="25" t="str">
        <x:v>מספר קלפי בסיסי ושם אתר זהים</x:v>
      </x:c>
      <x:c r="I44" s="25" t="str">
        <x:v>הודעת הבחירות הרשמית של חיפה (2024)</x:v>
      </x:c>
      <x:c r="J44" s="25" t="str">
        <x:v>מוכן לעבודה</x:v>
      </x:c>
    </x:row>
    <x:row r="45" ht="42" customHeight="1">
      <x:c r="A45" s="17" t="n">
        <x:v>43</x:v>
      </x:c>
      <x:c r="B45" s="17" t="str">
        <x:v>בי"ס נופים</x:v>
      </x:c>
      <x:c r="C45" s="17" t="str">
        <x:v>סורוקה משה 22</x:v>
      </x:c>
      <x:c r="D45" s="28" t="n">
        <x:v>4</x:v>
      </x:c>
      <x:c r="E45" s="25" t="str">
        <x:v>449.1, 449.2, 449.3, 449.4</x:v>
      </x:c>
      <x:c r="F45" s="25" t="str">
        <x:v>3096, 3097, 3098, 3099</x:v>
      </x:c>
      <x:c r="G45" s="17" t="str">
        <x:v>גבוה מאוד</x:v>
      </x:c>
      <x:c r="H45" s="25" t="str">
        <x:v>מספר קלפי בסיסי ושם אתר זהים</x:v>
      </x:c>
      <x:c r="I45" s="25" t="str">
        <x:v>הודעת הבחירות הרשמית של חיפה (2024)</x:v>
      </x:c>
      <x:c r="J45" s="25" t="str">
        <x:v>מוכן לעבודה</x:v>
      </x:c>
    </x:row>
    <x:row r="46" ht="42" customHeight="1">
      <x:c r="A46" s="17" t="n">
        <x:v>44</x:v>
      </x:c>
      <x:c r="B46" s="17" t="str">
        <x:v>בי"ס נירים</x:v>
      </x:c>
      <x:c r="C46" s="17" t="str">
        <x:v>יהושפט המלך 6</x:v>
      </x:c>
      <x:c r="D46" s="28" t="n">
        <x:v>3</x:v>
      </x:c>
      <x:c r="E46" s="25" t="str">
        <x:v>960.1, 960.2, 960.3</x:v>
      </x:c>
      <x:c r="F46" s="25" t="str">
        <x:v>3007, 3008, 3009</x:v>
      </x:c>
      <x:c r="G46" s="17" t="str">
        <x:v>גבוה מאוד</x:v>
      </x:c>
      <x:c r="H46" s="25" t="str">
        <x:v>מספר קלפי בסיסי ושם אתר זהים</x:v>
      </x:c>
      <x:c r="I46" s="25" t="str">
        <x:v>הודעת הבחירות הרשמית של חיפה (2024)</x:v>
      </x:c>
      <x:c r="J46" s="25" t="str">
        <x:v>מוכן לעבודה</x:v>
      </x:c>
    </x:row>
    <x:row r="47" ht="42" customHeight="1">
      <x:c r="A47" s="17" t="n">
        <x:v>45</x:v>
      </x:c>
      <x:c r="B47" s="17" t="str">
        <x:v>בי"ס עבד אל רחמן אלחאג'</x:v>
      </x:c>
      <x:c r="C47" s="17" t="str">
        <x:v>גוש עציון 24</x:v>
      </x:c>
      <x:c r="D47" s="28" t="n">
        <x:v>2</x:v>
      </x:c>
      <x:c r="E47" s="25" t="str">
        <x:v>384, 430</x:v>
      </x:c>
      <x:c r="F47" s="25" t="str">
        <x:v>2851, 2855</x:v>
      </x:c>
      <x:c r="G47" s="17" t="str">
        <x:v>גבוה מאוד</x:v>
      </x:c>
      <x:c r="H47" s="25" t="str">
        <x:v>מספר קלפי בסיסי ושם אתר זהים</x:v>
      </x:c>
      <x:c r="I47" s="25" t="str">
        <x:v>הודעת הבחירות הרשמית של חיפה (2024)</x:v>
      </x:c>
      <x:c r="J47" s="25" t="str">
        <x:v>מוכן לעבודה</x:v>
      </x:c>
    </x:row>
    <x:row r="48" ht="42" customHeight="1">
      <x:c r="A48" s="17" t="n">
        <x:v>46</x:v>
      </x:c>
      <x:c r="B48" s="17" t="str">
        <x:v>בי"ס עופרים</x:v>
      </x:c>
      <x:c r="C48" s="17" t="str">
        <x:v>דוד המלך 29</x:v>
      </x:c>
      <x:c r="D48" s="28" t="n">
        <x:v>2</x:v>
      </x:c>
      <x:c r="E48" s="25" t="str">
        <x:v>154, 167</x:v>
      </x:c>
      <x:c r="F48" s="25" t="str">
        <x:v>2985, 2997</x:v>
      </x:c>
      <x:c r="G48" s="17" t="str">
        <x:v>גבוה מאוד</x:v>
      </x:c>
      <x:c r="H48" s="25" t="str">
        <x:v>מספר קלפי בסיסי ושם אתר זהים</x:v>
      </x:c>
      <x:c r="I48" s="25" t="str">
        <x:v>הודעת הבחירות הרשמית של חיפה (2024)</x:v>
      </x:c>
      <x:c r="J48" s="25" t="str">
        <x:v>מוכן לעבודה</x:v>
      </x:c>
    </x:row>
    <x:row r="49" ht="42" customHeight="1">
      <x:c r="A49" s="17" t="n">
        <x:v>47</x:v>
      </x:c>
      <x:c r="B49" s="17" t="str">
        <x:v>בי"ס עין הים</x:v>
      </x:c>
      <x:c r="C49" s="17" t="str">
        <x:v>יציאת אירופה 17</x:v>
      </x:c>
      <x:c r="D49" s="28" t="n">
        <x:v>5</x:v>
      </x:c>
      <x:c r="E49" s="25" t="str">
        <x:v>155.1, 155.2, 155.3, 155.4, 155.5</x:v>
      </x:c>
      <x:c r="F49" s="25" t="str">
        <x:v>2986, 2987, 2988, 2989, 2990</x:v>
      </x:c>
      <x:c r="G49" s="17" t="str">
        <x:v>גבוה מאוד</x:v>
      </x:c>
      <x:c r="H49" s="25" t="str">
        <x:v>מספר קלפי בסיסי ושם אתר זהים</x:v>
      </x:c>
      <x:c r="I49" s="25" t="str">
        <x:v>הודעת הבחירות הרשמית של חיפה (2024)</x:v>
      </x:c>
      <x:c r="J49" s="25" t="str">
        <x:v>מוכן לעבודה</x:v>
      </x:c>
    </x:row>
    <x:row r="50" ht="42" customHeight="1">
      <x:c r="A50" s="17" t="n">
        <x:v>48</x:v>
      </x:c>
      <x:c r="B50" s="17" t="str">
        <x:v>בי"ס עירוני כי"ח</x:v>
      </x:c>
      <x:c r="C50" s="17" t="str">
        <x:v>בירם ד"ר 35</x:v>
      </x:c>
      <x:c r="D50" s="28" t="n">
        <x:v>3</x:v>
      </x:c>
      <x:c r="E50" s="25" t="str">
        <x:v>368, 371, 438</x:v>
      </x:c>
      <x:c r="F50" s="25" t="str">
        <x:v>3115, 3118, 3123</x:v>
      </x:c>
      <x:c r="G50" s="17" t="str">
        <x:v>גבוה מאוד</x:v>
      </x:c>
      <x:c r="H50" s="25" t="str">
        <x:v>מספר קלפי בסיסי ושם אתר זהים</x:v>
      </x:c>
      <x:c r="I50" s="25" t="str">
        <x:v>הודעת הבחירות הרשמית של חיפה (2024)</x:v>
      </x:c>
      <x:c r="J50" s="25" t="str">
        <x:v>מוכן לעבודה</x:v>
      </x:c>
    </x:row>
    <x:row r="51" ht="42" customHeight="1">
      <x:c r="A51" s="17" t="n">
        <x:v>49</x:v>
      </x:c>
      <x:c r="B51" s="17" t="str">
        <x:v>בי"ס פיכמן</x:v>
      </x:c>
      <x:c r="C51" s="17" t="str">
        <x:v>פיכמן יעקב 15</x:v>
      </x:c>
      <x:c r="D51" s="28" t="n">
        <x:v>5</x:v>
      </x:c>
      <x:c r="E51" s="25" t="str">
        <x:v>198.1, 198.2, 198.3, 198.4, 198.5</x:v>
      </x:c>
      <x:c r="F51" s="25" t="str">
        <x:v>3110, 3111, 3112, 3113, 3114</x:v>
      </x:c>
      <x:c r="G51" s="17" t="str">
        <x:v>גבוה מאוד</x:v>
      </x:c>
      <x:c r="H51" s="25" t="str">
        <x:v>מספר קלפי בסיסי ושם אתר זהים</x:v>
      </x:c>
      <x:c r="I51" s="25" t="str">
        <x:v>הודעת הבחירות הרשמית של חיפה (2024)</x:v>
      </x:c>
      <x:c r="J51" s="25" t="str">
        <x:v>מוכן לעבודה</x:v>
      </x:c>
    </x:row>
    <x:row r="52" ht="42" customHeight="1">
      <x:c r="A52" s="17" t="n">
        <x:v>50</x:v>
      </x:c>
      <x:c r="B52" s="17" t="str">
        <x:v>בי"ס רגבים</x:v>
      </x:c>
      <x:c r="C52" s="17" t="str">
        <x:v>שד דגניה 53</x:v>
      </x:c>
      <x:c r="D52" s="28" t="n">
        <x:v>2</x:v>
      </x:c>
      <x:c r="E52" s="25" t="str">
        <x:v>704, 705</x:v>
      </x:c>
      <x:c r="F52" s="25" t="str">
        <x:v>3198, 3199</x:v>
      </x:c>
      <x:c r="G52" s="17" t="str">
        <x:v>גבוה מאוד</x:v>
      </x:c>
      <x:c r="H52" s="25" t="str">
        <x:v>מספר קלפי בסיסי ושם אתר זהים</x:v>
      </x:c>
      <x:c r="I52" s="25" t="str">
        <x:v>הודעת הבחירות הרשמית של חיפה (2024)</x:v>
      </x:c>
      <x:c r="J52" s="25" t="str">
        <x:v>מוכן לעבודה</x:v>
      </x:c>
    </x:row>
    <x:row r="53" ht="42" customHeight="1">
      <x:c r="A53" s="17" t="n">
        <x:v>51</x:v>
      </x:c>
      <x:c r="B53" s="17" t="str">
        <x:v>בי"ס רוממה</x:v>
      </x:c>
      <x:c r="C53" s="17" t="str">
        <x:v>אורן 27</x:v>
      </x:c>
      <x:c r="D53" s="28" t="n">
        <x:v>6</x:v>
      </x:c>
      <x:c r="E53" s="25" t="str">
        <x:v>180, 184, 186, 195, 262, 364</x:v>
      </x:c>
      <x:c r="F53" s="25" t="str">
        <x:v>3044, 3045, 3046, 3047, 3053, 3059</x:v>
      </x:c>
      <x:c r="G53" s="17" t="str">
        <x:v>גבוה מאוד</x:v>
      </x:c>
      <x:c r="H53" s="25" t="str">
        <x:v>מספר קלפי בסיסי ושם אתר זהים</x:v>
      </x:c>
      <x:c r="I53" s="25" t="str">
        <x:v>הודעת הבחירות הרשמית של חיפה (2024)</x:v>
      </x:c>
      <x:c r="J53" s="25" t="str">
        <x:v>מוכן לעבודה</x:v>
      </x:c>
    </x:row>
    <x:row r="54" ht="42" customHeight="1">
      <x:c r="A54" s="17" t="n">
        <x:v>52</x:v>
      </x:c>
      <x:c r="B54" s="17" t="str">
        <x:v>בי"ס רמב"ם</x:v>
      </x:c>
      <x:c r="C54" s="17" t="str">
        <x:v>ציון 7</x:v>
      </x:c>
      <x:c r="D54" s="28" t="n">
        <x:v>7</x:v>
      </x:c>
      <x:c r="E54" s="25" t="str">
        <x:v>355.1, 355.2, 355.3, 355.4, 355.5, 355.6, 355.7</x:v>
      </x:c>
      <x:c r="F54" s="25" t="str">
        <x:v>3135, 3136, 3137, 3138, 3139, 3140, 3141</x:v>
      </x:c>
      <x:c r="G54" s="17" t="str">
        <x:v>גבוה מאוד</x:v>
      </x:c>
      <x:c r="H54" s="25" t="str">
        <x:v>מספר קלפי בסיסי ושם אתר זהים</x:v>
      </x:c>
      <x:c r="I54" s="25" t="str">
        <x:v>הודעת הבחירות הרשמית של חיפה (2024)</x:v>
      </x:c>
      <x:c r="J54" s="25" t="str">
        <x:v>מוכן לעבודה</x:v>
      </x:c>
    </x:row>
    <x:row r="55" ht="42" customHeight="1">
      <x:c r="A55" s="17" t="n">
        <x:v>53</x:v>
      </x:c>
      <x:c r="B55" s="17" t="str">
        <x:v>בי"ס רמות</x:v>
      </x:c>
      <x:c r="C55" s="17" t="str">
        <x:v>דרך צרפת 85</x:v>
      </x:c>
      <x:c r="D55" s="28" t="n">
        <x:v>4</x:v>
      </x:c>
      <x:c r="E55" s="25" t="str">
        <x:v>149.1, 149.2, 149.3, 149.4</x:v>
      </x:c>
      <x:c r="F55" s="25" t="str">
        <x:v>2947, 2948, 2949, 2950</x:v>
      </x:c>
      <x:c r="G55" s="17" t="str">
        <x:v>גבוה מאוד</x:v>
      </x:c>
      <x:c r="H55" s="25" t="str">
        <x:v>מספר קלפי בסיסי ושם אתר זהים</x:v>
      </x:c>
      <x:c r="I55" s="25" t="str">
        <x:v>הודעת הבחירות הרשמית של חיפה (2024)</x:v>
      </x:c>
      <x:c r="J55" s="25" t="str">
        <x:v>מוכן לעבודה</x:v>
      </x:c>
    </x:row>
    <x:row r="56" ht="42" customHeight="1">
      <x:c r="A56" s="17" t="n">
        <x:v>54</x:v>
      </x:c>
      <x:c r="B56" s="17" t="str">
        <x:v>בי"ס שיזף</x:v>
      </x:c>
      <x:c r="C56" s="17" t="str">
        <x:v>הבישוף חג'אר 1</x:v>
      </x:c>
      <x:c r="D56" s="28" t="n">
        <x:v>5</x:v>
      </x:c>
      <x:c r="E56" s="25" t="str">
        <x:v>275.1, 275.2, 275.3, 275.4, 275.5</x:v>
      </x:c>
      <x:c r="F56" s="25" t="str">
        <x:v>2822, 2823, 2824, 2825, 2826</x:v>
      </x:c>
      <x:c r="G56" s="17" t="str">
        <x:v>גבוה מאוד</x:v>
      </x:c>
      <x:c r="H56" s="25" t="str">
        <x:v>מספר קלפי בסיסי ושם אתר זהים</x:v>
      </x:c>
      <x:c r="I56" s="25" t="str">
        <x:v>הודעת הבחירות הרשמית של חיפה (2024)</x:v>
      </x:c>
      <x:c r="J56" s="25" t="str">
        <x:v>מוכן לעבודה</x:v>
      </x:c>
    </x:row>
    <x:row r="57" ht="42" customHeight="1">
      <x:c r="A57" s="17" t="n">
        <x:v>55</x:v>
      </x:c>
      <x:c r="B57" s="17" t="str">
        <x:v>בי"ס שלווה</x:v>
      </x:c>
      <x:c r="C57" s="17" t="str">
        <x:v>שדה יצחק 26</x:v>
      </x:c>
      <x:c r="D57" s="28" t="n">
        <x:v>5</x:v>
      </x:c>
      <x:c r="E57" s="25" t="str">
        <x:v>89.1, 89.2, 89.3, 89.4, 89.5</x:v>
      </x:c>
      <x:c r="F57" s="25" t="str">
        <x:v>2917, 2918, 2919, 2920, 2921</x:v>
      </x:c>
      <x:c r="G57" s="17" t="str">
        <x:v>גבוה מאוד</x:v>
      </x:c>
      <x:c r="H57" s="25" t="str">
        <x:v>מספר קלפי בסיסי ושם אתר זהים</x:v>
      </x:c>
      <x:c r="I57" s="25" t="str">
        <x:v>הודעת הבחירות הרשמית של חיפה (2024)</x:v>
      </x:c>
      <x:c r="J57" s="25" t="str">
        <x:v>מוכן לעבודה</x:v>
      </x:c>
    </x:row>
    <x:row r="58" ht="42" customHeight="1">
      <x:c r="A58" s="17" t="n">
        <x:v>56</x:v>
      </x:c>
      <x:c r="B58" s="17" t="str">
        <x:v>בי"ס שערי תורה</x:v>
      </x:c>
      <x:c r="C58" s="17" t="str">
        <x:v>הגבורים 17</x:v>
      </x:c>
      <x:c r="D58" s="28" t="n">
        <x:v>4</x:v>
      </x:c>
      <x:c r="E58" s="25" t="str">
        <x:v>52.1, 52.2, 52.3, 52.4</x:v>
      </x:c>
      <x:c r="F58" s="25" t="str">
        <x:v>2838, 2839, 2840, 2841</x:v>
      </x:c>
      <x:c r="G58" s="17" t="str">
        <x:v>גבוה מאוד</x:v>
      </x:c>
      <x:c r="H58" s="25" t="str">
        <x:v>מספר קלפי בסיסי ושם אתר זהים</x:v>
      </x:c>
      <x:c r="I58" s="25" t="str">
        <x:v>הודעת הבחירות הרשמית של חיפה (2024)</x:v>
      </x:c>
      <x:c r="J58" s="25" t="str">
        <x:v>מוכן לעבודה</x:v>
      </x:c>
    </x:row>
    <x:row r="59" ht="42" customHeight="1">
      <x:c r="A59" s="17" t="n">
        <x:v>57</x:v>
      </x:c>
      <x:c r="B59" s="17" t="str">
        <x:v>בי"ס תהילת שלמה</x:v>
      </x:c>
      <x:c r="C59" s="17" t="str">
        <x:v>החשמל 8</x:v>
      </x:c>
      <x:c r="D59" s="28" t="n">
        <x:v>2</x:v>
      </x:c>
      <x:c r="E59" s="25" t="str">
        <x:v>387.1, 387.2</x:v>
      </x:c>
      <x:c r="F59" s="25" t="str">
        <x:v>2852, 2853</x:v>
      </x:c>
      <x:c r="G59" s="17" t="str">
        <x:v>גבוה מאוד</x:v>
      </x:c>
      <x:c r="H59" s="25" t="str">
        <x:v>מספר קלפי בסיסי ושם אתר זהים</x:v>
      </x:c>
      <x:c r="I59" s="25" t="str">
        <x:v>הודעת הבחירות הרשמית של חיפה (2024)</x:v>
      </x:c>
      <x:c r="J59" s="25" t="str">
        <x:v>מוכן לעבודה</x:v>
      </x:c>
    </x:row>
    <x:row r="60" ht="42" customHeight="1">
      <x:c r="A60" s="17" t="n">
        <x:v>58</x:v>
      </x:c>
      <x:c r="B60" s="17" t="str">
        <x:v>בי"ס תיכון לאומנויות רעות</x:v>
      </x:c>
      <x:c r="C60" s="17" t="str">
        <x:v>סנש חנה 12</x:v>
      </x:c>
      <x:c r="D60" s="28" t="n">
        <x:v>3</x:v>
      </x:c>
      <x:c r="E60" s="25" t="str">
        <x:v>345.1, 345.2, 345.3</x:v>
      </x:c>
      <x:c r="F60" s="25" t="str">
        <x:v>2900, 2901, 2902</x:v>
      </x:c>
      <x:c r="G60" s="17" t="str">
        <x:v>גבוה מאוד</x:v>
      </x:c>
      <x:c r="H60" s="25" t="str">
        <x:v>מספר קלפי בסיסי ושם אתר זהים</x:v>
      </x:c>
      <x:c r="I60" s="25" t="str">
        <x:v>הודעת הבחירות הרשמית של חיפה (2024)</x:v>
      </x:c>
      <x:c r="J60" s="25" t="str">
        <x:v>מוכן לעבודה</x:v>
      </x:c>
    </x:row>
    <x:row r="61" ht="42" customHeight="1">
      <x:c r="A61" s="17" t="n">
        <x:v>59</x:v>
      </x:c>
      <x:c r="B61" s="17" t="str">
        <x:v>בי"ס תיכון עירוני א</x:v>
      </x:c>
      <x:c r="C61" s="17" t="str">
        <x:v>תל אביב 27</x:v>
      </x:c>
      <x:c r="D61" s="28" t="n">
        <x:v>4</x:v>
      </x:c>
      <x:c r="E61" s="25" t="str">
        <x:v>90.1, 90.2, 90.3, 90.4</x:v>
      </x:c>
      <x:c r="F61" s="25" t="str">
        <x:v>2922, 2923, 2924, 2925</x:v>
      </x:c>
      <x:c r="G61" s="17" t="str">
        <x:v>גבוה מאוד</x:v>
      </x:c>
      <x:c r="H61" s="25" t="str">
        <x:v>מספר קלפי בסיסי ושם אתר זהים</x:v>
      </x:c>
      <x:c r="I61" s="25" t="str">
        <x:v>הודעת הבחירות הרשמית של חיפה (2024)</x:v>
      </x:c>
      <x:c r="J61" s="25" t="str">
        <x:v>מוכן לעבודה</x:v>
      </x:c>
    </x:row>
    <x:row r="62" ht="42" customHeight="1">
      <x:c r="A62" s="17" t="n">
        <x:v>60</x:v>
      </x:c>
      <x:c r="B62" s="17" t="str">
        <x:v>בי"ס תיכון עירוני ג</x:v>
      </x:c>
      <x:c r="C62" s="17" t="str">
        <x:v>גדליהו 22</x:v>
      </x:c>
      <x:c r="D62" s="28" t="n">
        <x:v>5</x:v>
      </x:c>
      <x:c r="E62" s="25" t="str">
        <x:v>403, 411, 435, 958, 963</x:v>
      </x:c>
      <x:c r="F62" s="25" t="str">
        <x:v>3150, 3151, 3152, 3154, 3155</x:v>
      </x:c>
      <x:c r="G62" s="17" t="str">
        <x:v>גבוה</x:v>
      </x:c>
      <x:c r="H62" s="25" t="str">
        <x:v>שם אתר ייחודי זהה; מספר הקלפי השתנה או פוצל | מספר קלפי בסיסי ושם אתר זהים</x:v>
      </x:c>
      <x:c r="I62" s="25" t="str">
        <x:v>הודעת הבחירות הרשמית של חיפה (2024)</x:v>
      </x:c>
      <x:c r="J62" s="25" t="str">
        <x:v>מוכן לעבודה</x:v>
      </x:c>
    </x:row>
    <x:row r="63" ht="42" customHeight="1">
      <x:c r="A63" s="17" t="n">
        <x:v>61</x:v>
      </x:c>
      <x:c r="B63" s="17" t="str">
        <x:v>בי"ס תיכון עירוני ה</x:v>
      </x:c>
      <x:c r="C63" s="17" t="str">
        <x:v>ביכורים 27</x:v>
      </x:c>
      <x:c r="D63" s="28" t="n">
        <x:v>5</x:v>
      </x:c>
      <x:c r="E63" s="25" t="str">
        <x:v>250.1, 250.2, 250.3, 250.4, 250.5</x:v>
      </x:c>
      <x:c r="F63" s="25" t="str">
        <x:v>3023, 3024, 3025, 3026, 3027</x:v>
      </x:c>
      <x:c r="G63" s="17" t="str">
        <x:v>גבוה מאוד</x:v>
      </x:c>
      <x:c r="H63" s="25" t="str">
        <x:v>מספר קלפי בסיסי ושם אתר זהים</x:v>
      </x:c>
      <x:c r="I63" s="25" t="str">
        <x:v>הודעת הבחירות הרשמית של חיפה (2024)</x:v>
      </x:c>
      <x:c r="J63" s="25" t="str">
        <x:v>מוכן לעבודה</x:v>
      </x:c>
    </x:row>
    <x:row r="64" ht="42" customHeight="1">
      <x:c r="A64" s="17" t="n">
        <x:v>62</x:v>
      </x:c>
      <x:c r="B64" s="17" t="str">
        <x:v>בי"ס תיכון עירוני ו</x:v>
      </x:c>
      <x:c r="C64" s="17" t="str">
        <x:v>דרך יד לבנים 97</x:v>
      </x:c>
      <x:c r="D64" s="28" t="n">
        <x:v>5</x:v>
      </x:c>
      <x:c r="E64" s="25" t="str">
        <x:v>351.1, 351.2, 351.3, 351.4, 351.5</x:v>
      </x:c>
      <x:c r="F64" s="25" t="str">
        <x:v>3161, 3162, 3163, 3164, 3165</x:v>
      </x:c>
      <x:c r="G64" s="17" t="str">
        <x:v>גבוה מאוד</x:v>
      </x:c>
      <x:c r="H64" s="25" t="str">
        <x:v>מספר קלפי בסיסי ושם אתר זהים</x:v>
      </x:c>
      <x:c r="I64" s="25" t="str">
        <x:v>הודעת הבחירות הרשמית של חיפה (2024)</x:v>
      </x:c>
      <x:c r="J64" s="25" t="str">
        <x:v>מוכן לעבודה</x:v>
      </x:c>
    </x:row>
    <x:row r="65" ht="42" customHeight="1">
      <x:c r="A65" s="17" t="n">
        <x:v>63</x:v>
      </x:c>
      <x:c r="B65" s="17" t="str">
        <x:v>בי"ס תיכון קרית חיים</x:v>
      </x:c>
      <x:c r="C65" s="17" t="str">
        <x:v>הגדוד העברי 48</x:v>
      </x:c>
      <x:c r="D65" s="28" t="n">
        <x:v>4</x:v>
      </x:c>
      <x:c r="E65" s="25" t="str">
        <x:v>723.1, 723.2, 723.3, 723.4</x:v>
      </x:c>
      <x:c r="F65" s="25" t="str">
        <x:v>3220, 3221, 3222, 3223</x:v>
      </x:c>
      <x:c r="G65" s="17" t="str">
        <x:v>גבוה מאוד</x:v>
      </x:c>
      <x:c r="H65" s="25" t="str">
        <x:v>מספר קלפי בסיסי ושם אתר זהים</x:v>
      </x:c>
      <x:c r="I65" s="25" t="str">
        <x:v>הודעת הבחירות הרשמית של חיפה (2024)</x:v>
      </x:c>
      <x:c r="J65" s="25" t="str">
        <x:v>מוכן לעבודה</x:v>
      </x:c>
    </x:row>
    <x:row r="66" ht="42" customHeight="1">
      <x:c r="A66" s="17" t="n">
        <x:v>64</x:v>
      </x:c>
      <x:c r="B66" s="17" t="str">
        <x:v>בי"ס תל חי</x:v>
      </x:c>
      <x:c r="C66" s="17" t="str">
        <x:v>הגליל 107</x:v>
      </x:c>
      <x:c r="D66" s="28" t="n">
        <x:v>5</x:v>
      </x:c>
      <x:c r="E66" s="25" t="str">
        <x:v>392.1, 392.2, 392.3, 392.4, 392.5</x:v>
      </x:c>
      <x:c r="F66" s="25" t="str">
        <x:v>3145, 3146, 3147, 3148, 3149</x:v>
      </x:c>
      <x:c r="G66" s="17" t="str">
        <x:v>גבוה מאוד</x:v>
      </x:c>
      <x:c r="H66" s="25" t="str">
        <x:v>מספר קלפי בסיסי ושם אתר זהים</x:v>
      </x:c>
      <x:c r="I66" s="25" t="str">
        <x:v>הודעת הבחירות הרשמית של חיפה (2024)</x:v>
      </x:c>
      <x:c r="J66" s="25" t="str">
        <x:v>מוכן לעבודה</x:v>
      </x:c>
    </x:row>
    <x:row r="67" ht="42" customHeight="1">
      <x:c r="A67" s="17" t="n">
        <x:v>65</x:v>
      </x:c>
      <x:c r="B67" s="17" t="str">
        <x:v>ביה"ס אחוזה (זכרון יוסף)</x:v>
      </x:c>
      <x:c r="C67" s="17" t="str">
        <x:v>שד סיני 13</x:v>
      </x:c>
      <x:c r="D67" s="28" t="n">
        <x:v>6</x:v>
      </x:c>
      <x:c r="E67" s="25" t="str">
        <x:v>194.1, 194.2, 194.3, 194.4, 194.5, 194.6</x:v>
      </x:c>
      <x:c r="F67" s="25" t="str">
        <x:v>3085, 3086, 3087, 3088, 3089, 3090</x:v>
      </x:c>
      <x:c r="G67" s="17" t="str">
        <x:v>גבוה מאוד</x:v>
      </x:c>
      <x:c r="H67" s="25" t="str">
        <x:v>מספר קלפי בסיסי ושם אתר זהים</x:v>
      </x:c>
      <x:c r="I67" s="25" t="str">
        <x:v>הודעת הבחירות הרשמית של חיפה (2024)</x:v>
      </x:c>
      <x:c r="J67" s="25" t="str">
        <x:v>מוכן לעבודה</x:v>
      </x:c>
    </x:row>
    <x:row r="68" ht="42" customHeight="1">
      <x:c r="A68" s="17" t="n">
        <x:v>66</x:v>
      </x:c>
      <x:c r="B68" s="17" t="str">
        <x:v>ביה"ס הריאלי - בנין וולפסון</x:v>
      </x:c>
      <x:c r="C68" s="17" t="str">
        <x:v>שד אבא חושי 15</x:v>
      </x:c>
      <x:c r="D68" s="28" t="n">
        <x:v>4</x:v>
      </x:c>
      <x:c r="E68" s="25" t="str">
        <x:v>192.1, 192.2, 192.3, 192.4</x:v>
      </x:c>
      <x:c r="F68" s="25" t="str">
        <x:v>3081, 3082, 3083, 3084</x:v>
      </x:c>
      <x:c r="G68" s="17" t="str">
        <x:v>גבוה מאוד</x:v>
      </x:c>
      <x:c r="H68" s="25" t="str">
        <x:v>מספר קלפי בסיסי ושם אתר זהים</x:v>
      </x:c>
      <x:c r="I68" s="25" t="str">
        <x:v>הודעת הבחירות הרשמית של חיפה (2024)</x:v>
      </x:c>
      <x:c r="J68" s="25" t="str">
        <x:v>מוכן לעבודה</x:v>
      </x:c>
    </x:row>
    <x:row r="69" ht="42" customHeight="1">
      <x:c r="A69" s="17" t="n">
        <x:v>67</x:v>
      </x:c>
      <x:c r="B69" s="17" t="str">
        <x:v>ביס דוד ילין</x:v>
      </x:c>
      <x:c r="C69" s="17" t="str">
        <x:v>כ"ץ יאיר 12</x:v>
      </x:c>
      <x:c r="D69" s="28" t="n">
        <x:v>3</x:v>
      </x:c>
      <x:c r="E69" s="25" t="str">
        <x:v>203.1, 203.2, 203.3</x:v>
      </x:c>
      <x:c r="F69" s="25" t="str">
        <x:v>3013, 3014, 3015</x:v>
      </x:c>
      <x:c r="G69" s="17" t="str">
        <x:v>גבוה מאוד</x:v>
      </x:c>
      <x:c r="H69" s="25" t="str">
        <x:v>מספר קלפי בסיסי ושם אתר זהים</x:v>
      </x:c>
      <x:c r="I69" s="25" t="str">
        <x:v>הודעת הבחירות הרשמית של חיפה (2024)</x:v>
      </x:c>
      <x:c r="J69" s="25" t="str">
        <x:v>מוכן לעבודה</x:v>
      </x:c>
    </x:row>
    <x:row r="70" ht="42" customHeight="1">
      <x:c r="A70" s="17" t="n">
        <x:v>68</x:v>
      </x:c>
      <x:c r="B70" s="17" t="str">
        <x:v>בית אבא חושי</x:v>
      </x:c>
      <x:c r="C70" s="17" t="str">
        <x:v>סילבר אבא הלל 71</x:v>
      </x:c>
      <x:c r="D70" s="28" t="n">
        <x:v>4</x:v>
      </x:c>
      <x:c r="E70" s="25" t="str">
        <x:v>418, 419, 423, 433</x:v>
      </x:c>
      <x:c r="F70" s="25" t="str">
        <x:v>3177, 3178, 3179, 3185</x:v>
      </x:c>
      <x:c r="G70" s="17" t="str">
        <x:v>גבוה מאוד</x:v>
      </x:c>
      <x:c r="H70" s="25" t="str">
        <x:v>מספר קלפי בסיסי ושם אתר זהים</x:v>
      </x:c>
      <x:c r="I70" s="25" t="str">
        <x:v>הודעת הבחירות הרשמית של חיפה (2024)</x:v>
      </x:c>
      <x:c r="J70" s="25" t="str">
        <x:v>מוכן לעבודה</x:v>
      </x:c>
    </x:row>
    <x:row r="71" ht="42" customHeight="1">
      <x:c r="A71" s="17" t="n">
        <x:v>69</x:v>
      </x:c>
      <x:c r="B71" s="17" t="str">
        <x:v>בית ארדשטיין</x:v>
      </x:c>
      <x:c r="C71" s="17" t="str">
        <x:v>פרץ י .ל20,.</x:v>
      </x:c>
      <x:c r="D71" s="28" t="n">
        <x:v>2</x:v>
      </x:c>
      <x:c r="E71" s="25" t="str">
        <x:v>81, 301</x:v>
      </x:c>
      <x:c r="F71" s="25" t="str">
        <x:v>2819, 2837</x:v>
      </x:c>
      <x:c r="G71" s="17" t="str">
        <x:v>גבוה מאוד</x:v>
      </x:c>
      <x:c r="H71" s="25" t="str">
        <x:v>מספר קלפי בסיסי ושם אתר זהים</x:v>
      </x:c>
      <x:c r="I71" s="25" t="str">
        <x:v>הודעת הבחירות הרשמית של חיפה (2024)</x:v>
      </x:c>
      <x:c r="J71" s="25" t="str">
        <x:v>מוכן לעבודה</x:v>
      </x:c>
    </x:row>
    <x:row r="72" ht="42" customHeight="1">
      <x:c r="A72" s="17" t="n">
        <x:v>70</x:v>
      </x:c>
      <x:c r="B72" s="17" t="str">
        <x:v>בית ההגנה "צוות"</x:v>
      </x:c>
      <x:c r="C72" s="17" t="str">
        <x:v>פבזנר 33</x:v>
      </x:c>
      <x:c r="D72" s="28" t="n">
        <x:v>1</x:v>
      </x:c>
      <x:c r="E72" s="25" t="str">
        <x:v>318.3</x:v>
      </x:c>
      <x:c r="F72" s="25" t="str">
        <x:v>2862</x:v>
      </x:c>
      <x:c r="G72" s="17" t="str">
        <x:v>בינוני-גבוה</x:v>
      </x:c>
      <x:c r="H72" s="25" t="str">
        <x:v>שם אתר זהה במאגר קלפיות ממשלתי היסטורי</x:v>
      </x:c>
      <x:c r="I72" s="25" t="str">
        <x:v>מאגר הקלפיות הממשלתי (2016)</x:v>
      </x:c>
      <x:c r="J72" s="25" t="str">
        <x:v>בדיקה ממוקדת</x:v>
      </x:c>
    </x:row>
    <x:row r="73" ht="42" customHeight="1">
      <x:c r="A73" s="17" t="n">
        <x:v>71</x:v>
      </x:c>
      <x:c r="B73" s="17" t="str">
        <x:v>בית היינה</x:v>
      </x:c>
      <x:c r="C73" s="17" t="str">
        <x:v>הקונגרס 43א</x:v>
      </x:c>
      <x:c r="D73" s="28" t="n">
        <x:v>2</x:v>
      </x:c>
      <x:c r="E73" s="25" t="str">
        <x:v>707, 708</x:v>
      </x:c>
      <x:c r="F73" s="25" t="str">
        <x:v>3200, 3201</x:v>
      </x:c>
      <x:c r="G73" s="17" t="str">
        <x:v>גבוה מאוד</x:v>
      </x:c>
      <x:c r="H73" s="25" t="str">
        <x:v>מספר קלפי בסיסי ושם אתר זהים</x:v>
      </x:c>
      <x:c r="I73" s="25" t="str">
        <x:v>הודעת הבחירות הרשמית של חיפה (2024)</x:v>
      </x:c>
      <x:c r="J73" s="25" t="str">
        <x:v>מוכן לעבודה</x:v>
      </x:c>
    </x:row>
    <x:row r="74" ht="42" customHeight="1">
      <x:c r="A74" s="17" t="n">
        <x:v>72</x:v>
      </x:c>
      <x:c r="B74" s="17" t="str">
        <x:v>בית הכט</x:v>
      </x:c>
      <x:c r="C74" s="17" t="str">
        <x:v>שד הנשיא 142</x:v>
      </x:c>
      <x:c r="D74" s="28" t="n">
        <x:v>4</x:v>
      </x:c>
      <x:c r="E74" s="25" t="str">
        <x:v>259.1, 259.2, 259.3, 259.4</x:v>
      </x:c>
      <x:c r="F74" s="25" t="str">
        <x:v>3037, 3038, 3039, 3040</x:v>
      </x:c>
      <x:c r="G74" s="17" t="str">
        <x:v>גבוה מאוד</x:v>
      </x:c>
      <x:c r="H74" s="25" t="str">
        <x:v>מספר קלפי בסיסי ושם אתר זהים</x:v>
      </x:c>
      <x:c r="I74" s="25" t="str">
        <x:v>הודעת הבחירות הרשמית של חיפה (2024)</x:v>
      </x:c>
      <x:c r="J74" s="25" t="str">
        <x:v>מוכן לעבודה</x:v>
      </x:c>
    </x:row>
    <x:row r="75" ht="42" customHeight="1">
      <x:c r="A75" s="17" t="n">
        <x:v>73</x:v>
      </x:c>
      <x:c r="B75" s="17" t="str">
        <x:v>בית המהנדס</x:v>
      </x:c>
      <x:c r="C75" s="17" t="str">
        <x:v>שבתאי לוי 24</x:v>
      </x:c>
      <x:c r="D75" s="28" t="n">
        <x:v>2</x:v>
      </x:c>
      <x:c r="E75" s="25" t="str">
        <x:v>280, 281</x:v>
      </x:c>
      <x:c r="F75" s="25" t="str">
        <x:v>2829, 2830</x:v>
      </x:c>
      <x:c r="G75" s="17" t="str">
        <x:v>גבוה מאוד</x:v>
      </x:c>
      <x:c r="H75" s="25" t="str">
        <x:v>מספר קלפי בסיסי ושם אתר זהים</x:v>
      </x:c>
      <x:c r="I75" s="25" t="str">
        <x:v>הודעת הבחירות הרשמית של חיפה (2024)</x:v>
      </x:c>
      <x:c r="J75" s="25" t="str">
        <x:v>מוכן לעבודה</x:v>
      </x:c>
    </x:row>
    <x:row r="76" ht="42" customHeight="1">
      <x:c r="A76" s="17" t="n">
        <x:v>74</x:v>
      </x:c>
      <x:c r="B76" s="17" t="str">
        <x:v>בית ספר הרצל - שלוחה</x:v>
      </x:c>
      <x:c r="C76" s="17" t="str">
        <x:v>לוטוס 16</x:v>
      </x:c>
      <x:c r="D76" s="28" t="n">
        <x:v>3</x:v>
      </x:c>
      <x:c r="E76" s="25" t="str">
        <x:v>212.1, 212.2, 212.3</x:v>
      </x:c>
      <x:c r="F76" s="25" t="str">
        <x:v>3016, 3017, 3018</x:v>
      </x:c>
      <x:c r="G76" s="17" t="str">
        <x:v>גבוה מאוד</x:v>
      </x:c>
      <x:c r="H76" s="25" t="str">
        <x:v>מספר קלפי בסיסי ושם אתר זהים</x:v>
      </x:c>
      <x:c r="I76" s="25" t="str">
        <x:v>הודעת הבחירות הרשמית של חיפה (2024)</x:v>
      </x:c>
      <x:c r="J76" s="25" t="str">
        <x:v>מוכן לעבודה</x:v>
      </x:c>
    </x:row>
    <x:row r="77" ht="42" customHeight="1">
      <x:c r="A77" s="17" t="n">
        <x:v>75</x:v>
      </x:c>
      <x:c r="B77" s="17" t="str">
        <x:v>בית תרבות ע"ש פאני קפלן</x:v>
      </x:c>
      <x:c r="C77" s="17" t="str">
        <x:v>הרותם 1</x:v>
      </x:c>
      <x:c r="D77" s="28" t="n">
        <x:v>3</x:v>
      </x:c>
      <x:c r="E77" s="25" t="str">
        <x:v>165, 166, 168</x:v>
      </x:c>
      <x:c r="F77" s="25" t="str">
        <x:v>2995, 2996, 2998</x:v>
      </x:c>
      <x:c r="G77" s="17" t="str">
        <x:v>גבוה מאוד</x:v>
      </x:c>
      <x:c r="H77" s="25" t="str">
        <x:v>מספר קלפי בסיסי ושם אתר זהים</x:v>
      </x:c>
      <x:c r="I77" s="25" t="str">
        <x:v>הודעת הבחירות הרשמית של חיפה (2024)</x:v>
      </x:c>
      <x:c r="J77" s="25" t="str">
        <x:v>מוכן לעבודה</x:v>
      </x:c>
    </x:row>
    <x:row r="78" ht="42" customHeight="1">
      <x:c r="A78" s="17" t="n">
        <x:v>76</x:v>
      </x:c>
      <x:c r="B78" s="17" t="str">
        <x:v>גן "אתרוג"</x:v>
      </x:c>
      <x:c r="C78" s="17" t="str">
        <x:v>אינשטיין אלברט 52</x:v>
      </x:c>
      <x:c r="D78" s="28" t="n">
        <x:v>2</x:v>
      </x:c>
      <x:c r="E78" s="25" t="str">
        <x:v>172.1, 172.2</x:v>
      </x:c>
      <x:c r="F78" s="25" t="str">
        <x:v>3072, 3073</x:v>
      </x:c>
      <x:c r="G78" s="17" t="str">
        <x:v>גבוה מאוד</x:v>
      </x:c>
      <x:c r="H78" s="25" t="str">
        <x:v>מספר קלפי בסיסי ושם אתר זהים</x:v>
      </x:c>
      <x:c r="I78" s="25" t="str">
        <x:v>הודעת הבחירות הרשמית של חיפה (2024)</x:v>
      </x:c>
      <x:c r="J78" s="25" t="str">
        <x:v>מוכן לעבודה</x:v>
      </x:c>
    </x:row>
    <x:row r="79" ht="42" customHeight="1">
      <x:c r="A79" s="17" t="n">
        <x:v>77</x:v>
      </x:c>
      <x:c r="B79" s="17" t="str">
        <x:v>גן "כוכבית"</x:v>
      </x:c>
      <x:c r="C79" s="17" t="str">
        <x:v>הפלוגות 14</x:v>
      </x:c>
      <x:c r="D79" s="28" t="n">
        <x:v>1</x:v>
      </x:c>
      <x:c r="E79" s="25" t="str">
        <x:v>742</x:v>
      </x:c>
      <x:c r="F79" s="25" t="str">
        <x:v>3235</x:v>
      </x:c>
      <x:c r="G79" s="17" t="str">
        <x:v>בינוני-גבוה</x:v>
      </x:c>
      <x:c r="H79" s="25" t="str">
        <x:v>שם גן זהה במאגר מוסדות החינוך</x:v>
      </x:c>
      <x:c r="I79" s="25" t="str">
        <x:v>עיריית חיפה - מוסדות חינוך</x:v>
      </x:c>
      <x:c r="J79" s="25" t="str">
        <x:v>בדיקה ממוקדת</x:v>
      </x:c>
    </x:row>
    <x:row r="80" ht="42" customHeight="1">
      <x:c r="A80" s="17" t="n">
        <x:v>78</x:v>
      </x:c>
      <x:c r="B80" s="17" t="str">
        <x:v>גן ילדים "דוכיפת"</x:v>
      </x:c>
      <x:c r="C80" s="17" t="str">
        <x:v>פרץ מרקיש 22</x:v>
      </x:c>
      <x:c r="D80" s="28" t="n">
        <x:v>1</x:v>
      </x:c>
      <x:c r="E80" s="25" t="str">
        <x:v>389</x:v>
      </x:c>
      <x:c r="F80" s="25" t="str">
        <x:v>3172</x:v>
      </x:c>
      <x:c r="G80" s="17" t="str">
        <x:v>גבוה מאוד</x:v>
      </x:c>
      <x:c r="H80" s="25" t="str">
        <x:v>מספר קלפי בסיסי ושם אתר זהים</x:v>
      </x:c>
      <x:c r="I80" s="25" t="str">
        <x:v>הודעת הבחירות הרשמית של חיפה (2024)</x:v>
      </x:c>
      <x:c r="J80" s="25" t="str">
        <x:v>מוכן לעבודה</x:v>
      </x:c>
    </x:row>
    <x:row r="81" ht="42" customHeight="1">
      <x:c r="A81" s="17" t="n">
        <x:v>79</x:v>
      </x:c>
      <x:c r="B81" s="17" t="str">
        <x:v>גן ילדים "תפוז"</x:v>
      </x:c>
      <x:c r="C81" s="17" t="str">
        <x:v>פרץ מרקיש 5</x:v>
      </x:c>
      <x:c r="D81" s="28" t="n">
        <x:v>1</x:v>
      </x:c>
      <x:c r="E81" s="25" t="str">
        <x:v>385.2</x:v>
      </x:c>
      <x:c r="F81" s="25" t="str">
        <x:v>3171</x:v>
      </x:c>
      <x:c r="G81" s="17" t="str">
        <x:v>גבוה</x:v>
      </x:c>
      <x:c r="H81" s="25" t="str">
        <x:v>שם וכתובת זהים בשני מקורות משלימים</x:v>
      </x:c>
      <x:c r="I81" s="25" t="str">
        <x:v>מאגר הקלפיות הממשלתי (2016) + מוסדות חינוך עירוניים</x:v>
      </x:c>
      <x:c r="J81" s="25" t="str">
        <x:v>מוכן לעבודה</x:v>
      </x:c>
    </x:row>
    <x:row r="82" ht="42" customHeight="1">
      <x:c r="A82" s="17" t="n">
        <x:v>80</x:v>
      </x:c>
      <x:c r="B82" s="17" t="str">
        <x:v>גן ילדים אודם</x:v>
      </x:c>
      <x:c r="C82" s="17" t="str">
        <x:v>לוין גוטל 22</x:v>
      </x:c>
      <x:c r="D82" s="28" t="n">
        <x:v>1</x:v>
      </x:c>
      <x:c r="E82" s="25" t="str">
        <x:v>360.1</x:v>
      </x:c>
      <x:c r="F82" s="25" t="str">
        <x:v>3142</x:v>
      </x:c>
      <x:c r="G82" s="17" t="str">
        <x:v>גבוה מאוד</x:v>
      </x:c>
      <x:c r="H82" s="25" t="str">
        <x:v>מספר קלפי בסיסי ושם אתר זהים</x:v>
      </x:c>
      <x:c r="I82" s="25" t="str">
        <x:v>הודעת הבחירות הרשמית של חיפה (2024)</x:v>
      </x:c>
      <x:c r="J82" s="25" t="str">
        <x:v>מוכן לעבודה</x:v>
      </x:c>
    </x:row>
    <x:row r="83" ht="42" customHeight="1">
      <x:c r="A83" s="17" t="n">
        <x:v>81</x:v>
      </x:c>
      <x:c r="B83" s="17" t="str">
        <x:v>גן ילדים אמנון ותמר</x:v>
      </x:c>
      <x:c r="C83" s="17" t="str">
        <x:v>שוויצר אלברט ד"ר 64</x:v>
      </x:c>
      <x:c r="D83" s="28" t="n">
        <x:v>1</x:v>
      </x:c>
      <x:c r="E83" s="25" t="str">
        <x:v>190</x:v>
      </x:c>
      <x:c r="F83" s="25" t="str">
        <x:v>3080</x:v>
      </x:c>
      <x:c r="G83" s="17" t="str">
        <x:v>גבוה מאוד</x:v>
      </x:c>
      <x:c r="H83" s="25" t="str">
        <x:v>מספר קלפי בסיסי ושם אתר זהים</x:v>
      </x:c>
      <x:c r="I83" s="25" t="str">
        <x:v>הודעת הבחירות הרשמית של חיפה (2024)</x:v>
      </x:c>
      <x:c r="J83" s="25" t="str">
        <x:v>מוכן לעבודה</x:v>
      </x:c>
    </x:row>
    <x:row r="84" ht="42" customHeight="1">
      <x:c r="A84" s="17" t="n">
        <x:v>82</x:v>
      </x:c>
      <x:c r="B84" s="17" t="str">
        <x:v>גן ילדים אשל-קשת</x:v>
      </x:c>
      <x:c r="C84" s="17" t="str">
        <x:v>לסקוב חיים רא"ל 26</x:v>
      </x:c>
      <x:c r="D84" s="28" t="n">
        <x:v>2</x:v>
      </x:c>
      <x:c r="E84" s="25" t="str">
        <x:v>171.1, 171.2</x:v>
      </x:c>
      <x:c r="F84" s="25" t="str">
        <x:v>3070, 3071</x:v>
      </x:c>
      <x:c r="G84" s="17" t="str">
        <x:v>גבוה מאוד</x:v>
      </x:c>
      <x:c r="H84" s="25" t="str">
        <x:v>מספר קלפי בסיסי ושם אתר זהים</x:v>
      </x:c>
      <x:c r="I84" s="25" t="str">
        <x:v>הודעת הבחירות הרשמית של חיפה (2024)</x:v>
      </x:c>
      <x:c r="J84" s="25" t="str">
        <x:v>מוכן לעבודה</x:v>
      </x:c>
    </x:row>
    <x:row r="85" ht="42" customHeight="1">
      <x:c r="A85" s="17" t="n">
        <x:v>83</x:v>
      </x:c>
      <x:c r="B85" s="17" t="str">
        <x:v>גן ילדים נוף</x:v>
      </x:c>
      <x:c r="C85" s="17" t="str">
        <x:v>פרץ מרקיש 5</x:v>
      </x:c>
      <x:c r="D85" s="28" t="n">
        <x:v>1</x:v>
      </x:c>
      <x:c r="E85" s="25" t="str">
        <x:v>385.1</x:v>
      </x:c>
      <x:c r="F85" s="25" t="str">
        <x:v>3170</x:v>
      </x:c>
      <x:c r="G85" s="17" t="str">
        <x:v>גבוה מאוד</x:v>
      </x:c>
      <x:c r="H85" s="25" t="str">
        <x:v>מספר קלפי בסיסי ושם אתר זהים</x:v>
      </x:c>
      <x:c r="I85" s="25" t="str">
        <x:v>הודעת הבחירות הרשמית של חיפה (2024)</x:v>
      </x:c>
      <x:c r="J85" s="25" t="str">
        <x:v>מוכן לעבודה</x:v>
      </x:c>
    </x:row>
    <x:row r="86" ht="42" customHeight="1">
      <x:c r="A86" s="17" t="n">
        <x:v>84</x:v>
      </x:c>
      <x:c r="B86" s="17" t="str">
        <x:v>גן ילדים נחל</x:v>
      </x:c>
      <x:c r="C86" s="17" t="str">
        <x:v>צבעוני 17</x:v>
      </x:c>
      <x:c r="D86" s="28" t="n">
        <x:v>1</x:v>
      </x:c>
      <x:c r="E86" s="25" t="str">
        <x:v>429</x:v>
      </x:c>
      <x:c r="F86" s="25" t="str">
        <x:v>3063</x:v>
      </x:c>
      <x:c r="G86" s="17" t="str">
        <x:v>גבוה מאוד</x:v>
      </x:c>
      <x:c r="H86" s="25" t="str">
        <x:v>מספר קלפי בסיסי ושם אתר זהים</x:v>
      </x:c>
      <x:c r="I86" s="25" t="str">
        <x:v>הודעת הבחירות הרשמית של חיפה (2024)</x:v>
      </x:c>
      <x:c r="J86" s="25" t="str">
        <x:v>מוכן לעבודה</x:v>
      </x:c>
    </x:row>
    <x:row r="87" ht="42" customHeight="1">
      <x:c r="A87" s="17" t="n">
        <x:v>85</x:v>
      </x:c>
      <x:c r="B87" s="17" t="str">
        <x:v>גן ילדים עין הים - אורות</x:v>
      </x:c>
      <x:c r="C87" s="17" t="str">
        <x:v>יציאת אירופה 19</x:v>
      </x:c>
      <x:c r="D87" s="28" t="n">
        <x:v>1</x:v>
      </x:c>
      <x:c r="E87" s="25" t="str">
        <x:v>147</x:v>
      </x:c>
      <x:c r="F87" s="25" t="str">
        <x:v>2981</x:v>
      </x:c>
      <x:c r="G87" s="17" t="str">
        <x:v>גבוה מאוד</x:v>
      </x:c>
      <x:c r="H87" s="25" t="str">
        <x:v>מספר קלפי בסיסי ושם אתר זהים</x:v>
      </x:c>
      <x:c r="I87" s="25" t="str">
        <x:v>הודעת הבחירות הרשמית של חיפה (2024)</x:v>
      </x:c>
      <x:c r="J87" s="25" t="str">
        <x:v>מוכן לעבודה</x:v>
      </x:c>
    </x:row>
    <x:row r="88" ht="42" customHeight="1">
      <x:c r="A88" s="17" t="n">
        <x:v>86</x:v>
      </x:c>
      <x:c r="B88" s="17" t="str">
        <x:v>גן ילדים עירוני "אשל"</x:v>
      </x:c>
      <x:c r="C88" s="17" t="str">
        <x:v>רבין אסתר ד"ר 80</x:v>
      </x:c>
      <x:c r="D88" s="28" t="n">
        <x:v>2</x:v>
      </x:c>
      <x:c r="E88" s="25" t="str">
        <x:v>453.1, 453.2</x:v>
      </x:c>
      <x:c r="F88" s="25" t="str">
        <x:v>3126, 3127</x:v>
      </x:c>
      <x:c r="G88" s="17" t="str">
        <x:v>גבוה מאוד</x:v>
      </x:c>
      <x:c r="H88" s="25" t="str">
        <x:v>מספר קלפי בסיסי ושם אתר זהים</x:v>
      </x:c>
      <x:c r="I88" s="25" t="str">
        <x:v>הודעת הבחירות הרשמית של חיפה (2024)</x:v>
      </x:c>
      <x:c r="J88" s="25" t="str">
        <x:v>מוכן לעבודה</x:v>
      </x:c>
    </x:row>
    <x:row r="89" ht="42" customHeight="1">
      <x:c r="A89" s="17" t="n">
        <x:v>87</x:v>
      </x:c>
      <x:c r="B89" s="17" t="str">
        <x:v>גן ילדים עירוני "חצב"</x:v>
      </x:c>
      <x:c r="C89" s="17" t="str">
        <x:v>ליבריה 42</x:v>
      </x:c>
      <x:c r="D89" s="28" t="n">
        <x:v>1</x:v>
      </x:c>
      <x:c r="E89" s="25" t="str">
        <x:v>173</x:v>
      </x:c>
      <x:c r="F89" s="25" t="str">
        <x:v>3105</x:v>
      </x:c>
      <x:c r="G89" s="17" t="str">
        <x:v>גבוה מאוד</x:v>
      </x:c>
      <x:c r="H89" s="25" t="str">
        <x:v>מספר קלפי בסיסי ושם אתר זהים</x:v>
      </x:c>
      <x:c r="I89" s="25" t="str">
        <x:v>הודעת הבחירות הרשמית של חיפה (2024)</x:v>
      </x:c>
      <x:c r="J89" s="25" t="str">
        <x:v>מוכן לעבודה</x:v>
      </x:c>
    </x:row>
    <x:row r="90" ht="42" customHeight="1">
      <x:c r="A90" s="17" t="n">
        <x:v>88</x:v>
      </x:c>
      <x:c r="B90" s="17" t="str">
        <x:v>גן ילדים קטלב</x:v>
      </x:c>
      <x:c r="C90" s="17" t="str">
        <x:v>שוויצר אלברט ד"ר 64</x:v>
      </x:c>
      <x:c r="D90" s="28" t="n">
        <x:v>1</x:v>
      </x:c>
      <x:c r="E90" s="25" t="str">
        <x:v>169</x:v>
      </x:c>
      <x:c r="F90" s="25" t="str">
        <x:v>3069</x:v>
      </x:c>
      <x:c r="G90" s="17" t="str">
        <x:v>גבוה מאוד</x:v>
      </x:c>
      <x:c r="H90" s="25" t="str">
        <x:v>מספר קלפי בסיסי ושם אתר זהים</x:v>
      </x:c>
      <x:c r="I90" s="25" t="str">
        <x:v>הודעת הבחירות הרשמית של חיפה (2024)</x:v>
      </x:c>
      <x:c r="J90" s="25" t="str">
        <x:v>מוכן לעבודה</x:v>
      </x:c>
    </x:row>
    <x:row r="91" ht="42" customHeight="1">
      <x:c r="A91" s="17" t="n">
        <x:v>89</x:v>
      </x:c>
      <x:c r="B91" s="17" t="str">
        <x:v>גן ילדים רוממה כלנית</x:v>
      </x:c>
      <x:c r="C91" s="17" t="str">
        <x:v>הצלפים 5</x:v>
      </x:c>
      <x:c r="D91" s="28" t="n">
        <x:v>1</x:v>
      </x:c>
      <x:c r="E91" s="25" t="str">
        <x:v>200</x:v>
      </x:c>
      <x:c r="F91" s="25" t="str">
        <x:v>3052</x:v>
      </x:c>
      <x:c r="G91" s="17" t="str">
        <x:v>גבוה מאוד</x:v>
      </x:c>
      <x:c r="H91" s="25" t="str">
        <x:v>מספר קלפי בסיסי ושם אתר זהים</x:v>
      </x:c>
      <x:c r="I91" s="25" t="str">
        <x:v>הודעת הבחירות הרשמית של חיפה (2024)</x:v>
      </x:c>
      <x:c r="J91" s="25" t="str">
        <x:v>מוכן לעבודה</x:v>
      </x:c>
    </x:row>
    <x:row r="92" ht="42" customHeight="1">
      <x:c r="A92" s="17" t="n">
        <x:v>90</x:v>
      </x:c>
      <x:c r="B92" s="17" t="str">
        <x:v>גן ילדים שחר</x:v>
      </x:c>
      <x:c r="C92" s="17" t="str">
        <x:v>העוגן 39</x:v>
      </x:c>
      <x:c r="D92" s="28" t="n">
        <x:v>1</x:v>
      </x:c>
      <x:c r="E92" s="25" t="str">
        <x:v>140</x:v>
      </x:c>
      <x:c r="F92" s="25" t="str">
        <x:v>2980</x:v>
      </x:c>
      <x:c r="G92" s="17" t="str">
        <x:v>גבוה מאוד</x:v>
      </x:c>
      <x:c r="H92" s="25" t="str">
        <x:v>מספר קלפי בסיסי ושם אתר זהים</x:v>
      </x:c>
      <x:c r="I92" s="25" t="str">
        <x:v>הודעת הבחירות הרשמית של חיפה (2024)</x:v>
      </x:c>
      <x:c r="J92" s="25" t="str">
        <x:v>מוכן לעבודה</x:v>
      </x:c>
    </x:row>
    <x:row r="93" ht="42" customHeight="1">
      <x:c r="A93" s="17" t="n">
        <x:v>91</x:v>
      </x:c>
      <x:c r="B93" s="17" t="str">
        <x:v>גן מיתר</x:v>
      </x:c>
      <x:c r="C93" s="17" t="str">
        <x:v>מאיר גולדה 29</x:v>
      </x:c>
      <x:c r="D93" s="28" t="n">
        <x:v>1</x:v>
      </x:c>
      <x:c r="E93" s="25" t="str">
        <x:v>450</x:v>
      </x:c>
      <x:c r="F93" s="25" t="str">
        <x:v>3125</x:v>
      </x:c>
      <x:c r="G93" s="17" t="str">
        <x:v>גבוה מאוד</x:v>
      </x:c>
      <x:c r="H93" s="25" t="str">
        <x:v>מספר קלפי בסיסי ושם אתר זהים</x:v>
      </x:c>
      <x:c r="I93" s="25" t="str">
        <x:v>הודעת הבחירות הרשמית של חיפה (2024)</x:v>
      </x:c>
      <x:c r="J93" s="25" t="str">
        <x:v>מוכן לעבודה</x:v>
      </x:c>
    </x:row>
    <x:row r="94" ht="42" customHeight="1">
      <x:c r="A94" s="17" t="n">
        <x:v>92</x:v>
      </x:c>
      <x:c r="B94" s="17" t="str">
        <x:v>גן מעין</x:v>
      </x:c>
      <x:c r="C94" s="17" t="str">
        <x:v>לאה 11</x:v>
      </x:c>
      <x:c r="D94" s="28" t="n">
        <x:v>1</x:v>
      </x:c>
      <x:c r="E94" s="25" t="str">
        <x:v>241</x:v>
      </x:c>
      <x:c r="F94" s="25" t="str">
        <x:v>3022</x:v>
      </x:c>
      <x:c r="G94" s="17" t="str">
        <x:v>גבוה מאוד</x:v>
      </x:c>
      <x:c r="H94" s="25" t="str">
        <x:v>מספר קלפי בסיסי ושם אתר זהים</x:v>
      </x:c>
      <x:c r="I94" s="25" t="str">
        <x:v>הודעת הבחירות הרשמית של חיפה (2024)</x:v>
      </x:c>
      <x:c r="J94" s="25" t="str">
        <x:v>מוכן לעבודה</x:v>
      </x:c>
    </x:row>
    <x:row r="95" ht="42" customHeight="1">
      <x:c r="A95" s="17" t="n">
        <x:v>93</x:v>
      </x:c>
      <x:c r="B95" s="17" t="str">
        <x:v>גן ניצן</x:v>
      </x:c>
      <x:c r="C95" s="17" t="str">
        <x:v>צבעוני 17</x:v>
      </x:c>
      <x:c r="D95" s="28" t="n">
        <x:v>1</x:v>
      </x:c>
      <x:c r="E95" s="25" t="str">
        <x:v>434</x:v>
      </x:c>
      <x:c r="F95" s="25" t="str">
        <x:v>3064</x:v>
      </x:c>
      <x:c r="G95" s="17" t="str">
        <x:v>גבוה מאוד</x:v>
      </x:c>
      <x:c r="H95" s="25" t="str">
        <x:v>מספר קלפי בסיסי ושם אתר זהים</x:v>
      </x:c>
      <x:c r="I95" s="25" t="str">
        <x:v>הודעת הבחירות הרשמית של חיפה (2024)</x:v>
      </x:c>
      <x:c r="J95" s="25" t="str">
        <x:v>מוכן לעבודה</x:v>
      </x:c>
    </x:row>
    <x:row r="96" ht="42" customHeight="1">
      <x:c r="A96" s="17" t="n">
        <x:v>94</x:v>
      </x:c>
      <x:c r="B96" s="17" t="str">
        <x:v>גן פריאל</x:v>
      </x:c>
      <x:c r="C96" s="17" t="str">
        <x:v>צ'רניאבסקי אהרון 14</x:v>
      </x:c>
      <x:c r="D96" s="28" t="n">
        <x:v>1</x:v>
      </x:c>
      <x:c r="E96" s="25" t="str">
        <x:v>412</x:v>
      </x:c>
      <x:c r="F96" s="25" t="str">
        <x:v>3176</x:v>
      </x:c>
      <x:c r="G96" s="17" t="str">
        <x:v>גבוה מאוד</x:v>
      </x:c>
      <x:c r="H96" s="25" t="str">
        <x:v>מספר קלפי בסיסי ושם אתר זהים</x:v>
      </x:c>
      <x:c r="I96" s="25" t="str">
        <x:v>הודעת הבחירות הרשמית של חיפה (2024)</x:v>
      </x:c>
      <x:c r="J96" s="25" t="str">
        <x:v>מוכן לעבודה</x:v>
      </x:c>
    </x:row>
    <x:row r="97" ht="42" customHeight="1">
      <x:c r="A97" s="17" t="n">
        <x:v>95</x:v>
      </x:c>
      <x:c r="B97" s="17" t="str">
        <x:v>גן שושן</x:v>
      </x:c>
      <x:c r="C97" s="17" t="str">
        <x:v>ורדיה 15</x:v>
      </x:c>
      <x:c r="D97" s="28" t="n">
        <x:v>2</x:v>
      </x:c>
      <x:c r="E97" s="25" t="str">
        <x:v>425, 428</x:v>
      </x:c>
      <x:c r="F97" s="25" t="str">
        <x:v>3061, 3062</x:v>
      </x:c>
      <x:c r="G97" s="17" t="str">
        <x:v>גבוה מאוד</x:v>
      </x:c>
      <x:c r="H97" s="25" t="str">
        <x:v>מספר קלפי בסיסי ושם אתר זהים</x:v>
      </x:c>
      <x:c r="I97" s="25" t="str">
        <x:v>הודעת הבחירות הרשמית של חיפה (2024)</x:v>
      </x:c>
      <x:c r="J97" s="25" t="str">
        <x:v>מוכן לעבודה</x:v>
      </x:c>
    </x:row>
    <x:row r="98" ht="42" customHeight="1">
      <x:c r="A98" s="17" t="n">
        <x:v>96</x:v>
      </x:c>
      <x:c r="B98" s="17" t="str">
        <x:v>גן שקמה</x:v>
      </x:c>
      <x:c r="C98" s="17" t="str">
        <x:v>הלילך 26</x:v>
      </x:c>
      <x:c r="D98" s="28" t="n">
        <x:v>2</x:v>
      </x:c>
      <x:c r="E98" s="25" t="str">
        <x:v>216, 302</x:v>
      </x:c>
      <x:c r="F98" s="25" t="str">
        <x:v>3021, 3042</x:v>
      </x:c>
      <x:c r="G98" s="17" t="str">
        <x:v>גבוה מאוד</x:v>
      </x:c>
      <x:c r="H98" s="25" t="str">
        <x:v>מספר קלפי בסיסי ושם אתר זהים</x:v>
      </x:c>
      <x:c r="I98" s="25" t="str">
        <x:v>הודעת הבחירות הרשמית של חיפה (2024)</x:v>
      </x:c>
      <x:c r="J98" s="25" t="str">
        <x:v>מוכן לעבודה</x:v>
      </x:c>
    </x:row>
    <x:row r="99" ht="42" customHeight="1">
      <x:c r="A99" s="17" t="n">
        <x:v>97</x:v>
      </x:c>
      <x:c r="B99" s="17" t="str">
        <x:v>גני ילדים</x:v>
      </x:c>
      <x:c r="C99" s="17" t="str">
        <x:v>לאה 39</x:v>
      </x:c>
      <x:c r="D99" s="28" t="n">
        <x:v>3</x:v>
      </x:c>
      <x:c r="E99" s="25" t="str">
        <x:v>254.1, 254.2, 254.3</x:v>
      </x:c>
      <x:c r="F99" s="25" t="str">
        <x:v>3028, 3029, 3030</x:v>
      </x:c>
      <x:c r="G99" s="17" t="str">
        <x:v>גבוה מאוד</x:v>
      </x:c>
      <x:c r="H99" s="25" t="str">
        <x:v>מספר קלפי בסיסי ושם אתר זהים</x:v>
      </x:c>
      <x:c r="I99" s="25" t="str">
        <x:v>הודעת הבחירות הרשמית של חיפה (2024)</x:v>
      </x:c>
      <x:c r="J99" s="25" t="str">
        <x:v>מוכן לעבודה</x:v>
      </x:c>
    </x:row>
    <x:row r="100" ht="42" customHeight="1">
      <x:c r="A100" s="17" t="n">
        <x:v>98</x:v>
      </x:c>
      <x:c r="B100" s="17" t="str">
        <x:v>גני ילדים הוד כרמל</x:v>
      </x:c>
      <x:c r="C100" s="17" t="str">
        <x:v>ליבריה 11</x:v>
      </x:c>
      <x:c r="D100" s="28" t="n">
        <x:v>5</x:v>
      </x:c>
      <x:c r="E100" s="25" t="str">
        <x:v>102.1, 102.2, 102.3, 102.4, 102.5</x:v>
      </x:c>
      <x:c r="F100" s="25" t="str">
        <x:v>3100, 3101, 3102, 3103, 3104</x:v>
      </x:c>
      <x:c r="G100" s="17" t="str">
        <x:v>גבוה מאוד</x:v>
      </x:c>
      <x:c r="H100" s="25" t="str">
        <x:v>מספר קלפי בסיסי ושם אתר זהים</x:v>
      </x:c>
      <x:c r="I100" s="25" t="str">
        <x:v>הודעת הבחירות הרשמית של חיפה (2024)</x:v>
      </x:c>
      <x:c r="J100" s="25" t="str">
        <x:v>מוכן לעבודה</x:v>
      </x:c>
    </x:row>
    <x:row r="101" ht="42" customHeight="1">
      <x:c r="A101" s="17" t="n">
        <x:v>99</x:v>
      </x:c>
      <x:c r="B101" s="17" t="str">
        <x:v>המכללה האקדמית ויצו</x:v>
      </x:c>
      <x:c r="C101" s="17" t="str">
        <x:v>הגנים 21</x:v>
      </x:c>
      <x:c r="D101" s="28" t="n">
        <x:v>3</x:v>
      </x:c>
      <x:c r="E101" s="25" t="str">
        <x:v>71, 72, 86</x:v>
      </x:c>
      <x:c r="F101" s="25" t="str">
        <x:v>2912, 2913, 2915</x:v>
      </x:c>
      <x:c r="G101" s="17" t="str">
        <x:v>גבוה מאוד</x:v>
      </x:c>
      <x:c r="H101" s="25" t="str">
        <x:v>מספר קלפי בסיסי ושם אתר זהים</x:v>
      </x:c>
      <x:c r="I101" s="25" t="str">
        <x:v>הודעת הבחירות הרשמית של חיפה (2024)</x:v>
      </x:c>
      <x:c r="J101" s="25" t="str">
        <x:v>מוכן לעבודה</x:v>
      </x:c>
    </x:row>
    <x:row r="102" ht="42" customHeight="1">
      <x:c r="A102" s="17" t="n">
        <x:v>100</x:v>
      </x:c>
      <x:c r="B102" s="17" t="str">
        <x:v>המכללה להכשרת מורים</x:v>
      </x:c>
      <x:c r="C102" s="17" t="str">
        <x:v>החשמל 22</x:v>
      </x:c>
      <x:c r="D102" s="28" t="n">
        <x:v>2</x:v>
      </x:c>
      <x:c r="E102" s="25" t="str">
        <x:v>377, 382</x:v>
      </x:c>
      <x:c r="F102" s="25" t="str">
        <x:v>2847, 2850</x:v>
      </x:c>
      <x:c r="G102" s="17" t="str">
        <x:v>גבוה מאוד</x:v>
      </x:c>
      <x:c r="H102" s="25" t="str">
        <x:v>מספר קלפי בסיסי ושם אתר זהים</x:v>
      </x:c>
      <x:c r="I102" s="25" t="str">
        <x:v>הודעת הבחירות הרשמית של חיפה (2024)</x:v>
      </x:c>
      <x:c r="J102" s="25" t="str">
        <x:v>מוכן לעבודה</x:v>
      </x:c>
    </x:row>
    <x:row r="103" ht="42" customHeight="1">
      <x:c r="A103" s="17" t="n">
        <x:v>101</x:v>
      </x:c>
      <x:c r="B103" s="17" t="str">
        <x:v>חט"ב דגן</x:v>
      </x:c>
      <x:c r="C103" s="17" t="str">
        <x:v>בן צבי יצחק 6</x:v>
      </x:c>
      <x:c r="D103" s="28" t="n">
        <x:v>7</x:v>
      </x:c>
      <x:c r="E103" s="25" t="str">
        <x:v>730.1, 730.2, 730.3, 730.4, 730.5, 730.6, 730.7</x:v>
      </x:c>
      <x:c r="F103" s="25" t="str">
        <x:v>3226, 3227, 3228, 3229, 3230, 3231, 3232</x:v>
      </x:c>
      <x:c r="G103" s="17" t="str">
        <x:v>גבוה מאוד</x:v>
      </x:c>
      <x:c r="H103" s="25" t="str">
        <x:v>מספר קלפי בסיסי ושם אתר זהים</x:v>
      </x:c>
      <x:c r="I103" s="25" t="str">
        <x:v>הודעת הבחירות הרשמית של חיפה (2024)</x:v>
      </x:c>
      <x:c r="J103" s="25" t="str">
        <x:v>מוכן לעבודה</x:v>
      </x:c>
    </x:row>
    <x:row r="104" ht="42" customHeight="1">
      <x:c r="A104" s="17" t="n">
        <x:v>102</x:v>
      </x:c>
      <x:c r="B104" s="17" t="str">
        <x:v>חט"ב פרחי אהרון - עירוני ב'</x:v>
      </x:c>
      <x:c r="C104" s="17" t="str">
        <x:v>הים התיכון 2</x:v>
      </x:c>
      <x:c r="D104" s="28" t="n">
        <x:v>2</x:v>
      </x:c>
      <x:c r="E104" s="25" t="str">
        <x:v>37.1, 37.2</x:v>
      </x:c>
      <x:c r="F104" s="25" t="str">
        <x:v>3193, 3194</x:v>
      </x:c>
      <x:c r="G104" s="17" t="str">
        <x:v>גבוה מאוד</x:v>
      </x:c>
      <x:c r="H104" s="25" t="str">
        <x:v>מספר קלפי בסיסי ושם אתר זהים</x:v>
      </x:c>
      <x:c r="I104" s="25" t="str">
        <x:v>הודעת הבחירות הרשמית של חיפה (2024)</x:v>
      </x:c>
      <x:c r="J104" s="25" t="str">
        <x:v>מוכן לעבודה</x:v>
      </x:c>
    </x:row>
    <x:row r="105" ht="42" customHeight="1">
      <x:c r="A105" s="17" t="n">
        <x:v>103</x:v>
      </x:c>
      <x:c r="B105" s="17" t="str">
        <x:v>ישיבה תיכונית עירונית "יבנה"</x:v>
      </x:c>
      <x:c r="C105" s="17" t="str">
        <x:v>אלתר אליעזר 34</x:v>
      </x:c>
      <x:c r="D105" s="28" t="n">
        <x:v>2</x:v>
      </x:c>
      <x:c r="E105" s="25" t="str">
        <x:v>369, 370</x:v>
      </x:c>
      <x:c r="F105" s="25" t="str">
        <x:v>3116, 3117</x:v>
      </x:c>
      <x:c r="G105" s="17" t="str">
        <x:v>גבוה מאוד</x:v>
      </x:c>
      <x:c r="H105" s="25" t="str">
        <x:v>מספר קלפי בסיסי ושם אתר זהים</x:v>
      </x:c>
      <x:c r="I105" s="25" t="str">
        <x:v>הודעת הבחירות הרשמית של חיפה (2024)</x:v>
      </x:c>
      <x:c r="J105" s="25" t="str">
        <x:v>מוכן לעבודה</x:v>
      </x:c>
    </x:row>
    <x:row r="106" ht="42" customHeight="1">
      <x:c r="A106" s="17" t="n">
        <x:v>104</x:v>
      </x:c>
      <x:c r="B106" s="17" t="str">
        <x:v>ישיבת פרחי אהרן</x:v>
      </x:c>
      <x:c r="C106" s="17" t="str">
        <x:v>שטרן יוסף 9</x:v>
      </x:c>
      <x:c r="D106" s="28" t="n">
        <x:v>2</x:v>
      </x:c>
      <x:c r="E106" s="25" t="str">
        <x:v>14.1, 14.2</x:v>
      </x:c>
      <x:c r="F106" s="25" t="str">
        <x:v>3188, 3189</x:v>
      </x:c>
      <x:c r="G106" s="17" t="str">
        <x:v>גבוה מאוד</x:v>
      </x:c>
      <x:c r="H106" s="25" t="str">
        <x:v>מספר קלפי בסיסי ושם אתר זהים</x:v>
      </x:c>
      <x:c r="I106" s="25" t="str">
        <x:v>הודעת הבחירות הרשמית של חיפה (2024)</x:v>
      </x:c>
      <x:c r="J106" s="25" t="str">
        <x:v>מוכן לעבודה</x:v>
      </x:c>
    </x:row>
    <x:row r="107" ht="42" customHeight="1">
      <x:c r="A107" s="17" t="n">
        <x:v>105</x:v>
      </x:c>
      <x:c r="B107" s="17" t="str">
        <x:v>מדע קט</x:v>
      </x:c>
      <x:c r="C107" s="17" t="str">
        <x:v>הקונגרס 43</x:v>
      </x:c>
      <x:c r="D107" s="28" t="n">
        <x:v>2</x:v>
      </x:c>
      <x:c r="E107" s="25" t="str">
        <x:v>702, 703</x:v>
      </x:c>
      <x:c r="F107" s="25" t="str">
        <x:v>3196, 3197</x:v>
      </x:c>
      <x:c r="G107" s="17" t="str">
        <x:v>גבוה מאוד</x:v>
      </x:c>
      <x:c r="H107" s="25" t="str">
        <x:v>מספר קלפי בסיסי ושם אתר זהים</x:v>
      </x:c>
      <x:c r="I107" s="25" t="str">
        <x:v>הודעת הבחירות הרשמית של חיפה (2024)</x:v>
      </x:c>
      <x:c r="J107" s="25" t="str">
        <x:v>מוכן לעבודה</x:v>
      </x:c>
    </x:row>
    <x:row r="108" ht="42" customHeight="1">
      <x:c r="A108" s="17" t="n">
        <x:v>106</x:v>
      </x:c>
      <x:c r="B108" s="17" t="str">
        <x:v>מועדון גמלאים סכנין</x:v>
      </x:c>
      <x:c r="C108" s="17" t="str">
        <x:v>הזית 5</x:v>
      </x:c>
      <x:c r="D108" s="28" t="n">
        <x:v>3</x:v>
      </x:c>
      <x:c r="E108" s="25" t="str">
        <x:v>1.1, 1.2, 1.3</x:v>
      </x:c>
      <x:c r="F108" s="25" t="str">
        <x:v>2908, 2909, 2910</x:v>
      </x:c>
      <x:c r="G108" s="17" t="str">
        <x:v>גבוה מאוד</x:v>
      </x:c>
      <x:c r="H108" s="25" t="str">
        <x:v>מספר קלפי בסיסי ושם אתר זהים</x:v>
      </x:c>
      <x:c r="I108" s="25" t="str">
        <x:v>הודעת הבחירות הרשמית של חיפה (2024)</x:v>
      </x:c>
      <x:c r="J108" s="25" t="str">
        <x:v>מוכן לעבודה</x:v>
      </x:c>
    </x:row>
    <x:row r="109" ht="42" customHeight="1">
      <x:c r="A109" s="17" t="n">
        <x:v>107</x:v>
      </x:c>
      <x:c r="B109" s="17" t="str">
        <x:v>מועדון הנוער הנוצרי</x:v>
      </x:c>
      <x:c r="C109" s="17" t="str">
        <x:v>שומאכר גוטליב 4</x:v>
      </x:c>
      <x:c r="D109" s="28" t="n">
        <x:v>2</x:v>
      </x:c>
      <x:c r="E109" s="25" t="str">
        <x:v>88, 279</x:v>
      </x:c>
      <x:c r="F109" s="25" t="str">
        <x:v>2821, 2828</x:v>
      </x:c>
      <x:c r="G109" s="17" t="str">
        <x:v>גבוה מאוד</x:v>
      </x:c>
      <x:c r="H109" s="25" t="str">
        <x:v>מספר קלפי בסיסי ושם אתר זהים</x:v>
      </x:c>
      <x:c r="I109" s="25" t="str">
        <x:v>הודעת הבחירות הרשמית של חיפה (2024)</x:v>
      </x:c>
      <x:c r="J109" s="25" t="str">
        <x:v>מוכן לעבודה</x:v>
      </x:c>
    </x:row>
    <x:row r="110" ht="42" customHeight="1">
      <x:c r="A110" s="17" t="n">
        <x:v>108</x:v>
      </x:c>
      <x:c r="B110" s="17" t="str">
        <x:v>מועדון צופים</x:v>
      </x:c>
      <x:c r="C110" s="17" t="str">
        <x:v>חוף השנהב 39</x:v>
      </x:c>
      <x:c r="D110" s="28" t="n">
        <x:v>4</x:v>
      </x:c>
      <x:c r="E110" s="25" t="str">
        <x:v>177.1, 177.2, 177.3, 177.4</x:v>
      </x:c>
      <x:c r="F110" s="25" t="str">
        <x:v>3106, 3107, 3108, 3109</x:v>
      </x:c>
      <x:c r="G110" s="17" t="str">
        <x:v>גבוה מאוד</x:v>
      </x:c>
      <x:c r="H110" s="25" t="str">
        <x:v>מספר קלפי בסיסי ושם אתר זהים</x:v>
      </x:c>
      <x:c r="I110" s="25" t="str">
        <x:v>הודעת הבחירות הרשמית של חיפה (2024)</x:v>
      </x:c>
      <x:c r="J110" s="25" t="str">
        <x:v>מוכן לעבודה</x:v>
      </x:c>
    </x:row>
    <x:row r="111" ht="42" customHeight="1">
      <x:c r="A111" s="17" t="n">
        <x:v>109</x:v>
      </x:c>
      <x:c r="B111" s="17" t="str">
        <x:v>מועדונית יודפת</x:v>
      </x:c>
      <x:c r="C111" s="17" t="str">
        <x:v>אימבר נפתלי 1</x:v>
      </x:c>
      <x:c r="D111" s="28" t="n">
        <x:v>1</x:v>
      </x:c>
      <x:c r="E111" s="25" t="str">
        <x:v>306</x:v>
      </x:c>
      <x:c r="F111" s="25" t="str">
        <x:v>2842</x:v>
      </x:c>
      <x:c r="G111" s="17" t="str">
        <x:v>גבוה מאוד</x:v>
      </x:c>
      <x:c r="H111" s="25" t="str">
        <x:v>מספר קלפי בסיסי ושם אתר זהים</x:v>
      </x:c>
      <x:c r="I111" s="25" t="str">
        <x:v>הודעת הבחירות הרשמית של חיפה (2024)</x:v>
      </x:c>
      <x:c r="J111" s="25" t="str">
        <x:v>מוכן לעבודה</x:v>
      </x:c>
    </x:row>
    <x:row r="112" ht="42" customHeight="1">
      <x:c r="A112" s="17" t="n">
        <x:v>110</x:v>
      </x:c>
      <x:c r="B112" s="17" t="str">
        <x:v>מכללת גורדון</x:v>
      </x:c>
      <x:c r="C112" s="17" t="str">
        <x:v>טשרניחובסקי 73</x:v>
      </x:c>
      <x:c r="D112" s="28" t="n">
        <x:v>1</x:v>
      </x:c>
      <x:c r="E112" s="25" t="str">
        <x:v>426</x:v>
      </x:c>
      <x:c r="F112" s="25" t="str">
        <x:v>2974</x:v>
      </x:c>
      <x:c r="G112" s="17" t="str">
        <x:v>גבוה מאוד</x:v>
      </x:c>
      <x:c r="H112" s="25" t="str">
        <x:v>מספר קלפי בסיסי ושם אתר זהים</x:v>
      </x:c>
      <x:c r="I112" s="25" t="str">
        <x:v>הודעת הבחירות הרשמית של חיפה (2024)</x:v>
      </x:c>
      <x:c r="J112" s="25" t="str">
        <x:v>מוכן לעבודה</x:v>
      </x:c>
    </x:row>
    <x:row r="113" ht="42" customHeight="1">
      <x:c r="A113" s="17" t="n">
        <x:v>111</x:v>
      </x:c>
      <x:c r="B113" s="17" t="str">
        <x:v>מרכז "ערבי יהודי" תיאטרון</x:v>
      </x:c>
      <x:c r="C113" s="17" t="str">
        <x:v>שד הציונות 33</x:v>
      </x:c>
      <x:c r="D113" s="28" t="n">
        <x:v>4</x:v>
      </x:c>
      <x:c r="E113" s="25" t="str">
        <x:v>83, 277, 297, 299</x:v>
      </x:c>
      <x:c r="F113" s="25" t="str">
        <x:v>2820, 2827, 2833, 2836</x:v>
      </x:c>
      <x:c r="G113" s="17" t="str">
        <x:v>גבוה מאוד</x:v>
      </x:c>
      <x:c r="H113" s="25" t="str">
        <x:v>מספר קלפי בסיסי ושם אתר זהים</x:v>
      </x:c>
      <x:c r="I113" s="25" t="str">
        <x:v>הודעת הבחירות הרשמית של חיפה (2024)</x:v>
      </x:c>
      <x:c r="J113" s="25" t="str">
        <x:v>מוכן לעבודה</x:v>
      </x:c>
    </x:row>
    <x:row r="114" ht="42" customHeight="1">
      <x:c r="A114" s="17" t="n">
        <x:v>112</x:v>
      </x:c>
      <x:c r="B114" s="17" t="str">
        <x:v>מרכז הנוער בית מגנצא</x:v>
      </x:c>
      <x:c r="C114" s="17" t="str">
        <x:v>חטיבת כרמלי 42א</x:v>
      </x:c>
      <x:c r="D114" s="28" t="n">
        <x:v>3</x:v>
      </x:c>
      <x:c r="E114" s="25" t="str">
        <x:v>339, 379, 381</x:v>
      </x:c>
      <x:c r="F114" s="25" t="str">
        <x:v>2845, 2848, 2849</x:v>
      </x:c>
      <x:c r="G114" s="17" t="str">
        <x:v>גבוה מאוד</x:v>
      </x:c>
      <x:c r="H114" s="25" t="str">
        <x:v>מספר קלפי בסיסי ושם אתר זהים</x:v>
      </x:c>
      <x:c r="I114" s="25" t="str">
        <x:v>הודעת הבחירות הרשמית של חיפה (2024)</x:v>
      </x:c>
      <x:c r="J114" s="25" t="str">
        <x:v>מוכן לעבודה</x:v>
      </x:c>
    </x:row>
    <x:row r="115" ht="42" customHeight="1">
      <x:c r="A115" s="17" t="n">
        <x:v>113</x:v>
      </x:c>
      <x:c r="B115" s="17" t="str">
        <x:v>מרכז יום לקשיש</x:v>
      </x:c>
      <x:c r="C115" s="17" t="str">
        <x:v>בית אלפא 80</x:v>
      </x:c>
      <x:c r="D115" s="28" t="n">
        <x:v>2</x:v>
      </x:c>
      <x:c r="E115" s="25" t="str">
        <x:v>701, 717</x:v>
      </x:c>
      <x:c r="F115" s="25" t="str">
        <x:v>3195, 3206</x:v>
      </x:c>
      <x:c r="G115" s="17" t="str">
        <x:v>גבוה מאוד</x:v>
      </x:c>
      <x:c r="H115" s="25" t="str">
        <x:v>מספר קלפי בסיסי ושם אתר זהים</x:v>
      </x:c>
      <x:c r="I115" s="25" t="str">
        <x:v>הודעת הבחירות הרשמית של חיפה (2024)</x:v>
      </x:c>
      <x:c r="J115" s="25" t="str">
        <x:v>מוכן לעבודה</x:v>
      </x:c>
    </x:row>
    <x:row r="116" ht="42" customHeight="1">
      <x:c r="A116" s="17" t="n">
        <x:v>114</x:v>
      </x:c>
      <x:c r="B116" s="17" t="str">
        <x:v>מרכז קהילתי</x:v>
      </x:c>
      <x:c r="C116" s="17" t="str">
        <x:v>הירדן 23</x:v>
      </x:c>
      <x:c r="D116" s="28" t="n">
        <x:v>2</x:v>
      </x:c>
      <x:c r="E116" s="25" t="str">
        <x:v>375, 388</x:v>
      </x:c>
      <x:c r="F116" s="25" t="str">
        <x:v>2846, 2854</x:v>
      </x:c>
      <x:c r="G116" s="17" t="str">
        <x:v>גבוה</x:v>
      </x:c>
      <x:c r="H116" s="25" t="str">
        <x:v>שם כללי הוכרע לפי מספר הקלפי הבסיסי</x:v>
      </x:c>
      <x:c r="I116" s="25" t="str">
        <x:v>הודעת הבחירות הרשמית של חיפה (2024)</x:v>
      </x:c>
      <x:c r="J116" s="25" t="str">
        <x:v>מוכן לעבודה</x:v>
      </x:c>
    </x:row>
    <x:row r="117" ht="42" customHeight="1">
      <x:c r="A117" s="17" t="n">
        <x:v>115</x:v>
      </x:c>
      <x:c r="B117" s="17" t="str">
        <x:v>מרכז קהילתי</x:v>
      </x:c>
      <x:c r="C117" s="17" t="str">
        <x:v>ולנברג ראול 11</x:v>
      </x:c>
      <x:c r="D117" s="28" t="n">
        <x:v>2</x:v>
      </x:c>
      <x:c r="E117" s="25" t="str">
        <x:v>197.1, 197.2</x:v>
      </x:c>
      <x:c r="F117" s="25" t="str">
        <x:v>3091, 3092</x:v>
      </x:c>
      <x:c r="G117" s="17" t="str">
        <x:v>גבוה</x:v>
      </x:c>
      <x:c r="H117" s="25" t="str">
        <x:v>שם כללי הוכרע לפי מספר הקלפי הבסיסי</x:v>
      </x:c>
      <x:c r="I117" s="25" t="str">
        <x:v>הודעת הבחירות הרשמית של חיפה (2024)</x:v>
      </x:c>
      <x:c r="J117" s="25" t="str">
        <x:v>מוכן לעבודה</x:v>
      </x:c>
    </x:row>
    <x:row r="118" ht="42" customHeight="1">
      <x:c r="A118" s="17" t="n">
        <x:v>116</x:v>
      </x:c>
      <x:c r="B118" s="17" t="str">
        <x:v>מרכז קהילתי "עציון"</x:v>
      </x:c>
      <x:c r="C118" s="17" t="str">
        <x:v>יל"ג 7</x:v>
      </x:c>
      <x:c r="D118" s="28" t="n">
        <x:v>2</x:v>
      </x:c>
      <x:c r="E118" s="25" t="str">
        <x:v>335.1, 335.2</x:v>
      </x:c>
      <x:c r="F118" s="25" t="str">
        <x:v>2843, 2844</x:v>
      </x:c>
      <x:c r="G118" s="17" t="str">
        <x:v>גבוה מאוד</x:v>
      </x:c>
      <x:c r="H118" s="25" t="str">
        <x:v>מספר קלפי בסיסי ושם אתר זהים</x:v>
      </x:c>
      <x:c r="I118" s="25" t="str">
        <x:v>הודעת הבחירות הרשמית של חיפה (2024)</x:v>
      </x:c>
      <x:c r="J118" s="25" t="str">
        <x:v>מוכן לעבודה</x:v>
      </x:c>
    </x:row>
    <x:row r="119" ht="42" customHeight="1">
      <x:c r="A119" s="17" t="n">
        <x:v>117</x:v>
      </x:c>
      <x:c r="B119" s="17" t="str">
        <x:v>מרכז קהילתי בית נגלר</x:v>
      </x:c>
      <x:c r="C119" s="17" t="str">
        <x:v>בן צבי יצחק 14</x:v>
      </x:c>
      <x:c r="D119" s="28" t="n">
        <x:v>4</x:v>
      </x:c>
      <x:c r="E119" s="25" t="str">
        <x:v>726, 727, 733, 739</x:v>
      </x:c>
      <x:c r="F119" s="25" t="str">
        <x:v>3224, 3225, 3233, 3234</x:v>
      </x:c>
      <x:c r="G119" s="17" t="str">
        <x:v>גבוה מאוד</x:v>
      </x:c>
      <x:c r="H119" s="25" t="str">
        <x:v>מספר קלפי בסיסי ושם אתר זהים</x:v>
      </x:c>
      <x:c r="I119" s="25" t="str">
        <x:v>הודעת הבחירות הרשמית של חיפה (2024)</x:v>
      </x:c>
      <x:c r="J119" s="25" t="str">
        <x:v>מוכן לעבודה</x:v>
      </x:c>
    </x:row>
    <x:row r="120" ht="42" customHeight="1">
      <x:c r="A120" s="17" t="n">
        <x:v>118</x:v>
      </x:c>
      <x:c r="B120" s="17" t="str">
        <x:v>מרכז קהילתי בת גלים</x:v>
      </x:c>
      <x:c r="C120" s="17" t="str">
        <x:v>העליה השניה 45</x:v>
      </x:c>
      <x:c r="D120" s="28" t="n">
        <x:v>4</x:v>
      </x:c>
      <x:c r="E120" s="25" t="str">
        <x:v>131, 141, 143, 146</x:v>
      </x:c>
      <x:c r="F120" s="25" t="str">
        <x:v>2936, 2943, 2944, 2945</x:v>
      </x:c>
      <x:c r="G120" s="17" t="str">
        <x:v>גבוה מאוד</x:v>
      </x:c>
      <x:c r="H120" s="25" t="str">
        <x:v>מספר קלפי בסיסי ושם אתר זהים</x:v>
      </x:c>
      <x:c r="I120" s="25" t="str">
        <x:v>הודעת הבחירות הרשמית של חיפה (2024)</x:v>
      </x:c>
      <x:c r="J120" s="25" t="str">
        <x:v>מוכן לעבודה</x:v>
      </x:c>
    </x:row>
    <x:row r="121" ht="42" customHeight="1">
      <x:c r="A121" s="17" t="n">
        <x:v>119</x:v>
      </x:c>
      <x:c r="B121" s="17" t="str">
        <x:v>מרכז קהילתי נווה דוד</x:v>
      </x:c>
      <x:c r="C121" s="17" t="str">
        <x:v>יהושפט המלך 6א</x:v>
      </x:c>
      <x:c r="D121" s="28" t="n">
        <x:v>1</x:v>
      </x:c>
      <x:c r="E121" s="25" t="str">
        <x:v>152</x:v>
      </x:c>
      <x:c r="F121" s="25" t="str">
        <x:v>2984</x:v>
      </x:c>
      <x:c r="G121" s="17" t="str">
        <x:v>גבוה מאוד</x:v>
      </x:c>
      <x:c r="H121" s="25" t="str">
        <x:v>מספר קלפי בסיסי ושם אתר זהים</x:v>
      </x:c>
      <x:c r="I121" s="25" t="str">
        <x:v>הודעת הבחירות הרשמית של חיפה (2024)</x:v>
      </x:c>
      <x:c r="J121" s="25" t="str">
        <x:v>מוכן לעבודה</x:v>
      </x:c>
    </x:row>
    <x:row r="122" ht="42" customHeight="1">
      <x:c r="A122" s="17" t="n">
        <x:v>120</x:v>
      </x:c>
      <x:c r="B122" s="17" t="str">
        <x:v>מרכז קהילתי רמת ספיר</x:v>
      </x:c>
      <x:c r="C122" s="17" t="str">
        <x:v>לוין גוטל 22א</x:v>
      </x:c>
      <x:c r="D122" s="28" t="n">
        <x:v>3</x:v>
      </x:c>
      <x:c r="E122" s="25" t="str">
        <x:v>361, 362, 460</x:v>
      </x:c>
      <x:c r="F122" s="25" t="str">
        <x:v>3143, 3144, 3153</x:v>
      </x:c>
      <x:c r="G122" s="17" t="str">
        <x:v>גבוה מאוד</x:v>
      </x:c>
      <x:c r="H122" s="25" t="str">
        <x:v>מספר קלפי בסיסי ושם אתר זהים</x:v>
      </x:c>
      <x:c r="I122" s="25" t="str">
        <x:v>הודעת הבחירות הרשמית של חיפה (2024)</x:v>
      </x:c>
      <x:c r="J122" s="25" t="str">
        <x:v>מוכן לעבודה</x:v>
      </x:c>
    </x:row>
    <x:row r="123" ht="42" customHeight="1">
      <x:c r="A123" s="17" t="n">
        <x:v>121</x:v>
      </x:c>
      <x:c r="B123" s="17" t="str">
        <x:v>מרכז קריגר</x:v>
      </x:c>
      <x:c r="C123" s="17" t="str">
        <x:v>חכים אליהו 6</x:v>
      </x:c>
      <x:c r="D123" s="28" t="n">
        <x:v>1</x:v>
      </x:c>
      <x:c r="E123" s="25" t="str">
        <x:v>232</x:v>
      </x:c>
      <x:c r="F123" s="25" t="str">
        <x:v>2958</x:v>
      </x:c>
      <x:c r="G123" s="17" t="str">
        <x:v>גבוה מאוד</x:v>
      </x:c>
      <x:c r="H123" s="25" t="str">
        <x:v>מספר קלפי בסיסי ושם אתר זהים</x:v>
      </x:c>
      <x:c r="I123" s="25" t="str">
        <x:v>הודעת הבחירות הרשמית של חיפה (2024)</x:v>
      </x:c>
      <x:c r="J123" s="25" t="str">
        <x:v>מוכן לעבודה</x:v>
      </x:c>
    </x:row>
    <x:row r="124" ht="42" customHeight="1">
      <x:c r="A124" s="17" t="n">
        <x:v>122</x:v>
      </x:c>
      <x:c r="B124" s="17" t="str">
        <x:v>מתחם אלחיוואל גן + בי"ס</x:v>
      </x:c>
      <x:c r="C124" s="17" t="str">
        <x:v>צהיון 5</x:v>
      </x:c>
      <x:c r="D124" s="28" t="n">
        <x:v>2</x:v>
      </x:c>
      <x:c r="E124" s="25" t="str">
        <x:v>75, 77</x:v>
      </x:c>
      <x:c r="F124" s="25" t="str">
        <x:v>2815, 2816</x:v>
      </x:c>
      <x:c r="G124" s="17" t="str">
        <x:v>גבוה מאוד</x:v>
      </x:c>
      <x:c r="H124" s="25" t="str">
        <x:v>מספר קלפי בסיסי ושם אתר זהים</x:v>
      </x:c>
      <x:c r="I124" s="25" t="str">
        <x:v>הודעת הבחירות הרשמית של חיפה (2024)</x:v>
      </x:c>
      <x:c r="J124" s="25" t="str">
        <x:v>מוכן לעבודה</x:v>
      </x:c>
    </x:row>
    <x:row r="125" ht="42" customHeight="1">
      <x:c r="A125" s="17" t="n">
        <x:v>123</x:v>
      </x:c>
      <x:c r="B125" s="17" t="str">
        <x:v>מתחם גני ילדים</x:v>
      </x:c>
      <x:c r="C125" s="17" t="str">
        <x:v>הרקפות 11</x:v>
      </x:c>
      <x:c r="D125" s="28" t="n">
        <x:v>2</x:v>
      </x:c>
      <x:c r="E125" s="25" t="str">
        <x:v>235, 257</x:v>
      </x:c>
      <x:c r="F125" s="25" t="str">
        <x:v>2959, 2966</x:v>
      </x:c>
      <x:c r="G125" s="17" t="str">
        <x:v>גבוה מאוד</x:v>
      </x:c>
      <x:c r="H125" s="25" t="str">
        <x:v>מספר קלפי בסיסי ושם אתר זהים</x:v>
      </x:c>
      <x:c r="I125" s="25" t="str">
        <x:v>הודעת הבחירות הרשמית של חיפה (2024)</x:v>
      </x:c>
      <x:c r="J125" s="25" t="str">
        <x:v>מוכן לעבודה</x:v>
      </x:c>
    </x:row>
    <x:row r="126" ht="42" customHeight="1">
      <x:c r="A126" s="17" t="n">
        <x:v>124</x:v>
      </x:c>
      <x:c r="B126" s="17" t="str">
        <x:v>מתנ"ס הדר</x:v>
      </x:c>
      <x:c r="C126" s="17" t="str">
        <x:v>בית"ר 8</x:v>
      </x:c>
      <x:c r="D126" s="28" t="n">
        <x:v>2</x:v>
      </x:c>
      <x:c r="E126" s="25" t="str">
        <x:v>327, 328</x:v>
      </x:c>
      <x:c r="F126" s="25" t="str">
        <x:v>2869, 2870</x:v>
      </x:c>
      <x:c r="G126" s="17" t="str">
        <x:v>גבוה מאוד</x:v>
      </x:c>
      <x:c r="H126" s="25" t="str">
        <x:v>מספר קלפי בסיסי ושם אתר זהים</x:v>
      </x:c>
      <x:c r="I126" s="25" t="str">
        <x:v>הודעת הבחירות הרשמית של חיפה (2024)</x:v>
      </x:c>
      <x:c r="J126" s="25" t="str">
        <x:v>מוכן לעבודה</x:v>
      </x:c>
    </x:row>
    <x:row r="127" ht="42" customHeight="1">
      <x:c r="A127" s="17" t="n">
        <x:v>125</x:v>
      </x:c>
      <x:c r="B127" s="17" t="str">
        <x:v>מתנ"ס הדר ע"ש גולד ושנפלד</x:v>
      </x:c>
      <x:c r="C127" s="17" t="str">
        <x:v>טבריה 15</x:v>
      </x:c>
      <x:c r="D127" s="28" t="n">
        <x:v>2</x:v>
      </x:c>
      <x:c r="E127" s="25" t="str">
        <x:v>290, 291</x:v>
      </x:c>
      <x:c r="F127" s="25" t="str">
        <x:v>2831, 2832</x:v>
      </x:c>
      <x:c r="G127" s="17" t="str">
        <x:v>גבוה מאוד</x:v>
      </x:c>
      <x:c r="H127" s="25" t="str">
        <x:v>מספר קלפי בסיסי ושם אתר זהים</x:v>
      </x:c>
      <x:c r="I127" s="25" t="str">
        <x:v>הודעת הבחירות הרשמית של חיפה (2024)</x:v>
      </x:c>
      <x:c r="J127" s="25" t="str">
        <x:v>מוכן לעבודה</x:v>
      </x:c>
    </x:row>
    <x:row r="128" ht="42" customHeight="1">
      <x:c r="A128" s="17" t="n">
        <x:v>126</x:v>
      </x:c>
      <x:c r="B128" s="17" t="str">
        <x:v>מתנ"ס הדר-ביתנו</x:v>
      </x:c>
      <x:c r="C128" s="17" t="str">
        <x:v>ירושלים 29</x:v>
      </x:c>
      <x:c r="D128" s="28" t="n">
        <x:v>3</x:v>
      </x:c>
      <x:c r="E128" s="25" t="str">
        <x:v>337.1, 337.2, 337.3</x:v>
      </x:c>
      <x:c r="F128" s="25" t="str">
        <x:v>2897, 2898, 2899</x:v>
      </x:c>
      <x:c r="G128" s="17" t="str">
        <x:v>גבוה מאוד</x:v>
      </x:c>
      <x:c r="H128" s="25" t="str">
        <x:v>מספר קלפי בסיסי ושם אתר זהים</x:v>
      </x:c>
      <x:c r="I128" s="25" t="str">
        <x:v>הודעת הבחירות הרשמית של חיפה (2024)</x:v>
      </x:c>
      <x:c r="J128" s="25" t="str">
        <x:v>מוכן לעבודה</x:v>
      </x:c>
    </x:row>
    <x:row r="129" ht="42" customHeight="1">
      <x:c r="A129" s="17" t="n">
        <x:v>127</x:v>
      </x:c>
      <x:c r="B129" s="17" t="str">
        <x:v>מתנ"ס לאו בק שלוחת בית אל</x:v>
      </x:c>
      <x:c r="C129" s="17" t="str">
        <x:v>בית אל 3</x:v>
      </x:c>
      <x:c r="D129" s="28" t="n">
        <x:v>1</x:v>
      </x:c>
      <x:c r="E129" s="25" t="str">
        <x:v>282</x:v>
      </x:c>
      <x:c r="F129" s="25" t="str">
        <x:v>2972</x:v>
      </x:c>
      <x:c r="G129" s="17" t="str">
        <x:v>גבוה מאוד</x:v>
      </x:c>
      <x:c r="H129" s="25" t="str">
        <x:v>מספר קלפי בסיסי ושם אתר זהים</x:v>
      </x:c>
      <x:c r="I129" s="25" t="str">
        <x:v>הודעת הבחירות הרשמית של חיפה (2024)</x:v>
      </x:c>
      <x:c r="J129" s="25" t="str">
        <x:v>מוכן לעבודה</x:v>
      </x:c>
    </x:row>
    <x:row r="130" ht="42" customHeight="1">
      <x:c r="A130" s="17" t="n">
        <x:v>128</x:v>
      </x:c>
      <x:c r="B130" s="17" t="str">
        <x:v>מתנ"ס נווה יוסף (אגף חדש)</x:v>
      </x:c>
      <x:c r="C130" s="17" t="str">
        <x:v>משאש הרב 1</x:v>
      </x:c>
      <x:c r="D130" s="28" t="n">
        <x:v>4</x:v>
      </x:c>
      <x:c r="E130" s="25" t="str">
        <x:v>380.1, 380.2, 380.3, 380.4</x:v>
      </x:c>
      <x:c r="F130" s="25" t="str">
        <x:v>3166, 3167, 3168, 3169</x:v>
      </x:c>
      <x:c r="G130" s="17" t="str">
        <x:v>גבוה מאוד</x:v>
      </x:c>
      <x:c r="H130" s="25" t="str">
        <x:v>מספר קלפי בסיסי ושם אתר זהים</x:v>
      </x:c>
      <x:c r="I130" s="25" t="str">
        <x:v>הודעת הבחירות הרשמית של חיפה (2024)</x:v>
      </x:c>
      <x:c r="J130" s="25" t="str">
        <x:v>מוכן לעבודה</x:v>
      </x:c>
    </x:row>
    <x:row r="131" ht="42" customHeight="1">
      <x:c r="A131" s="17" t="n">
        <x:v>129</x:v>
      </x:c>
      <x:c r="B131" s="17" t="str">
        <x:v>מתנ"ס קלור</x:v>
      </x:c>
      <x:c r="C131" s="17" t="str">
        <x:v>שטרן יאיר 20</x:v>
      </x:c>
      <x:c r="D131" s="28" t="n">
        <x:v>1</x:v>
      </x:c>
      <x:c r="E131" s="25" t="str">
        <x:v>148</x:v>
      </x:c>
      <x:c r="F131" s="25" t="str">
        <x:v>2982</x:v>
      </x:c>
      <x:c r="G131" s="17" t="str">
        <x:v>גבוה מאוד</x:v>
      </x:c>
      <x:c r="H131" s="25" t="str">
        <x:v>מספר קלפי בסיסי ושם אתר זהים</x:v>
      </x:c>
      <x:c r="I131" s="25" t="str">
        <x:v>הודעת הבחירות הרשמית של חיפה (2024)</x:v>
      </x:c>
      <x:c r="J131" s="25" t="str">
        <x:v>מוכן לעבודה</x:v>
      </x:c>
    </x:row>
    <x:row r="132" ht="42" customHeight="1">
      <x:c r="A132" s="17" t="n">
        <x:v>130</x:v>
      </x:c>
      <x:c r="B132" s="17" t="str">
        <x:v>ספריה עירונית "פבזנר"</x:v>
      </x:c>
      <x:c r="C132" s="17" t="str">
        <x:v>פבזנר 54</x:v>
      </x:c>
      <x:c r="D132" s="28" t="n">
        <x:v>2</x:v>
      </x:c>
      <x:c r="E132" s="25" t="str">
        <x:v>318.1, 318.2</x:v>
      </x:c>
      <x:c r="F132" s="25" t="str">
        <x:v>2860, 2861</x:v>
      </x:c>
      <x:c r="G132" s="17" t="str">
        <x:v>גבוה מאוד</x:v>
      </x:c>
      <x:c r="H132" s="25" t="str">
        <x:v>מספר קלפי בסיסי ושם אתר זהים</x:v>
      </x:c>
      <x:c r="I132" s="25" t="str">
        <x:v>הודעת הבחירות הרשמית של חיפה (2024)</x:v>
      </x:c>
      <x:c r="J132" s="25" t="str">
        <x:v>מוכן לעבודה</x:v>
      </x:c>
    </x:row>
    <x:row r="133" ht="42" customHeight="1">
      <x:c r="A133" s="17" t="n">
        <x:v>131</x:v>
      </x:c>
      <x:c r="B133" s="17" t="str">
        <x:v>עירוני ג חטיבת בינים בנין מצדה</x:v>
      </x:c>
      <x:c r="C133" s="17" t="str">
        <x:v>מימון הרב 23</x:v>
      </x:c>
      <x:c r="D133" s="28" t="n">
        <x:v>4</x:v>
      </x:c>
      <x:c r="E133" s="25" t="str">
        <x:v>350.1, 350.2, 350.3, 350.4</x:v>
      </x:c>
      <x:c r="F133" s="25" t="str">
        <x:v>3131, 3132, 3133, 3134</x:v>
      </x:c>
      <x:c r="G133" s="17" t="str">
        <x:v>גבוה מאוד</x:v>
      </x:c>
      <x:c r="H133" s="25" t="str">
        <x:v>מספר קלפי בסיסי ושם אתר זהים</x:v>
      </x:c>
      <x:c r="I133" s="25" t="str">
        <x:v>הודעת הבחירות הרשמית של חיפה (2024)</x:v>
      </x:c>
      <x:c r="J133" s="25" t="str">
        <x:v>מוכן לעבודה</x:v>
      </x:c>
    </x:row>
    <x:row r="134" ht="42" customHeight="1">
      <x:c r="A134" s="17" t="n">
        <x:v>132</x:v>
      </x:c>
      <x:c r="B134" s="17" t="str">
        <x:v>עירוני ה חטיבת בינים</x:v>
      </x:c>
      <x:c r="C134" s="17" t="str">
        <x:v>הטנא 2</x:v>
      </x:c>
      <x:c r="D134" s="28" t="n">
        <x:v>2</x:v>
      </x:c>
      <x:c r="E134" s="25" t="str">
        <x:v>260, 322</x:v>
      </x:c>
      <x:c r="F134" s="25" t="str">
        <x:v>3041, 3043</x:v>
      </x:c>
      <x:c r="G134" s="17" t="str">
        <x:v>גבוה</x:v>
      </x:c>
      <x:c r="H134" s="25" t="str">
        <x:v>מספר קלפי בסיסי ושם אתר זהים | שם אתר ייחודי זהה; מספר הקלפי השתנה או פוצל</x:v>
      </x:c>
      <x:c r="I134" s="25" t="str">
        <x:v>הודעת הבחירות הרשמית של חיפה (2024)</x:v>
      </x:c>
      <x:c r="J134" s="25" t="str">
        <x:v>מוכן לעבודה</x:v>
      </x:c>
    </x:row>
    <x:row r="135" ht="42" customHeight="1">
      <x:c r="A135" s="17" t="n">
        <x:v>133</x:v>
      </x:c>
      <x:c r="B135" s="17" t="str">
        <x:v>עיריית חיפה - אגף הביטחון</x:v>
      </x:c>
      <x:c r="C135" s="17" t="str">
        <x:v>שפרעם 10</x:v>
      </x:c>
      <x:c r="D135" s="28" t="n">
        <x:v>2</x:v>
      </x:c>
      <x:c r="E135" s="25" t="str">
        <x:v>298.1, 298.2</x:v>
      </x:c>
      <x:c r="F135" s="25" t="str">
        <x:v>2834, 2835</x:v>
      </x:c>
      <x:c r="G135" s="17" t="str">
        <x:v>גבוה מאוד</x:v>
      </x:c>
      <x:c r="H135" s="25" t="str">
        <x:v>מספר קלפי בסיסי ושם אתר זהים</x:v>
      </x:c>
      <x:c r="I135" s="25" t="str">
        <x:v>הודעת הבחירות הרשמית של חיפה (2024)</x:v>
      </x:c>
      <x:c r="J135" s="25" t="str">
        <x:v>מוכן לעבודה</x:v>
      </x:c>
    </x:row>
    <x:row r="136" ht="42" customHeight="1">
      <x:c r="A136" s="17" t="n">
        <x:v>134</x:v>
      </x:c>
      <x:c r="B136" s="17" t="str">
        <x:v>עיריית חיפה - מרכז שירות לתושב</x:v>
      </x:c>
      <x:c r="C136" s="17" t="str">
        <x:v>חסן שוקרי 11</x:v>
      </x:c>
      <x:c r="D136" s="28" t="n">
        <x:v>2</x:v>
      </x:c>
      <x:c r="E136" s="25" t="str">
        <x:v>990.1, 990.2</x:v>
      </x:c>
      <x:c r="F136" s="25" t="str">
        <x:v>2882, 2883</x:v>
      </x:c>
      <x:c r="G136" s="17" t="str">
        <x:v>גבוה מאוד</x:v>
      </x:c>
      <x:c r="H136" s="25" t="str">
        <x:v>מספר קלפי בסיסי ושם אתר זהים</x:v>
      </x:c>
      <x:c r="I136" s="25" t="str">
        <x:v>הודעת הבחירות הרשמית של חיפה (2024)</x:v>
      </x:c>
      <x:c r="J136" s="25" t="str">
        <x:v>מוכן לעבודה</x:v>
      </x:c>
    </x:row>
    <x:row r="137" ht="42" customHeight="1">
      <x:c r="A137" s="17" t="n">
        <x:v>135</x:v>
      </x:c>
      <x:c r="B137" s="17" t="str">
        <x:v>ערית חיפה אגף האכיפה והגביה</x:v>
      </x:c>
      <x:c r="C137" s="17" t="str">
        <x:v>ברוואלד 5</x:v>
      </x:c>
      <x:c r="D137" s="28" t="n">
        <x:v>2</x:v>
      </x:c>
      <x:c r="E137" s="25" t="str">
        <x:v>304.1, 304.2</x:v>
      </x:c>
      <x:c r="F137" s="25" t="str">
        <x:v>2858, 2859</x:v>
      </x:c>
      <x:c r="G137" s="17" t="str">
        <x:v>גבוה מאוד</x:v>
      </x:c>
      <x:c r="H137" s="25" t="str">
        <x:v>מספר קלפי בסיסי ושם אתר זהים</x:v>
      </x:c>
      <x:c r="I137" s="25" t="str">
        <x:v>הודעת הבחירות הרשמית של חיפה (2024)</x:v>
      </x:c>
      <x:c r="J137" s="25" t="str">
        <x:v>מוכן לעבודה</x:v>
      </x:c>
    </x:row>
    <x:row r="138" ht="42" customHeight="1">
      <x:c r="A138" s="17" t="n">
        <x:v>136</x:v>
      </x:c>
      <x:c r="B138" s="17" t="str">
        <x:v>שלוחת בי"ס אינשטיין</x:v>
      </x:c>
      <x:c r="C138" s="17" t="str">
        <x:v>אינשטיין אלברט 94</x:v>
      </x:c>
      <x:c r="D138" s="28" t="n">
        <x:v>5</x:v>
      </x:c>
      <x:c r="E138" s="25" t="str">
        <x:v>179, 187, 269, 359, 363</x:v>
      </x:c>
      <x:c r="F138" s="25" t="str">
        <x:v>3074, 3079, 3093, 3094, 3095</x:v>
      </x:c>
      <x:c r="G138" s="17" t="str">
        <x:v>גבוה מאוד</x:v>
      </x:c>
      <x:c r="H138" s="25" t="str">
        <x:v>מספר קלפי בסיסי ושם אתר זהים</x:v>
      </x:c>
      <x:c r="I138" s="25" t="str">
        <x:v>הודעת הבחירות הרשמית של חיפה (2024)</x:v>
      </x:c>
      <x:c r="J138" s="25" t="str">
        <x:v>מוכן לעבודה</x:v>
      </x:c>
    </x:row>
    <x:row r="139" ht="42" customHeight="1">
      <x:c r="A139" s="17" t="n">
        <x:v>137</x:v>
      </x:c>
      <x:c r="B139" s="17" t="str">
        <x:v>ת.דתי לבנות בית יעקב</x:v>
      </x:c>
      <x:c r="C139" s="17" t="str">
        <x:v>בצלאל 5</x:v>
      </x:c>
      <x:c r="D139" s="28" t="n">
        <x:v>6</x:v>
      </x:c>
      <x:c r="E139" s="25" t="str">
        <x:v>320.1, 320.2, 320.3, 320.4, 320.5, 320.6</x:v>
      </x:c>
      <x:c r="F139" s="25" t="str">
        <x:v>2863, 2864, 2865, 2866, 2867, 2868</x:v>
      </x:c>
      <x:c r="G139" s="17" t="str">
        <x:v>גבוה מאוד</x:v>
      </x:c>
      <x:c r="H139" s="25" t="str">
        <x:v>מספר קלפי בסיסי ושם אתר זהים</x:v>
      </x:c>
      <x:c r="I139" s="25" t="str">
        <x:v>הודעת הבחירות הרשמית של חיפה (2024)</x:v>
      </x:c>
      <x:c r="J139" s="25" t="str">
        <x:v>מוכן לעבודה</x:v>
      </x:c>
    </x:row>
    <x:row r="140" ht="42" customHeight="1">
      <x:c r="A140" s="17" t="n">
        <x:v>138</x:v>
      </x:c>
      <x:c r="B140" s="17" t="str">
        <x:v>תיכון חוגים ע"ש רחל מתוקי</x:v>
      </x:c>
      <x:c r="C140" s="17" t="str">
        <x:v>בלום לאון 9</x:v>
      </x:c>
      <x:c r="D140" s="28" t="n">
        <x:v>3</x:v>
      </x:c>
      <x:c r="E140" s="25" t="str">
        <x:v>268, 347, 348</x:v>
      </x:c>
      <x:c r="F140" s="25" t="str">
        <x:v>2885, 2903, 2904</x:v>
      </x:c>
      <x:c r="G140" s="17" t="str">
        <x:v>גבוה מאוד</x:v>
      </x:c>
      <x:c r="H140" s="25" t="str">
        <x:v>מספר קלפי בסיסי ושם אתר זהים</x:v>
      </x:c>
      <x:c r="I140" s="25" t="str">
        <x:v>הודעת הבחירות הרשמית של חיפה (2024)</x:v>
      </x:c>
      <x:c r="J140" s="25" t="str">
        <x:v>מוכן לעבודה</x:v>
      </x:c>
    </x:row>
    <x:row r="141" ht="42" customHeight="1">
      <x:c r="A141" s="17" t="n">
        <x:v>139</x:v>
      </x:c>
      <x:c r="B141" s="17" t="str">
        <x:v>תיכון ק.חיים בניין שקד</x:v>
      </x:c>
      <x:c r="C141" s="17" t="str">
        <x:v>הגדוד העברי 48</x:v>
      </x:c>
      <x:c r="D141" s="28" t="n">
        <x:v>4</x:v>
      </x:c>
      <x:c r="E141" s="25" t="str">
        <x:v>721.1, 721.2, 721.3, 721.4</x:v>
      </x:c>
      <x:c r="F141" s="25" t="str">
        <x:v>3210, 3211, 3212, 3213</x:v>
      </x:c>
      <x:c r="G141" s="17" t="str">
        <x:v>גבוה מאוד</x:v>
      </x:c>
      <x:c r="H141" s="25" t="str">
        <x:v>מספר קלפי בסיסי ושם אתר זהים</x:v>
      </x:c>
      <x:c r="I141" s="25" t="str">
        <x:v>הודעת הבחירות הרשמית של חיפה (2024)</x:v>
      </x:c>
      <x:c r="J141" s="25" t="str">
        <x:v>מוכן לעבודה</x:v>
      </x:c>
    </x:row>
    <x:row r="142" ht="42" customHeight="1">
      <x:c r="A142" s="17" t="n">
        <x:v>140</x:v>
      </x:c>
      <x:c r="B142" s="17" t="str">
        <x:v>תלמוד תורה תורת אמת</x:v>
      </x:c>
      <x:c r="C142" s="17" t="str">
        <x:v>בן בבא 4</x:v>
      </x:c>
      <x:c r="D142" s="28" t="n">
        <x:v>5</x:v>
      </x:c>
      <x:c r="E142" s="25" t="str">
        <x:v>343.1, 343.2, 343.3, 343.4, 343.5</x:v>
      </x:c>
      <x:c r="F142" s="25" t="str">
        <x:v>2871, 2872, 2873, 2874, 2875</x:v>
      </x:c>
      <x:c r="G142" s="17" t="str">
        <x:v>גבוה מאוד</x:v>
      </x:c>
      <x:c r="H142" s="25" t="str">
        <x:v>מספר קלפי בסיסי ושם אתר זהים</x:v>
      </x:c>
      <x:c r="I142" s="25" t="str">
        <x:v>הודעת הבחירות הרשמית של חיפה (2024)</x:v>
      </x:c>
      <x:c r="J142" s="25" t="str">
        <x:v>מוכן לעבודה</x:v>
      </x:c>
    </x:row>
  </x:sheetData>
  <x:mergeCells>
    <x:mergeCell ref="A1:J1"/>
  </x:mergeCells>
  <x:conditionalFormatting sqref="G3:G142">
    <x:cfRule type="containsText" dxfId="0" priority="1" operator="containsText" text="בינוני"/>
  </x:conditionalFormatting>
  <x:conditionalFormatting sqref="J3:J142">
    <x:cfRule type="containsText" dxfId="1" priority="2" operator="containsText" text="בדיקה"/>
  </x:conditionalFormatting>
  <x:pageMargins left="0.7" right="0.7" top="0.75" bottom="0.75" header="0.3" footer="0.3"/>
  <x:tableParts count="1">
    <x:tablePart xmlns:r="http://schemas.openxmlformats.org/officeDocument/2006/relationships" r:id="Re1ef97e7e9574b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9.4399995803833" hidden="0" customWidth="1"/>
    <x:col min="3" max="3" width="25.559999465942383" hidden="0" customWidth="1"/>
    <x:col min="4" max="4" width="18.889999389648438" hidden="0" customWidth="1"/>
    <x:col min="5" max="5" width="11.670000076293945" hidden="0" customWidth="1"/>
    <x:col min="6" max="6" width="30" hidden="0" customWidth="1"/>
    <x:col min="7" max="7" width="22.780000686645508" hidden="0" customWidth="1"/>
    <x:col min="8" max="8" width="8.329999923706055" hidden="0" customWidth="1"/>
    <x:col min="9" max="9" width="10.5600004196167" hidden="0" customWidth="1"/>
    <x:col min="10" max="10" width="24.440000534057617" hidden="0" customWidth="1"/>
    <x:col min="11" max="11" width="13.329999923706055" hidden="0" customWidth="1"/>
  </x:cols>
  <x:sheetData>
    <x:row r="1" ht="34" customHeight="1">
      <x:c r="A1" s="4" t="str">
        <x:v>התאמות ברמת קלפי - מקור, שיטה ורמת ביטחון</x:v>
      </x:c>
      <x:c r="B1" s="4" t="str">
        <x:v>התאמות ברמת קלפי - מקור, שיטה ורמת ביטחון</x:v>
      </x:c>
      <x:c r="C1" s="4" t="str">
        <x:v>התאמות ברמת קלפי - מקור, שיטה ורמת ביטחון</x:v>
      </x:c>
      <x:c r="D1" s="4" t="str">
        <x:v>התאמות ברמת קלפי - מקור, שיטה ורמת ביטחון</x:v>
      </x:c>
      <x:c r="E1" s="4" t="str">
        <x:v>התאמות ברמת קלפי - מקור, שיטה ורמת ביטחון</x:v>
      </x:c>
      <x:c r="F1" s="4" t="str">
        <x:v>התאמות ברמת קלפי - מקור, שיטה ורמת ביטחון</x:v>
      </x:c>
      <x:c r="G1" s="4" t="str">
        <x:v>התאמות ברמת קלפי - מקור, שיטה ורמת ביטחון</x:v>
      </x:c>
      <x:c r="H1" s="4" t="str">
        <x:v>התאמות ברמת קלפי - מקור, שיטה ורמת ביטחון</x:v>
      </x:c>
      <x:c r="I1" s="4" t="str">
        <x:v>התאמות ברמת קלפי - מקור, שיטה ורמת ביטחון</x:v>
      </x:c>
      <x:c r="J1" s="4" t="str">
        <x:v>התאמות ברמת קלפי - מקור, שיטה ורמת ביטחון</x:v>
      </x:c>
      <x:c r="K1" s="4" t="str">
        <x:v>התאמות ברמת קלפי - מקור, שיטה ורמת ביטחון</x:v>
      </x:c>
    </x:row>
    <x:row r="2" ht="34" customHeight="1">
      <x:c r="A2" s="14" t="str">
        <x:v>מספר קלפי 2022</x:v>
      </x:c>
      <x:c r="B2" s="14" t="str">
        <x:v>מספר ברזל</x:v>
      </x:c>
      <x:c r="C2" s="14" t="str">
        <x:v>שם אתר 2022</x:v>
      </x:c>
      <x:c r="D2" s="14" t="str">
        <x:v>כתובת מועמדת</x:v>
      </x:c>
      <x:c r="E2" s="14" t="str">
        <x:v>רמת ביטחון</x:v>
      </x:c>
      <x:c r="F2" s="14" t="str">
        <x:v>שיטת התאמה</x:v>
      </x:c>
      <x:c r="G2" s="14" t="str">
        <x:v>מקור</x:v>
      </x:c>
      <x:c r="H2" s="14" t="str">
        <x:v>עמוד במקור</x:v>
      </x:c>
      <x:c r="I2" s="14" t="str">
        <x:v>קלפי ייחוס 2024</x:v>
      </x:c>
      <x:c r="J2" s="14" t="str">
        <x:v>שם אתר ייחוס</x:v>
      </x:c>
      <x:c r="K2" s="14" t="str">
        <x:v>סטטוס</x:v>
      </x:c>
    </x:row>
    <x:row r="3" ht="38" customHeight="1">
      <x:c r="A3" s="29" t="str">
        <x:v>1.1</x:v>
      </x:c>
      <x:c r="B3" s="28" t="n">
        <x:v>2908</x:v>
      </x:c>
      <x:c r="C3" s="17" t="str">
        <x:v>מועדון גמלאים סכנין</x:v>
      </x:c>
      <x:c r="D3" s="17" t="str">
        <x:v>הזית 5</x:v>
      </x:c>
      <x:c r="E3" s="17" t="str">
        <x:v>גבוה מאוד</x:v>
      </x:c>
      <x:c r="F3" s="25" t="str">
        <x:v>מספר קלפי בסיסי ושם אתר זהים</x:v>
      </x:c>
      <x:c r="G3" s="25" t="str">
        <x:v>הודעת הבחירות הרשמית של חיפה (2024)</x:v>
      </x:c>
      <x:c r="H3" s="25" t="n">
        <x:v>1</x:v>
      </x:c>
      <x:c r="I3" s="25" t="str">
        <x:v>1.0</x:v>
      </x:c>
      <x:c r="J3" s="25" t="str">
        <x:v>מועדון גמלאים סכנין</x:v>
      </x:c>
      <x:c r="K3" s="25" t="str">
        <x:v>מוכן לעבודה</x:v>
      </x:c>
    </x:row>
    <x:row r="4" ht="38" customHeight="1">
      <x:c r="A4" s="29" t="str">
        <x:v>1.2</x:v>
      </x:c>
      <x:c r="B4" s="28" t="n">
        <x:v>2909</x:v>
      </x:c>
      <x:c r="C4" s="17" t="str">
        <x:v>מועדון גמלאים סכנין</x:v>
      </x:c>
      <x:c r="D4" s="17" t="str">
        <x:v>הזית 5</x:v>
      </x:c>
      <x:c r="E4" s="17" t="str">
        <x:v>גבוה מאוד</x:v>
      </x:c>
      <x:c r="F4" s="25" t="str">
        <x:v>מספר קלפי בסיסי ושם אתר זהים</x:v>
      </x:c>
      <x:c r="G4" s="25" t="str">
        <x:v>הודעת הבחירות הרשמית של חיפה (2024)</x:v>
      </x:c>
      <x:c r="H4" s="25" t="n">
        <x:v>1</x:v>
      </x:c>
      <x:c r="I4" s="25" t="str">
        <x:v>1.0</x:v>
      </x:c>
      <x:c r="J4" s="25" t="str">
        <x:v>מועדון גמלאים סכנין</x:v>
      </x:c>
      <x:c r="K4" s="25" t="str">
        <x:v>מוכן לעבודה</x:v>
      </x:c>
    </x:row>
    <x:row r="5" ht="38" customHeight="1">
      <x:c r="A5" s="29" t="str">
        <x:v>1.3</x:v>
      </x:c>
      <x:c r="B5" s="28" t="n">
        <x:v>2910</x:v>
      </x:c>
      <x:c r="C5" s="17" t="str">
        <x:v>מועדון גמלאים סכנין</x:v>
      </x:c>
      <x:c r="D5" s="17" t="str">
        <x:v>הזית 5</x:v>
      </x:c>
      <x:c r="E5" s="17" t="str">
        <x:v>גבוה מאוד</x:v>
      </x:c>
      <x:c r="F5" s="25" t="str">
        <x:v>מספר קלפי בסיסי ושם אתר זהים</x:v>
      </x:c>
      <x:c r="G5" s="25" t="str">
        <x:v>הודעת הבחירות הרשמית של חיפה (2024)</x:v>
      </x:c>
      <x:c r="H5" s="25" t="n">
        <x:v>1</x:v>
      </x:c>
      <x:c r="I5" s="25" t="str">
        <x:v>1.0</x:v>
      </x:c>
      <x:c r="J5" s="25" t="str">
        <x:v>מועדון גמלאים סכנין</x:v>
      </x:c>
      <x:c r="K5" s="25" t="str">
        <x:v>מוכן לעבודה</x:v>
      </x:c>
    </x:row>
    <x:row r="6" ht="38" customHeight="1">
      <x:c r="A6" s="29" t="str">
        <x:v>1.4</x:v>
      </x:c>
      <x:c r="B6" s="28" t="n">
        <x:v>2911</x:v>
      </x:c>
      <x:c r="C6" s="17" t="str">
        <x:v>בי"ס חטיבת בינים רעות</x:v>
      </x:c>
      <x:c r="D6" s="17" t="str">
        <x:v>נח"ל 2</x:v>
      </x:c>
      <x:c r="E6" s="17" t="str">
        <x:v>גבוה</x:v>
      </x:c>
      <x:c r="F6" s="25" t="str">
        <x:v>שם אתר ייחודי זהה; מספר הקלפי השתנה או פוצל</x:v>
      </x:c>
      <x:c r="G6" s="25" t="str">
        <x:v>הודעת הבחירות הרשמית של חיפה (2024)</x:v>
      </x:c>
      <x:c r="H6" s="25" t="n">
        <x:v>2</x:v>
      </x:c>
      <x:c r="I6" s="25" t="str">
        <x:v>133.0</x:v>
      </x:c>
      <x:c r="J6" s="25" t="str">
        <x:v>בי"ס חטיבת בינים רעות</x:v>
      </x:c>
      <x:c r="K6" s="25" t="str">
        <x:v>מוכן לעבודה</x:v>
      </x:c>
    </x:row>
    <x:row r="7" ht="38" customHeight="1">
      <x:c r="A7" s="29" t="str">
        <x:v>2</x:v>
      </x:c>
      <x:c r="B7" s="28" t="n">
        <x:v>2812</x:v>
      </x:c>
      <x:c r="C7" s="17" t="str">
        <x:v>בי"ס טכנולוגי אורט הכרמל</x:v>
      </x:c>
      <x:c r="D7" s="17" t="str">
        <x:v>התשעים ושלוש 8</x:v>
      </x:c>
      <x:c r="E7" s="17" t="str">
        <x:v>גבוה מאוד</x:v>
      </x:c>
      <x:c r="F7" s="25" t="str">
        <x:v>מספר קלפי בסיסי ושם אתר זהים</x:v>
      </x:c>
      <x:c r="G7" s="25" t="str">
        <x:v>הודעת הבחירות הרשמית של חיפה (2024)</x:v>
      </x:c>
      <x:c r="H7" s="25" t="n">
        <x:v>1</x:v>
      </x:c>
      <x:c r="I7" s="25" t="str">
        <x:v>2.0</x:v>
      </x:c>
      <x:c r="J7" s="25" t="str">
        <x:v>בי"ס טכנולוגי אורט הכרמל</x:v>
      </x:c>
      <x:c r="K7" s="25" t="str">
        <x:v>מוכן לעבודה</x:v>
      </x:c>
    </x:row>
    <x:row r="8" ht="38" customHeight="1">
      <x:c r="A8" s="29" t="str">
        <x:v>3</x:v>
      </x:c>
      <x:c r="B8" s="28" t="n">
        <x:v>3186</x:v>
      </x:c>
      <x:c r="C8" s="17" t="str">
        <x:v>בי"ס אהרן הרואה</x:v>
      </x:c>
      <x:c r="D8" s="17" t="str">
        <x:v>שד הרא"ה 10</x:v>
      </x:c>
      <x:c r="E8" s="17" t="str">
        <x:v>גבוה מאוד</x:v>
      </x:c>
      <x:c r="F8" s="25" t="str">
        <x:v>מספר קלפי בסיסי ושם אתר זהים</x:v>
      </x:c>
      <x:c r="G8" s="25" t="str">
        <x:v>הודעת הבחירות הרשמית של חיפה (2024)</x:v>
      </x:c>
      <x:c r="H8" s="25" t="n">
        <x:v>1</x:v>
      </x:c>
      <x:c r="I8" s="25" t="str">
        <x:v>3.0</x:v>
      </x:c>
      <x:c r="J8" s="25" t="str">
        <x:v>בי"ס אהרן הרואה</x:v>
      </x:c>
      <x:c r="K8" s="25" t="str">
        <x:v>מוכן לעבודה</x:v>
      </x:c>
    </x:row>
    <x:row r="9" ht="38" customHeight="1">
      <x:c r="A9" s="29" t="str">
        <x:v>13</x:v>
      </x:c>
      <x:c r="B9" s="28" t="n">
        <x:v>3187</x:v>
      </x:c>
      <x:c r="C9" s="17" t="str">
        <x:v>בי"ס אהרן הרואה</x:v>
      </x:c>
      <x:c r="D9" s="17" t="str">
        <x:v>שד הרא"ה 10</x:v>
      </x:c>
      <x:c r="E9" s="17" t="str">
        <x:v>גבוה מאוד</x:v>
      </x:c>
      <x:c r="F9" s="25" t="str">
        <x:v>מספר קלפי בסיסי ושם אתר זהים</x:v>
      </x:c>
      <x:c r="G9" s="25" t="str">
        <x:v>הודעת הבחירות הרשמית של חיפה (2024)</x:v>
      </x:c>
      <x:c r="H9" s="25" t="n">
        <x:v>1</x:v>
      </x:c>
      <x:c r="I9" s="25" t="str">
        <x:v>13.0</x:v>
      </x:c>
      <x:c r="J9" s="25" t="str">
        <x:v>בי"ס אהרן הרואה</x:v>
      </x:c>
      <x:c r="K9" s="25" t="str">
        <x:v>מוכן לעבודה</x:v>
      </x:c>
    </x:row>
    <x:row r="10" ht="38" customHeight="1">
      <x:c r="A10" s="29" t="str">
        <x:v>14.1</x:v>
      </x:c>
      <x:c r="B10" s="28" t="n">
        <x:v>3188</x:v>
      </x:c>
      <x:c r="C10" s="17" t="str">
        <x:v>ישיבת פרחי אהרן</x:v>
      </x:c>
      <x:c r="D10" s="17" t="str">
        <x:v>שטרן יוסף 9</x:v>
      </x:c>
      <x:c r="E10" s="17" t="str">
        <x:v>גבוה מאוד</x:v>
      </x:c>
      <x:c r="F10" s="25" t="str">
        <x:v>מספר קלפי בסיסי ושם אתר זהים</x:v>
      </x:c>
      <x:c r="G10" s="25" t="str">
        <x:v>הודעת הבחירות הרשמית של חיפה (2024)</x:v>
      </x:c>
      <x:c r="H10" s="25" t="n">
        <x:v>1</x:v>
      </x:c>
      <x:c r="I10" s="25" t="str">
        <x:v>14.0</x:v>
      </x:c>
      <x:c r="J10" s="25" t="str">
        <x:v>ישיבת פרחי אהרן</x:v>
      </x:c>
      <x:c r="K10" s="25" t="str">
        <x:v>מוכן לעבודה</x:v>
      </x:c>
    </x:row>
    <x:row r="11" ht="38" customHeight="1">
      <x:c r="A11" s="29" t="str">
        <x:v>14.2</x:v>
      </x:c>
      <x:c r="B11" s="28" t="n">
        <x:v>3189</x:v>
      </x:c>
      <x:c r="C11" s="17" t="str">
        <x:v>ישיבת פרחי אהרן</x:v>
      </x:c>
      <x:c r="D11" s="17" t="str">
        <x:v>שטרן יוסף 9</x:v>
      </x:c>
      <x:c r="E11" s="17" t="str">
        <x:v>גבוה מאוד</x:v>
      </x:c>
      <x:c r="F11" s="25" t="str">
        <x:v>מספר קלפי בסיסי ושם אתר זהים</x:v>
      </x:c>
      <x:c r="G11" s="25" t="str">
        <x:v>הודעת הבחירות הרשמית של חיפה (2024)</x:v>
      </x:c>
      <x:c r="H11" s="25" t="n">
        <x:v>1</x:v>
      </x:c>
      <x:c r="I11" s="25" t="str">
        <x:v>14.0</x:v>
      </x:c>
      <x:c r="J11" s="25" t="str">
        <x:v>ישיבת פרחי אהרן</x:v>
      </x:c>
      <x:c r="K11" s="25" t="str">
        <x:v>מוכן לעבודה</x:v>
      </x:c>
    </x:row>
    <x:row r="12" ht="38" customHeight="1">
      <x:c r="A12" s="29" t="str">
        <x:v>31</x:v>
      </x:c>
      <x:c r="B12" s="28" t="n">
        <x:v>3190</x:v>
      </x:c>
      <x:c r="C12" s="17" t="str">
        <x:v>בי"ס ממ'ד אהרון הרואה - בנים</x:v>
      </x:c>
      <x:c r="D12" s="17" t="str">
        <x:v>פרומר דב 15</x:v>
      </x:c>
      <x:c r="E12" s="17" t="str">
        <x:v>גבוה מאוד</x:v>
      </x:c>
      <x:c r="F12" s="25" t="str">
        <x:v>מספר קלפי בסיסי ושם אתר זהים</x:v>
      </x:c>
      <x:c r="G12" s="25" t="str">
        <x:v>הודעת הבחירות הרשמית של חיפה (2024)</x:v>
      </x:c>
      <x:c r="H12" s="25" t="n">
        <x:v>2</x:v>
      </x:c>
      <x:c r="I12" s="25" t="str">
        <x:v>31.0</x:v>
      </x:c>
      <x:c r="J12" s="25" t="str">
        <x:v>בי"ס ממ'ד אהרון הרואה -בנים</x:v>
      </x:c>
      <x:c r="K12" s="25" t="str">
        <x:v>מוכן לעבודה</x:v>
      </x:c>
    </x:row>
    <x:row r="13" ht="38" customHeight="1">
      <x:c r="A13" s="29" t="str">
        <x:v>33</x:v>
      </x:c>
      <x:c r="B13" s="28" t="n">
        <x:v>3191</x:v>
      </x:c>
      <x:c r="C13" s="17" t="str">
        <x:v>בי"ס אהרן הרואה</x:v>
      </x:c>
      <x:c r="D13" s="17" t="str">
        <x:v>שד הרא"ה 10</x:v>
      </x:c>
      <x:c r="E13" s="17" t="str">
        <x:v>גבוה מאוד</x:v>
      </x:c>
      <x:c r="F13" s="25" t="str">
        <x:v>מספר קלפי בסיסי ושם אתר זהים</x:v>
      </x:c>
      <x:c r="G13" s="25" t="str">
        <x:v>הודעת הבחירות הרשמית של חיפה (2024)</x:v>
      </x:c>
      <x:c r="H13" s="25" t="n">
        <x:v>2</x:v>
      </x:c>
      <x:c r="I13" s="25" t="str">
        <x:v>33.0</x:v>
      </x:c>
      <x:c r="J13" s="25" t="str">
        <x:v>בי"ס אהרן הרואה</x:v>
      </x:c>
      <x:c r="K13" s="25" t="str">
        <x:v>מוכן לעבודה</x:v>
      </x:c>
    </x:row>
    <x:row r="14" ht="38" customHeight="1">
      <x:c r="A14" s="29" t="str">
        <x:v>34</x:v>
      </x:c>
      <x:c r="B14" s="28" t="n">
        <x:v>3192</x:v>
      </x:c>
      <x:c r="C14" s="17" t="str">
        <x:v>בי"ס ממ'ד אהרון הרואה - בנים</x:v>
      </x:c>
      <x:c r="D14" s="17" t="str">
        <x:v>פרומר דב 15</x:v>
      </x:c>
      <x:c r="E14" s="17" t="str">
        <x:v>גבוה מאוד</x:v>
      </x:c>
      <x:c r="F14" s="25" t="str">
        <x:v>מספר קלפי בסיסי ושם אתר זהים</x:v>
      </x:c>
      <x:c r="G14" s="25" t="str">
        <x:v>הודעת הבחירות הרשמית של חיפה (2024)</x:v>
      </x:c>
      <x:c r="H14" s="25" t="n">
        <x:v>2</x:v>
      </x:c>
      <x:c r="I14" s="25" t="str">
        <x:v>34.0</x:v>
      </x:c>
      <x:c r="J14" s="25" t="str">
        <x:v>בי"ס ממ'ד אהרון הרואה -בנים</x:v>
      </x:c>
      <x:c r="K14" s="25" t="str">
        <x:v>מוכן לעבודה</x:v>
      </x:c>
    </x:row>
    <x:row r="15" ht="38" customHeight="1">
      <x:c r="A15" s="29" t="str">
        <x:v>37.1</x:v>
      </x:c>
      <x:c r="B15" s="28" t="n">
        <x:v>3193</x:v>
      </x:c>
      <x:c r="C15" s="17" t="str">
        <x:v>חט"ב פרחי אהרון - עירוני ב'</x:v>
      </x:c>
      <x:c r="D15" s="17" t="str">
        <x:v>הים התיכון 2</x:v>
      </x:c>
      <x:c r="E15" s="17" t="str">
        <x:v>גבוה מאוד</x:v>
      </x:c>
      <x:c r="F15" s="25" t="str">
        <x:v>מספר קלפי בסיסי ושם אתר זהים</x:v>
      </x:c>
      <x:c r="G15" s="25" t="str">
        <x:v>הודעת הבחירות הרשמית של חיפה (2024)</x:v>
      </x:c>
      <x:c r="H15" s="25" t="n">
        <x:v>2</x:v>
      </x:c>
      <x:c r="I15" s="25" t="str">
        <x:v>37.0</x:v>
      </x:c>
      <x:c r="J15" s="25" t="str">
        <x:v>חט"ב פרחי אהרון -עירוני ב'</x:v>
      </x:c>
      <x:c r="K15" s="25" t="str">
        <x:v>מוכן לעבודה</x:v>
      </x:c>
    </x:row>
    <x:row r="16" ht="38" customHeight="1">
      <x:c r="A16" s="29" t="str">
        <x:v>37.2</x:v>
      </x:c>
      <x:c r="B16" s="28" t="n">
        <x:v>3194</x:v>
      </x:c>
      <x:c r="C16" s="17" t="str">
        <x:v>חט"ב פרחי אהרון - עירוני ב'</x:v>
      </x:c>
      <x:c r="D16" s="17" t="str">
        <x:v>הים התיכון 2</x:v>
      </x:c>
      <x:c r="E16" s="17" t="str">
        <x:v>גבוה מאוד</x:v>
      </x:c>
      <x:c r="F16" s="25" t="str">
        <x:v>מספר קלפי בסיסי ושם אתר זהים</x:v>
      </x:c>
      <x:c r="G16" s="25" t="str">
        <x:v>הודעת הבחירות הרשמית של חיפה (2024)</x:v>
      </x:c>
      <x:c r="H16" s="25" t="n">
        <x:v>2</x:v>
      </x:c>
      <x:c r="I16" s="25" t="str">
        <x:v>37.0</x:v>
      </x:c>
      <x:c r="J16" s="25" t="str">
        <x:v>חט"ב פרחי אהרון -עירוני ב'</x:v>
      </x:c>
      <x:c r="K16" s="25" t="str">
        <x:v>מוכן לעבודה</x:v>
      </x:c>
    </x:row>
    <x:row r="17" ht="38" customHeight="1">
      <x:c r="A17" s="29" t="str">
        <x:v>50</x:v>
      </x:c>
      <x:c r="B17" s="28" t="n">
        <x:v>2813</x:v>
      </x:c>
      <x:c r="C17" s="17" t="str">
        <x:v>בי"ס אחוה</x:v>
      </x:c>
      <x:c r="D17" s="17" t="str">
        <x:v>קיסריה 20</x:v>
      </x:c>
      <x:c r="E17" s="17" t="str">
        <x:v>גבוה מאוד</x:v>
      </x:c>
      <x:c r="F17" s="25" t="str">
        <x:v>מספר קלפי בסיסי ושם אתר זהים</x:v>
      </x:c>
      <x:c r="G17" s="25" t="str">
        <x:v>הודעת הבחירות הרשמית של חיפה (2024)</x:v>
      </x:c>
      <x:c r="H17" s="25" t="n">
        <x:v>2</x:v>
      </x:c>
      <x:c r="I17" s="25" t="str">
        <x:v>50.0</x:v>
      </x:c>
      <x:c r="J17" s="25" t="str">
        <x:v>בי"ס אחוה</x:v>
      </x:c>
      <x:c r="K17" s="25" t="str">
        <x:v>מוכן לעבודה</x:v>
      </x:c>
    </x:row>
    <x:row r="18" ht="38" customHeight="1">
      <x:c r="A18" s="29" t="str">
        <x:v>52.1</x:v>
      </x:c>
      <x:c r="B18" s="28" t="n">
        <x:v>2838</x:v>
      </x:c>
      <x:c r="C18" s="17" t="str">
        <x:v>בי"ס שערי תורה</x:v>
      </x:c>
      <x:c r="D18" s="17" t="str">
        <x:v>הגבורים 17</x:v>
      </x:c>
      <x:c r="E18" s="17" t="str">
        <x:v>גבוה מאוד</x:v>
      </x:c>
      <x:c r="F18" s="25" t="str">
        <x:v>מספר קלפי בסיסי ושם אתר זהים</x:v>
      </x:c>
      <x:c r="G18" s="25" t="str">
        <x:v>הודעת הבחירות הרשמית של חיפה (2024)</x:v>
      </x:c>
      <x:c r="H18" s="25" t="n">
        <x:v>2</x:v>
      </x:c>
      <x:c r="I18" s="25" t="str">
        <x:v>52.0</x:v>
      </x:c>
      <x:c r="J18" s="25" t="str">
        <x:v>בי"ס שערי תורה</x:v>
      </x:c>
      <x:c r="K18" s="25" t="str">
        <x:v>מוכן לעבודה</x:v>
      </x:c>
    </x:row>
    <x:row r="19" ht="38" customHeight="1">
      <x:c r="A19" s="29" t="str">
        <x:v>52.2</x:v>
      </x:c>
      <x:c r="B19" s="28" t="n">
        <x:v>2839</x:v>
      </x:c>
      <x:c r="C19" s="17" t="str">
        <x:v>בי"ס שערי תורה</x:v>
      </x:c>
      <x:c r="D19" s="17" t="str">
        <x:v>הגבורים 17</x:v>
      </x:c>
      <x:c r="E19" s="17" t="str">
        <x:v>גבוה מאוד</x:v>
      </x:c>
      <x:c r="F19" s="25" t="str">
        <x:v>מספר קלפי בסיסי ושם אתר זהים</x:v>
      </x:c>
      <x:c r="G19" s="25" t="str">
        <x:v>הודעת הבחירות הרשמית של חיפה (2024)</x:v>
      </x:c>
      <x:c r="H19" s="25" t="n">
        <x:v>2</x:v>
      </x:c>
      <x:c r="I19" s="25" t="str">
        <x:v>52.0</x:v>
      </x:c>
      <x:c r="J19" s="25" t="str">
        <x:v>בי"ס שערי תורה</x:v>
      </x:c>
      <x:c r="K19" s="25" t="str">
        <x:v>מוכן לעבודה</x:v>
      </x:c>
    </x:row>
    <x:row r="20" ht="38" customHeight="1">
      <x:c r="A20" s="29" t="str">
        <x:v>52.3</x:v>
      </x:c>
      <x:c r="B20" s="28" t="n">
        <x:v>2840</x:v>
      </x:c>
      <x:c r="C20" s="17" t="str">
        <x:v>בי"ס שערי תורה</x:v>
      </x:c>
      <x:c r="D20" s="17" t="str">
        <x:v>הגבורים 17</x:v>
      </x:c>
      <x:c r="E20" s="17" t="str">
        <x:v>גבוה מאוד</x:v>
      </x:c>
      <x:c r="F20" s="25" t="str">
        <x:v>מספר קלפי בסיסי ושם אתר זהים</x:v>
      </x:c>
      <x:c r="G20" s="25" t="str">
        <x:v>הודעת הבחירות הרשמית של חיפה (2024)</x:v>
      </x:c>
      <x:c r="H20" s="25" t="n">
        <x:v>2</x:v>
      </x:c>
      <x:c r="I20" s="25" t="str">
        <x:v>52.0</x:v>
      </x:c>
      <x:c r="J20" s="25" t="str">
        <x:v>בי"ס שערי תורה</x:v>
      </x:c>
      <x:c r="K20" s="25" t="str">
        <x:v>מוכן לעבודה</x:v>
      </x:c>
    </x:row>
    <x:row r="21" ht="38" customHeight="1">
      <x:c r="A21" s="29" t="str">
        <x:v>52.4</x:v>
      </x:c>
      <x:c r="B21" s="28" t="n">
        <x:v>2841</x:v>
      </x:c>
      <x:c r="C21" s="17" t="str">
        <x:v>בי"ס שערי תורה</x:v>
      </x:c>
      <x:c r="D21" s="17" t="str">
        <x:v>הגבורים 17</x:v>
      </x:c>
      <x:c r="E21" s="17" t="str">
        <x:v>גבוה מאוד</x:v>
      </x:c>
      <x:c r="F21" s="25" t="str">
        <x:v>מספר קלפי בסיסי ושם אתר זהים</x:v>
      </x:c>
      <x:c r="G21" s="25" t="str">
        <x:v>הודעת הבחירות הרשמית של חיפה (2024)</x:v>
      </x:c>
      <x:c r="H21" s="25" t="n">
        <x:v>2</x:v>
      </x:c>
      <x:c r="I21" s="25" t="str">
        <x:v>52.0</x:v>
      </x:c>
      <x:c r="J21" s="25" t="str">
        <x:v>בי"ס שערי תורה</x:v>
      </x:c>
      <x:c r="K21" s="25" t="str">
        <x:v>מוכן לעבודה</x:v>
      </x:c>
    </x:row>
    <x:row r="22" ht="38" customHeight="1">
      <x:c r="A22" s="29" t="str">
        <x:v>58.1</x:v>
      </x:c>
      <x:c r="B22" s="28" t="n">
        <x:v>2856</x:v>
      </x:c>
      <x:c r="C22" s="17" t="str">
        <x:v>אגף חינוך של העירייה</x:v>
      </x:c>
      <x:c r="D22" s="17" t="str">
        <x:v>מרכוס הרב 9</x:v>
      </x:c>
      <x:c r="E22" s="17" t="str">
        <x:v>גבוה מאוד</x:v>
      </x:c>
      <x:c r="F22" s="25" t="str">
        <x:v>מספר קלפי בסיסי ושם אתר זהים</x:v>
      </x:c>
      <x:c r="G22" s="25" t="str">
        <x:v>הודעת הבחירות הרשמית של חיפה (2024)</x:v>
      </x:c>
      <x:c r="H22" s="25" t="n">
        <x:v>2</x:v>
      </x:c>
      <x:c r="I22" s="25" t="str">
        <x:v>58.0</x:v>
      </x:c>
      <x:c r="J22" s="25" t="str">
        <x:v>אגף חינוך של העירייה</x:v>
      </x:c>
      <x:c r="K22" s="25" t="str">
        <x:v>מוכן לעבודה</x:v>
      </x:c>
    </x:row>
    <x:row r="23" ht="38" customHeight="1">
      <x:c r="A23" s="29" t="str">
        <x:v>58.2</x:v>
      </x:c>
      <x:c r="B23" s="28" t="n">
        <x:v>2857</x:v>
      </x:c>
      <x:c r="C23" s="17" t="str">
        <x:v>אגף חינוך של העירייה</x:v>
      </x:c>
      <x:c r="D23" s="17" t="str">
        <x:v>מרכוס הרב 9</x:v>
      </x:c>
      <x:c r="E23" s="17" t="str">
        <x:v>גבוה מאוד</x:v>
      </x:c>
      <x:c r="F23" s="25" t="str">
        <x:v>מספר קלפי בסיסי ושם אתר זהים</x:v>
      </x:c>
      <x:c r="G23" s="25" t="str">
        <x:v>הודעת הבחירות הרשמית של חיפה (2024)</x:v>
      </x:c>
      <x:c r="H23" s="25" t="n">
        <x:v>2</x:v>
      </x:c>
      <x:c r="I23" s="25" t="str">
        <x:v>58.0</x:v>
      </x:c>
      <x:c r="J23" s="25" t="str">
        <x:v>אגף חינוך של העירייה</x:v>
      </x:c>
      <x:c r="K23" s="25" t="str">
        <x:v>מוכן לעבודה</x:v>
      </x:c>
    </x:row>
    <x:row r="24" ht="38" customHeight="1">
      <x:c r="A24" s="29" t="str">
        <x:v>71</x:v>
      </x:c>
      <x:c r="B24" s="28" t="n">
        <x:v>2912</x:v>
      </x:c>
      <x:c r="C24" s="17" t="str">
        <x:v>המכללה האקדמית ויצו</x:v>
      </x:c>
      <x:c r="D24" s="17" t="str">
        <x:v>הגנים 21</x:v>
      </x:c>
      <x:c r="E24" s="17" t="str">
        <x:v>גבוה מאוד</x:v>
      </x:c>
      <x:c r="F24" s="25" t="str">
        <x:v>מספר קלפי בסיסי ושם אתר זהים</x:v>
      </x:c>
      <x:c r="G24" s="25" t="str">
        <x:v>הודעת הבחירות הרשמית של חיפה (2024)</x:v>
      </x:c>
      <x:c r="H24" s="25" t="n">
        <x:v>2</x:v>
      </x:c>
      <x:c r="I24" s="25" t="str">
        <x:v>71.0</x:v>
      </x:c>
      <x:c r="J24" s="25" t="str">
        <x:v>המכללה האקדמית ויצו</x:v>
      </x:c>
      <x:c r="K24" s="25" t="str">
        <x:v>מוכן לעבודה</x:v>
      </x:c>
    </x:row>
    <x:row r="25" ht="38" customHeight="1">
      <x:c r="A25" s="29" t="str">
        <x:v>72</x:v>
      </x:c>
      <x:c r="B25" s="28" t="n">
        <x:v>2913</x:v>
      </x:c>
      <x:c r="C25" s="17" t="str">
        <x:v>המכללה האקדמית ויצו</x:v>
      </x:c>
      <x:c r="D25" s="17" t="str">
        <x:v>הגנים 21</x:v>
      </x:c>
      <x:c r="E25" s="17" t="str">
        <x:v>גבוה מאוד</x:v>
      </x:c>
      <x:c r="F25" s="25" t="str">
        <x:v>מספר קלפי בסיסי ושם אתר זהים</x:v>
      </x:c>
      <x:c r="G25" s="25" t="str">
        <x:v>הודעת הבחירות הרשמית של חיפה (2024)</x:v>
      </x:c>
      <x:c r="H25" s="25" t="n">
        <x:v>2</x:v>
      </x:c>
      <x:c r="I25" s="25" t="str">
        <x:v>72.0</x:v>
      </x:c>
      <x:c r="J25" s="25" t="str">
        <x:v>המכללה האקדמית ויצו</x:v>
      </x:c>
      <x:c r="K25" s="25" t="str">
        <x:v>מוכן לעבודה</x:v>
      </x:c>
    </x:row>
    <x:row r="26" ht="38" customHeight="1">
      <x:c r="A26" s="29" t="str">
        <x:v>74</x:v>
      </x:c>
      <x:c r="B26" s="28" t="n">
        <x:v>2814</x:v>
      </x:c>
      <x:c r="C26" s="17" t="str">
        <x:v>בי"ס טכנולוגי אורט הכרמל</x:v>
      </x:c>
      <x:c r="D26" s="17" t="str">
        <x:v>התשעים ושלוש 8</x:v>
      </x:c>
      <x:c r="E26" s="17" t="str">
        <x:v>גבוה מאוד</x:v>
      </x:c>
      <x:c r="F26" s="25" t="str">
        <x:v>מספר קלפי בסיסי ושם אתר זהים</x:v>
      </x:c>
      <x:c r="G26" s="25" t="str">
        <x:v>הודעת הבחירות הרשמית של חיפה (2024)</x:v>
      </x:c>
      <x:c r="H26" s="25" t="n">
        <x:v>2</x:v>
      </x:c>
      <x:c r="I26" s="25" t="str">
        <x:v>74.0</x:v>
      </x:c>
      <x:c r="J26" s="25" t="str">
        <x:v>בי"ס טכנולוגי אורט הכרמל</x:v>
      </x:c>
      <x:c r="K26" s="25" t="str">
        <x:v>מוכן לעבודה</x:v>
      </x:c>
    </x:row>
    <x:row r="27" ht="38" customHeight="1">
      <x:c r="A27" s="29" t="str">
        <x:v>75</x:v>
      </x:c>
      <x:c r="B27" s="28" t="n">
        <x:v>2815</x:v>
      </x:c>
      <x:c r="C27" s="17" t="str">
        <x:v>מתחם אלחיוואל גן + בי"ס</x:v>
      </x:c>
      <x:c r="D27" s="17" t="str">
        <x:v>צהיון 5</x:v>
      </x:c>
      <x:c r="E27" s="17" t="str">
        <x:v>גבוה מאוד</x:v>
      </x:c>
      <x:c r="F27" s="25" t="str">
        <x:v>מספר קלפי בסיסי ושם אתר זהים</x:v>
      </x:c>
      <x:c r="G27" s="25" t="str">
        <x:v>הודעת הבחירות הרשמית של חיפה (2024)</x:v>
      </x:c>
      <x:c r="H27" s="25" t="n">
        <x:v>2</x:v>
      </x:c>
      <x:c r="I27" s="25" t="str">
        <x:v>75.0</x:v>
      </x:c>
      <x:c r="J27" s="25" t="str">
        <x:v>מתחם אלחיוואל גן +בי"ס</x:v>
      </x:c>
      <x:c r="K27" s="25" t="str">
        <x:v>מוכן לעבודה</x:v>
      </x:c>
    </x:row>
    <x:row r="28" ht="38" customHeight="1">
      <x:c r="A28" s="29" t="str">
        <x:v>77</x:v>
      </x:c>
      <x:c r="B28" s="28" t="n">
        <x:v>2816</x:v>
      </x:c>
      <x:c r="C28" s="17" t="str">
        <x:v>מתחם אלחיוואל גן + בי"ס</x:v>
      </x:c>
      <x:c r="D28" s="17" t="str">
        <x:v>צהיון 5</x:v>
      </x:c>
      <x:c r="E28" s="17" t="str">
        <x:v>גבוה מאוד</x:v>
      </x:c>
      <x:c r="F28" s="25" t="str">
        <x:v>מספר קלפי בסיסי ושם אתר זהים</x:v>
      </x:c>
      <x:c r="G28" s="25" t="str">
        <x:v>הודעת הבחירות הרשמית של חיפה (2024)</x:v>
      </x:c>
      <x:c r="H28" s="25" t="n">
        <x:v>2</x:v>
      </x:c>
      <x:c r="I28" s="25" t="str">
        <x:v>77.0</x:v>
      </x:c>
      <x:c r="J28" s="25" t="str">
        <x:v>מתחם אלחיוואל גן +בי"ס</x:v>
      </x:c>
      <x:c r="K28" s="25" t="str">
        <x:v>מוכן לעבודה</x:v>
      </x:c>
    </x:row>
    <x:row r="29" ht="38" customHeight="1">
      <x:c r="A29" s="29" t="str">
        <x:v>79</x:v>
      </x:c>
      <x:c r="B29" s="28" t="n">
        <x:v>2817</x:v>
      </x:c>
      <x:c r="C29" s="17" t="str">
        <x:v>בי"ס אחוה</x:v>
      </x:c>
      <x:c r="D29" s="17" t="str">
        <x:v>קיסריה 20</x:v>
      </x:c>
      <x:c r="E29" s="17" t="str">
        <x:v>גבוה מאוד</x:v>
      </x:c>
      <x:c r="F29" s="25" t="str">
        <x:v>מספר קלפי בסיסי ושם אתר זהים</x:v>
      </x:c>
      <x:c r="G29" s="25" t="str">
        <x:v>הודעת הבחירות הרשמית של חיפה (2024)</x:v>
      </x:c>
      <x:c r="H29" s="25" t="n">
        <x:v>2</x:v>
      </x:c>
      <x:c r="I29" s="25" t="str">
        <x:v>79.0</x:v>
      </x:c>
      <x:c r="J29" s="25" t="str">
        <x:v>בי"ס אחוה</x:v>
      </x:c>
      <x:c r="K29" s="25" t="str">
        <x:v>מוכן לעבודה</x:v>
      </x:c>
    </x:row>
    <x:row r="30" ht="38" customHeight="1">
      <x:c r="A30" s="29" t="str">
        <x:v>80</x:v>
      </x:c>
      <x:c r="B30" s="28" t="n">
        <x:v>2818</x:v>
      </x:c>
      <x:c r="C30" s="17" t="str">
        <x:v>בי"ס אחוה</x:v>
      </x:c>
      <x:c r="D30" s="17" t="str">
        <x:v>קיסריה 20</x:v>
      </x:c>
      <x:c r="E30" s="17" t="str">
        <x:v>גבוה מאוד</x:v>
      </x:c>
      <x:c r="F30" s="25" t="str">
        <x:v>מספר קלפי בסיסי ושם אתר זהים</x:v>
      </x:c>
      <x:c r="G30" s="25" t="str">
        <x:v>הודעת הבחירות הרשמית של חיפה (2024)</x:v>
      </x:c>
      <x:c r="H30" s="25" t="n">
        <x:v>2</x:v>
      </x:c>
      <x:c r="I30" s="25" t="str">
        <x:v>80.0</x:v>
      </x:c>
      <x:c r="J30" s="25" t="str">
        <x:v>בי"ס אחוה</x:v>
      </x:c>
      <x:c r="K30" s="25" t="str">
        <x:v>מוכן לעבודה</x:v>
      </x:c>
    </x:row>
    <x:row r="31" ht="38" customHeight="1">
      <x:c r="A31" s="29" t="str">
        <x:v>81</x:v>
      </x:c>
      <x:c r="B31" s="28" t="n">
        <x:v>2819</x:v>
      </x:c>
      <x:c r="C31" s="17" t="str">
        <x:v>בית ארדשטיין</x:v>
      </x:c>
      <x:c r="D31" s="17" t="str">
        <x:v>פרץ י .ל20,.</x:v>
      </x:c>
      <x:c r="E31" s="17" t="str">
        <x:v>גבוה מאוד</x:v>
      </x:c>
      <x:c r="F31" s="25" t="str">
        <x:v>מספר קלפי בסיסי ושם אתר זהים</x:v>
      </x:c>
      <x:c r="G31" s="25" t="str">
        <x:v>הודעת הבחירות הרשמית של חיפה (2024)</x:v>
      </x:c>
      <x:c r="H31" s="25" t="n">
        <x:v>2</x:v>
      </x:c>
      <x:c r="I31" s="25" t="str">
        <x:v>81.0</x:v>
      </x:c>
      <x:c r="J31" s="25" t="str">
        <x:v>בית ארדשטיין</x:v>
      </x:c>
      <x:c r="K31" s="25" t="str">
        <x:v>מוכן לעבודה</x:v>
      </x:c>
    </x:row>
    <x:row r="32" ht="38" customHeight="1">
      <x:c r="A32" s="29" t="str">
        <x:v>83</x:v>
      </x:c>
      <x:c r="B32" s="28" t="n">
        <x:v>2820</x:v>
      </x:c>
      <x:c r="C32" s="17" t="str">
        <x:v>מרכז "ערבי יהודי" תיאטרון</x:v>
      </x:c>
      <x:c r="D32" s="17" t="str">
        <x:v>שד הציונות 33</x:v>
      </x:c>
      <x:c r="E32" s="17" t="str">
        <x:v>גבוה מאוד</x:v>
      </x:c>
      <x:c r="F32" s="25" t="str">
        <x:v>מספר קלפי בסיסי ושם אתר זהים</x:v>
      </x:c>
      <x:c r="G32" s="25" t="str">
        <x:v>הודעת הבחירות הרשמית של חיפה (2024)</x:v>
      </x:c>
      <x:c r="H32" s="25" t="n">
        <x:v>2</x:v>
      </x:c>
      <x:c r="I32" s="25" t="str">
        <x:v>83.0</x:v>
      </x:c>
      <x:c r="J32" s="25" t="str">
        <x:v>מרכז "ערבי יהודי" תיאטרון</x:v>
      </x:c>
      <x:c r="K32" s="25" t="str">
        <x:v>מוכן לעבודה</x:v>
      </x:c>
    </x:row>
    <x:row r="33" ht="38" customHeight="1">
      <x:c r="A33" s="29" t="str">
        <x:v>85</x:v>
      </x:c>
      <x:c r="B33" s="28" t="n">
        <x:v>2914</x:v>
      </x:c>
      <x:c r="C33" s="17" t="str">
        <x:v>בי"ס מוריה</x:v>
      </x:c>
      <x:c r="D33" s="17" t="str">
        <x:v>אנילביץ מרדכי 26</x:v>
      </x:c>
      <x:c r="E33" s="17" t="str">
        <x:v>גבוה מאוד</x:v>
      </x:c>
      <x:c r="F33" s="25" t="str">
        <x:v>מספר קלפי בסיסי ושם אתר זהים</x:v>
      </x:c>
      <x:c r="G33" s="25" t="str">
        <x:v>הודעת הבחירות הרשמית של חיפה (2024)</x:v>
      </x:c>
      <x:c r="H33" s="25" t="n">
        <x:v>2</x:v>
      </x:c>
      <x:c r="I33" s="25" t="str">
        <x:v>85.0</x:v>
      </x:c>
      <x:c r="J33" s="25" t="str">
        <x:v>בי"ס מוריה</x:v>
      </x:c>
      <x:c r="K33" s="25" t="str">
        <x:v>מוכן לעבודה</x:v>
      </x:c>
    </x:row>
    <x:row r="34" ht="38" customHeight="1">
      <x:c r="A34" s="29" t="str">
        <x:v>86</x:v>
      </x:c>
      <x:c r="B34" s="28" t="n">
        <x:v>2915</x:v>
      </x:c>
      <x:c r="C34" s="17" t="str">
        <x:v>המכללה האקדמית ויצו</x:v>
      </x:c>
      <x:c r="D34" s="17" t="str">
        <x:v>הגנים 21</x:v>
      </x:c>
      <x:c r="E34" s="17" t="str">
        <x:v>גבוה מאוד</x:v>
      </x:c>
      <x:c r="F34" s="25" t="str">
        <x:v>מספר קלפי בסיסי ושם אתר זהים</x:v>
      </x:c>
      <x:c r="G34" s="25" t="str">
        <x:v>הודעת הבחירות הרשמית של חיפה (2024)</x:v>
      </x:c>
      <x:c r="H34" s="25" t="n">
        <x:v>2</x:v>
      </x:c>
      <x:c r="I34" s="25" t="str">
        <x:v>86.0</x:v>
      </x:c>
      <x:c r="J34" s="25" t="str">
        <x:v>המכללה האקדמית ויצו</x:v>
      </x:c>
      <x:c r="K34" s="25" t="str">
        <x:v>מוכן לעבודה</x:v>
      </x:c>
    </x:row>
    <x:row r="35" ht="38" customHeight="1">
      <x:c r="A35" s="29" t="str">
        <x:v>87</x:v>
      </x:c>
      <x:c r="B35" s="28" t="n">
        <x:v>2916</x:v>
      </x:c>
      <x:c r="C35" s="17" t="str">
        <x:v>בי"ס מוריה</x:v>
      </x:c>
      <x:c r="D35" s="17" t="str">
        <x:v>אנילביץ מרדכי 26</x:v>
      </x:c>
      <x:c r="E35" s="17" t="str">
        <x:v>גבוה מאוד</x:v>
      </x:c>
      <x:c r="F35" s="25" t="str">
        <x:v>מספר קלפי בסיסי ושם אתר זהים</x:v>
      </x:c>
      <x:c r="G35" s="25" t="str">
        <x:v>הודעת הבחירות הרשמית של חיפה (2024)</x:v>
      </x:c>
      <x:c r="H35" s="25" t="n">
        <x:v>2</x:v>
      </x:c>
      <x:c r="I35" s="25" t="str">
        <x:v>87.0</x:v>
      </x:c>
      <x:c r="J35" s="25" t="str">
        <x:v>בי"ס מוריה</x:v>
      </x:c>
      <x:c r="K35" s="25" t="str">
        <x:v>מוכן לעבודה</x:v>
      </x:c>
    </x:row>
    <x:row r="36" ht="38" customHeight="1">
      <x:c r="A36" s="29" t="str">
        <x:v>88</x:v>
      </x:c>
      <x:c r="B36" s="28" t="n">
        <x:v>2821</x:v>
      </x:c>
      <x:c r="C36" s="17" t="str">
        <x:v>מועדון הנוער הנוצרי</x:v>
      </x:c>
      <x:c r="D36" s="17" t="str">
        <x:v>שומאכר גוטליב 4</x:v>
      </x:c>
      <x:c r="E36" s="17" t="str">
        <x:v>גבוה מאוד</x:v>
      </x:c>
      <x:c r="F36" s="25" t="str">
        <x:v>מספר קלפי בסיסי ושם אתר זהים</x:v>
      </x:c>
      <x:c r="G36" s="25" t="str">
        <x:v>הודעת הבחירות הרשמית של חיפה (2024)</x:v>
      </x:c>
      <x:c r="H36" s="25" t="n">
        <x:v>2</x:v>
      </x:c>
      <x:c r="I36" s="25" t="str">
        <x:v>88.0</x:v>
      </x:c>
      <x:c r="J36" s="25" t="str">
        <x:v>מועדון הנוער הנוצרי</x:v>
      </x:c>
      <x:c r="K36" s="25" t="str">
        <x:v>מוכן לעבודה</x:v>
      </x:c>
    </x:row>
    <x:row r="37" ht="38" customHeight="1">
      <x:c r="A37" s="29" t="str">
        <x:v>89.1</x:v>
      </x:c>
      <x:c r="B37" s="28" t="n">
        <x:v>2917</x:v>
      </x:c>
      <x:c r="C37" s="17" t="str">
        <x:v>בי"ס שלווה</x:v>
      </x:c>
      <x:c r="D37" s="17" t="str">
        <x:v>שדה יצחק 26</x:v>
      </x:c>
      <x:c r="E37" s="17" t="str">
        <x:v>גבוה מאוד</x:v>
      </x:c>
      <x:c r="F37" s="25" t="str">
        <x:v>מספר קלפי בסיסי ושם אתר זהים</x:v>
      </x:c>
      <x:c r="G37" s="25" t="str">
        <x:v>הודעת הבחירות הרשמית של חיפה (2024)</x:v>
      </x:c>
      <x:c r="H37" s="25" t="n">
        <x:v>2</x:v>
      </x:c>
      <x:c r="I37" s="25" t="str">
        <x:v>89.0</x:v>
      </x:c>
      <x:c r="J37" s="25" t="str">
        <x:v>בי"ס שלווה</x:v>
      </x:c>
      <x:c r="K37" s="25" t="str">
        <x:v>מוכן לעבודה</x:v>
      </x:c>
    </x:row>
    <x:row r="38" ht="38" customHeight="1">
      <x:c r="A38" s="29" t="str">
        <x:v>89.2</x:v>
      </x:c>
      <x:c r="B38" s="28" t="n">
        <x:v>2918</x:v>
      </x:c>
      <x:c r="C38" s="17" t="str">
        <x:v>בי"ס שלווה</x:v>
      </x:c>
      <x:c r="D38" s="17" t="str">
        <x:v>שדה יצחק 26</x:v>
      </x:c>
      <x:c r="E38" s="17" t="str">
        <x:v>גבוה מאוד</x:v>
      </x:c>
      <x:c r="F38" s="25" t="str">
        <x:v>מספר קלפי בסיסי ושם אתר זהים</x:v>
      </x:c>
      <x:c r="G38" s="25" t="str">
        <x:v>הודעת הבחירות הרשמית של חיפה (2024)</x:v>
      </x:c>
      <x:c r="H38" s="25" t="n">
        <x:v>2</x:v>
      </x:c>
      <x:c r="I38" s="25" t="str">
        <x:v>89.0</x:v>
      </x:c>
      <x:c r="J38" s="25" t="str">
        <x:v>בי"ס שלווה</x:v>
      </x:c>
      <x:c r="K38" s="25" t="str">
        <x:v>מוכן לעבודה</x:v>
      </x:c>
    </x:row>
    <x:row r="39" ht="38" customHeight="1">
      <x:c r="A39" s="29" t="str">
        <x:v>89.3</x:v>
      </x:c>
      <x:c r="B39" s="28" t="n">
        <x:v>2919</x:v>
      </x:c>
      <x:c r="C39" s="17" t="str">
        <x:v>בי"ס שלווה</x:v>
      </x:c>
      <x:c r="D39" s="17" t="str">
        <x:v>שדה יצחק 26</x:v>
      </x:c>
      <x:c r="E39" s="17" t="str">
        <x:v>גבוה מאוד</x:v>
      </x:c>
      <x:c r="F39" s="25" t="str">
        <x:v>מספר קלפי בסיסי ושם אתר זהים</x:v>
      </x:c>
      <x:c r="G39" s="25" t="str">
        <x:v>הודעת הבחירות הרשמית של חיפה (2024)</x:v>
      </x:c>
      <x:c r="H39" s="25" t="n">
        <x:v>2</x:v>
      </x:c>
      <x:c r="I39" s="25" t="str">
        <x:v>89.0</x:v>
      </x:c>
      <x:c r="J39" s="25" t="str">
        <x:v>בי"ס שלווה</x:v>
      </x:c>
      <x:c r="K39" s="25" t="str">
        <x:v>מוכן לעבודה</x:v>
      </x:c>
    </x:row>
    <x:row r="40" ht="38" customHeight="1">
      <x:c r="A40" s="29" t="str">
        <x:v>89.4</x:v>
      </x:c>
      <x:c r="B40" s="28" t="n">
        <x:v>2920</x:v>
      </x:c>
      <x:c r="C40" s="17" t="str">
        <x:v>בי"ס שלווה</x:v>
      </x:c>
      <x:c r="D40" s="17" t="str">
        <x:v>שדה יצחק 26</x:v>
      </x:c>
      <x:c r="E40" s="17" t="str">
        <x:v>גבוה מאוד</x:v>
      </x:c>
      <x:c r="F40" s="25" t="str">
        <x:v>מספר קלפי בסיסי ושם אתר זהים</x:v>
      </x:c>
      <x:c r="G40" s="25" t="str">
        <x:v>הודעת הבחירות הרשמית של חיפה (2024)</x:v>
      </x:c>
      <x:c r="H40" s="25" t="n">
        <x:v>2</x:v>
      </x:c>
      <x:c r="I40" s="25" t="str">
        <x:v>89.0</x:v>
      </x:c>
      <x:c r="J40" s="25" t="str">
        <x:v>בי"ס שלווה</x:v>
      </x:c>
      <x:c r="K40" s="25" t="str">
        <x:v>מוכן לעבודה</x:v>
      </x:c>
    </x:row>
    <x:row r="41" ht="38" customHeight="1">
      <x:c r="A41" s="29" t="str">
        <x:v>89.5</x:v>
      </x:c>
      <x:c r="B41" s="28" t="n">
        <x:v>2921</x:v>
      </x:c>
      <x:c r="C41" s="17" t="str">
        <x:v>בי"ס שלווה</x:v>
      </x:c>
      <x:c r="D41" s="17" t="str">
        <x:v>שדה יצחק 26</x:v>
      </x:c>
      <x:c r="E41" s="17" t="str">
        <x:v>גבוה מאוד</x:v>
      </x:c>
      <x:c r="F41" s="25" t="str">
        <x:v>מספר קלפי בסיסי ושם אתר זהים</x:v>
      </x:c>
      <x:c r="G41" s="25" t="str">
        <x:v>הודעת הבחירות הרשמית של חיפה (2024)</x:v>
      </x:c>
      <x:c r="H41" s="25" t="n">
        <x:v>2</x:v>
      </x:c>
      <x:c r="I41" s="25" t="str">
        <x:v>89.0</x:v>
      </x:c>
      <x:c r="J41" s="25" t="str">
        <x:v>בי"ס שלווה</x:v>
      </x:c>
      <x:c r="K41" s="25" t="str">
        <x:v>מוכן לעבודה</x:v>
      </x:c>
    </x:row>
    <x:row r="42" ht="38" customHeight="1">
      <x:c r="A42" s="29" t="str">
        <x:v>90.1</x:v>
      </x:c>
      <x:c r="B42" s="28" t="n">
        <x:v>2922</x:v>
      </x:c>
      <x:c r="C42" s="17" t="str">
        <x:v>בי"ס תיכון עירוני א</x:v>
      </x:c>
      <x:c r="D42" s="17" t="str">
        <x:v>תל אביב 27</x:v>
      </x:c>
      <x:c r="E42" s="17" t="str">
        <x:v>גבוה מאוד</x:v>
      </x:c>
      <x:c r="F42" s="25" t="str">
        <x:v>מספר קלפי בסיסי ושם אתר זהים</x:v>
      </x:c>
      <x:c r="G42" s="25" t="str">
        <x:v>הודעת הבחירות הרשמית של חיפה (2024)</x:v>
      </x:c>
      <x:c r="H42" s="25" t="n">
        <x:v>2</x:v>
      </x:c>
      <x:c r="I42" s="25" t="str">
        <x:v>90.0</x:v>
      </x:c>
      <x:c r="J42" s="25" t="str">
        <x:v>בי"ס תיכון עירוני א</x:v>
      </x:c>
      <x:c r="K42" s="25" t="str">
        <x:v>מוכן לעבודה</x:v>
      </x:c>
    </x:row>
    <x:row r="43" ht="38" customHeight="1">
      <x:c r="A43" s="29" t="str">
        <x:v>90.2</x:v>
      </x:c>
      <x:c r="B43" s="28" t="n">
        <x:v>2923</x:v>
      </x:c>
      <x:c r="C43" s="17" t="str">
        <x:v>בי"ס תיכון עירוני א</x:v>
      </x:c>
      <x:c r="D43" s="17" t="str">
        <x:v>תל אביב 27</x:v>
      </x:c>
      <x:c r="E43" s="17" t="str">
        <x:v>גבוה מאוד</x:v>
      </x:c>
      <x:c r="F43" s="25" t="str">
        <x:v>מספר קלפי בסיסי ושם אתר זהים</x:v>
      </x:c>
      <x:c r="G43" s="25" t="str">
        <x:v>הודעת הבחירות הרשמית של חיפה (2024)</x:v>
      </x:c>
      <x:c r="H43" s="25" t="n">
        <x:v>2</x:v>
      </x:c>
      <x:c r="I43" s="25" t="str">
        <x:v>90.0</x:v>
      </x:c>
      <x:c r="J43" s="25" t="str">
        <x:v>בי"ס תיכון עירוני א</x:v>
      </x:c>
      <x:c r="K43" s="25" t="str">
        <x:v>מוכן לעבודה</x:v>
      </x:c>
    </x:row>
    <x:row r="44" ht="38" customHeight="1">
      <x:c r="A44" s="29" t="str">
        <x:v>90.3</x:v>
      </x:c>
      <x:c r="B44" s="28" t="n">
        <x:v>2924</x:v>
      </x:c>
      <x:c r="C44" s="17" t="str">
        <x:v>בי"ס תיכון עירוני א</x:v>
      </x:c>
      <x:c r="D44" s="17" t="str">
        <x:v>תל אביב 27</x:v>
      </x:c>
      <x:c r="E44" s="17" t="str">
        <x:v>גבוה מאוד</x:v>
      </x:c>
      <x:c r="F44" s="25" t="str">
        <x:v>מספר קלפי בסיסי ושם אתר זהים</x:v>
      </x:c>
      <x:c r="G44" s="25" t="str">
        <x:v>הודעת הבחירות הרשמית של חיפה (2024)</x:v>
      </x:c>
      <x:c r="H44" s="25" t="n">
        <x:v>2</x:v>
      </x:c>
      <x:c r="I44" s="25" t="str">
        <x:v>90.0</x:v>
      </x:c>
      <x:c r="J44" s="25" t="str">
        <x:v>בי"ס תיכון עירוני א</x:v>
      </x:c>
      <x:c r="K44" s="25" t="str">
        <x:v>מוכן לעבודה</x:v>
      </x:c>
    </x:row>
    <x:row r="45" ht="38" customHeight="1">
      <x:c r="A45" s="29" t="str">
        <x:v>90.4</x:v>
      </x:c>
      <x:c r="B45" s="28" t="n">
        <x:v>2925</x:v>
      </x:c>
      <x:c r="C45" s="17" t="str">
        <x:v>בי"ס תיכון עירוני א</x:v>
      </x:c>
      <x:c r="D45" s="17" t="str">
        <x:v>תל אביב 27</x:v>
      </x:c>
      <x:c r="E45" s="17" t="str">
        <x:v>גבוה מאוד</x:v>
      </x:c>
      <x:c r="F45" s="25" t="str">
        <x:v>מספר קלפי בסיסי ושם אתר זהים</x:v>
      </x:c>
      <x:c r="G45" s="25" t="str">
        <x:v>הודעת הבחירות הרשמית של חיפה (2024)</x:v>
      </x:c>
      <x:c r="H45" s="25" t="n">
        <x:v>2</x:v>
      </x:c>
      <x:c r="I45" s="25" t="str">
        <x:v>90.0</x:v>
      </x:c>
      <x:c r="J45" s="25" t="str">
        <x:v>בי"ס תיכון עירוני א</x:v>
      </x:c>
      <x:c r="K45" s="25" t="str">
        <x:v>מוכן לעבודה</x:v>
      </x:c>
    </x:row>
    <x:row r="46" ht="38" customHeight="1">
      <x:c r="A46" s="29" t="str">
        <x:v>93</x:v>
      </x:c>
      <x:c r="B46" s="28" t="n">
        <x:v>2926</x:v>
      </x:c>
      <x:c r="C46" s="17" t="str">
        <x:v>בי"ס דרור</x:v>
      </x:c>
      <x:c r="D46" s="17" t="str">
        <x:v>דרור 19</x:v>
      </x:c>
      <x:c r="E46" s="17" t="str">
        <x:v>גבוה מאוד</x:v>
      </x:c>
      <x:c r="F46" s="25" t="str">
        <x:v>מספר קלפי בסיסי ושם אתר זהים</x:v>
      </x:c>
      <x:c r="G46" s="25" t="str">
        <x:v>הודעת הבחירות הרשמית של חיפה (2024)</x:v>
      </x:c>
      <x:c r="H46" s="25" t="n">
        <x:v>2</x:v>
      </x:c>
      <x:c r="I46" s="25" t="str">
        <x:v>93.0</x:v>
      </x:c>
      <x:c r="J46" s="25" t="str">
        <x:v>בי"ס דרור</x:v>
      </x:c>
      <x:c r="K46" s="25" t="str">
        <x:v>מוכן לעבודה</x:v>
      </x:c>
    </x:row>
    <x:row r="47" ht="38" customHeight="1">
      <x:c r="A47" s="29" t="str">
        <x:v>101.1</x:v>
      </x:c>
      <x:c r="B47" s="28" t="n">
        <x:v>2927</x:v>
      </x:c>
      <x:c r="C47" s="17" t="str">
        <x:v>בי"ס האונטרופוסופי</x:v>
      </x:c>
      <x:c r="D47" s="17" t="str">
        <x:v>העליה השניה 27</x:v>
      </x:c>
      <x:c r="E47" s="17" t="str">
        <x:v>גבוה מאוד</x:v>
      </x:c>
      <x:c r="F47" s="25" t="str">
        <x:v>מספר קלפי בסיסי ושם אתר זהים</x:v>
      </x:c>
      <x:c r="G47" s="25" t="str">
        <x:v>הודעת הבחירות הרשמית של חיפה (2024)</x:v>
      </x:c>
      <x:c r="H47" s="25" t="n">
        <x:v>2</x:v>
      </x:c>
      <x:c r="I47" s="25" t="str">
        <x:v>101.0</x:v>
      </x:c>
      <x:c r="J47" s="25" t="str">
        <x:v>בי"ס האונטרופוסופי</x:v>
      </x:c>
      <x:c r="K47" s="25" t="str">
        <x:v>מוכן לעבודה</x:v>
      </x:c>
    </x:row>
    <x:row r="48" ht="38" customHeight="1">
      <x:c r="A48" s="29" t="str">
        <x:v>101.2</x:v>
      </x:c>
      <x:c r="B48" s="28" t="n">
        <x:v>2928</x:v>
      </x:c>
      <x:c r="C48" s="17" t="str">
        <x:v>בי"ס האונטרופוסופי</x:v>
      </x:c>
      <x:c r="D48" s="17" t="str">
        <x:v>העליה השניה 27</x:v>
      </x:c>
      <x:c r="E48" s="17" t="str">
        <x:v>גבוה מאוד</x:v>
      </x:c>
      <x:c r="F48" s="25" t="str">
        <x:v>מספר קלפי בסיסי ושם אתר זהים</x:v>
      </x:c>
      <x:c r="G48" s="25" t="str">
        <x:v>הודעת הבחירות הרשמית של חיפה (2024)</x:v>
      </x:c>
      <x:c r="H48" s="25" t="n">
        <x:v>2</x:v>
      </x:c>
      <x:c r="I48" s="25" t="str">
        <x:v>101.0</x:v>
      </x:c>
      <x:c r="J48" s="25" t="str">
        <x:v>בי"ס האונטרופוסופי</x:v>
      </x:c>
      <x:c r="K48" s="25" t="str">
        <x:v>מוכן לעבודה</x:v>
      </x:c>
    </x:row>
    <x:row r="49" ht="38" customHeight="1">
      <x:c r="A49" s="29" t="str">
        <x:v>101.3</x:v>
      </x:c>
      <x:c r="B49" s="28" t="n">
        <x:v>2929</x:v>
      </x:c>
      <x:c r="C49" s="17" t="str">
        <x:v>בי"ס האונטרופוסופי</x:v>
      </x:c>
      <x:c r="D49" s="17" t="str">
        <x:v>העליה השניה 27</x:v>
      </x:c>
      <x:c r="E49" s="17" t="str">
        <x:v>גבוה מאוד</x:v>
      </x:c>
      <x:c r="F49" s="25" t="str">
        <x:v>מספר קלפי בסיסי ושם אתר זהים</x:v>
      </x:c>
      <x:c r="G49" s="25" t="str">
        <x:v>הודעת הבחירות הרשמית של חיפה (2024)</x:v>
      </x:c>
      <x:c r="H49" s="25" t="n">
        <x:v>2</x:v>
      </x:c>
      <x:c r="I49" s="25" t="str">
        <x:v>101.0</x:v>
      </x:c>
      <x:c r="J49" s="25" t="str">
        <x:v>בי"ס האונטרופוסופי</x:v>
      </x:c>
      <x:c r="K49" s="25" t="str">
        <x:v>מוכן לעבודה</x:v>
      </x:c>
    </x:row>
    <x:row r="50" ht="38" customHeight="1">
      <x:c r="A50" s="29" t="str">
        <x:v>101.4</x:v>
      </x:c>
      <x:c r="B50" s="28" t="n">
        <x:v>2930</x:v>
      </x:c>
      <x:c r="C50" s="17" t="str">
        <x:v>בי"ס האונטרופוסופי</x:v>
      </x:c>
      <x:c r="D50" s="17" t="str">
        <x:v>העליה השניה 27</x:v>
      </x:c>
      <x:c r="E50" s="17" t="str">
        <x:v>גבוה מאוד</x:v>
      </x:c>
      <x:c r="F50" s="25" t="str">
        <x:v>מספר קלפי בסיסי ושם אתר זהים</x:v>
      </x:c>
      <x:c r="G50" s="25" t="str">
        <x:v>הודעת הבחירות הרשמית של חיפה (2024)</x:v>
      </x:c>
      <x:c r="H50" s="25" t="n">
        <x:v>2</x:v>
      </x:c>
      <x:c r="I50" s="25" t="str">
        <x:v>101.0</x:v>
      </x:c>
      <x:c r="J50" s="25" t="str">
        <x:v>בי"ס האונטרופוסופי</x:v>
      </x:c>
      <x:c r="K50" s="25" t="str">
        <x:v>מוכן לעבודה</x:v>
      </x:c>
    </x:row>
    <x:row r="51" ht="38" customHeight="1">
      <x:c r="A51" s="29" t="str">
        <x:v>102.1</x:v>
      </x:c>
      <x:c r="B51" s="28" t="n">
        <x:v>3100</x:v>
      </x:c>
      <x:c r="C51" s="17" t="str">
        <x:v>גני ילדים הוד כרמל</x:v>
      </x:c>
      <x:c r="D51" s="17" t="str">
        <x:v>ליבריה 11</x:v>
      </x:c>
      <x:c r="E51" s="17" t="str">
        <x:v>גבוה מאוד</x:v>
      </x:c>
      <x:c r="F51" s="25" t="str">
        <x:v>מספר קלפי בסיסי ושם אתר זהים</x:v>
      </x:c>
      <x:c r="G51" s="25" t="str">
        <x:v>הודעת הבחירות הרשמית של חיפה (2024)</x:v>
      </x:c>
      <x:c r="H51" s="25" t="n">
        <x:v>2</x:v>
      </x:c>
      <x:c r="I51" s="25" t="str">
        <x:v>102.0</x:v>
      </x:c>
      <x:c r="J51" s="25" t="str">
        <x:v>גני ילדים הוד כרמל</x:v>
      </x:c>
      <x:c r="K51" s="25" t="str">
        <x:v>מוכן לעבודה</x:v>
      </x:c>
    </x:row>
    <x:row r="52" ht="38" customHeight="1">
      <x:c r="A52" s="29" t="str">
        <x:v>102.2</x:v>
      </x:c>
      <x:c r="B52" s="28" t="n">
        <x:v>3101</x:v>
      </x:c>
      <x:c r="C52" s="17" t="str">
        <x:v>גני ילדים הוד כרמל</x:v>
      </x:c>
      <x:c r="D52" s="17" t="str">
        <x:v>ליבריה 11</x:v>
      </x:c>
      <x:c r="E52" s="17" t="str">
        <x:v>גבוה מאוד</x:v>
      </x:c>
      <x:c r="F52" s="25" t="str">
        <x:v>מספר קלפי בסיסי ושם אתר זהים</x:v>
      </x:c>
      <x:c r="G52" s="25" t="str">
        <x:v>הודעת הבחירות הרשמית של חיפה (2024)</x:v>
      </x:c>
      <x:c r="H52" s="25" t="n">
        <x:v>2</x:v>
      </x:c>
      <x:c r="I52" s="25" t="str">
        <x:v>102.0</x:v>
      </x:c>
      <x:c r="J52" s="25" t="str">
        <x:v>גני ילדים הוד כרמל</x:v>
      </x:c>
      <x:c r="K52" s="25" t="str">
        <x:v>מוכן לעבודה</x:v>
      </x:c>
    </x:row>
    <x:row r="53" ht="38" customHeight="1">
      <x:c r="A53" s="29" t="str">
        <x:v>102.3</x:v>
      </x:c>
      <x:c r="B53" s="28" t="n">
        <x:v>3102</x:v>
      </x:c>
      <x:c r="C53" s="17" t="str">
        <x:v>גני ילדים הוד כרמל</x:v>
      </x:c>
      <x:c r="D53" s="17" t="str">
        <x:v>ליבריה 11</x:v>
      </x:c>
      <x:c r="E53" s="17" t="str">
        <x:v>גבוה מאוד</x:v>
      </x:c>
      <x:c r="F53" s="25" t="str">
        <x:v>מספר קלפי בסיסי ושם אתר זהים</x:v>
      </x:c>
      <x:c r="G53" s="25" t="str">
        <x:v>הודעת הבחירות הרשמית של חיפה (2024)</x:v>
      </x:c>
      <x:c r="H53" s="25" t="n">
        <x:v>2</x:v>
      </x:c>
      <x:c r="I53" s="25" t="str">
        <x:v>102.0</x:v>
      </x:c>
      <x:c r="J53" s="25" t="str">
        <x:v>גני ילדים הוד כרמל</x:v>
      </x:c>
      <x:c r="K53" s="25" t="str">
        <x:v>מוכן לעבודה</x:v>
      </x:c>
    </x:row>
    <x:row r="54" ht="38" customHeight="1">
      <x:c r="A54" s="29" t="str">
        <x:v>102.4</x:v>
      </x:c>
      <x:c r="B54" s="28" t="n">
        <x:v>3103</x:v>
      </x:c>
      <x:c r="C54" s="17" t="str">
        <x:v>גני ילדים הוד כרמל</x:v>
      </x:c>
      <x:c r="D54" s="17" t="str">
        <x:v>ליבריה 11</x:v>
      </x:c>
      <x:c r="E54" s="17" t="str">
        <x:v>גבוה מאוד</x:v>
      </x:c>
      <x:c r="F54" s="25" t="str">
        <x:v>מספר קלפי בסיסי ושם אתר זהים</x:v>
      </x:c>
      <x:c r="G54" s="25" t="str">
        <x:v>הודעת הבחירות הרשמית של חיפה (2024)</x:v>
      </x:c>
      <x:c r="H54" s="25" t="n">
        <x:v>2</x:v>
      </x:c>
      <x:c r="I54" s="25" t="str">
        <x:v>102.0</x:v>
      </x:c>
      <x:c r="J54" s="25" t="str">
        <x:v>גני ילדים הוד כרמל</x:v>
      </x:c>
      <x:c r="K54" s="25" t="str">
        <x:v>מוכן לעבודה</x:v>
      </x:c>
    </x:row>
    <x:row r="55" ht="38" customHeight="1">
      <x:c r="A55" s="29" t="str">
        <x:v>102.5</x:v>
      </x:c>
      <x:c r="B55" s="28" t="n">
        <x:v>3104</x:v>
      </x:c>
      <x:c r="C55" s="17" t="str">
        <x:v>גני ילדים הוד כרמל</x:v>
      </x:c>
      <x:c r="D55" s="17" t="str">
        <x:v>ליבריה 11</x:v>
      </x:c>
      <x:c r="E55" s="17" t="str">
        <x:v>גבוה מאוד</x:v>
      </x:c>
      <x:c r="F55" s="25" t="str">
        <x:v>מספר קלפי בסיסי ושם אתר זהים</x:v>
      </x:c>
      <x:c r="G55" s="25" t="str">
        <x:v>הודעת הבחירות הרשמית של חיפה (2024)</x:v>
      </x:c>
      <x:c r="H55" s="25" t="n">
        <x:v>2</x:v>
      </x:c>
      <x:c r="I55" s="25" t="str">
        <x:v>102.0</x:v>
      </x:c>
      <x:c r="J55" s="25" t="str">
        <x:v>גני ילדים הוד כרמל</x:v>
      </x:c>
      <x:c r="K55" s="25" t="str">
        <x:v>מוכן לעבודה</x:v>
      </x:c>
    </x:row>
    <x:row r="56" ht="38" customHeight="1">
      <x:c r="A56" s="29" t="str">
        <x:v>121</x:v>
      </x:c>
      <x:c r="B56" s="28" t="n">
        <x:v>2931</x:v>
      </x:c>
      <x:c r="C56" s="17" t="str">
        <x:v>בי"ס דרור</x:v>
      </x:c>
      <x:c r="D56" s="17" t="str">
        <x:v>דרור 19</x:v>
      </x:c>
      <x:c r="E56" s="17" t="str">
        <x:v>גבוה מאוד</x:v>
      </x:c>
      <x:c r="F56" s="25" t="str">
        <x:v>מספר קלפי בסיסי ושם אתר זהים</x:v>
      </x:c>
      <x:c r="G56" s="25" t="str">
        <x:v>הודעת הבחירות הרשמית של חיפה (2024)</x:v>
      </x:c>
      <x:c r="H56" s="25" t="n">
        <x:v>2</x:v>
      </x:c>
      <x:c r="I56" s="25" t="str">
        <x:v>121.0</x:v>
      </x:c>
      <x:c r="J56" s="25" t="str">
        <x:v>בי"ס דרור</x:v>
      </x:c>
      <x:c r="K56" s="25" t="str">
        <x:v>מוכן לעבודה</x:v>
      </x:c>
    </x:row>
    <x:row r="57" ht="38" customHeight="1">
      <x:c r="A57" s="29" t="str">
        <x:v>126</x:v>
      </x:c>
      <x:c r="B57" s="28" t="n">
        <x:v>2932</x:v>
      </x:c>
      <x:c r="C57" s="17" t="str">
        <x:v>בי"ס דרור</x:v>
      </x:c>
      <x:c r="D57" s="17" t="str">
        <x:v>דרור 19</x:v>
      </x:c>
      <x:c r="E57" s="17" t="str">
        <x:v>גבוה מאוד</x:v>
      </x:c>
      <x:c r="F57" s="25" t="str">
        <x:v>מספר קלפי בסיסי ושם אתר זהים</x:v>
      </x:c>
      <x:c r="G57" s="25" t="str">
        <x:v>הודעת הבחירות הרשמית של חיפה (2024)</x:v>
      </x:c>
      <x:c r="H57" s="25" t="n">
        <x:v>2</x:v>
      </x:c>
      <x:c r="I57" s="25" t="str">
        <x:v>126.0</x:v>
      </x:c>
      <x:c r="J57" s="25" t="str">
        <x:v>בי"ס דרור</x:v>
      </x:c>
      <x:c r="K57" s="25" t="str">
        <x:v>מוכן לעבודה</x:v>
      </x:c>
    </x:row>
    <x:row r="58" ht="38" customHeight="1">
      <x:c r="A58" s="29" t="str">
        <x:v>127</x:v>
      </x:c>
      <x:c r="B58" s="28" t="n">
        <x:v>2933</x:v>
      </x:c>
      <x:c r="C58" s="17" t="str">
        <x:v>בי"ס דרור</x:v>
      </x:c>
      <x:c r="D58" s="17" t="str">
        <x:v>דרור 19</x:v>
      </x:c>
      <x:c r="E58" s="17" t="str">
        <x:v>גבוה מאוד</x:v>
      </x:c>
      <x:c r="F58" s="25" t="str">
        <x:v>מספר קלפי בסיסי ושם אתר זהים</x:v>
      </x:c>
      <x:c r="G58" s="25" t="str">
        <x:v>הודעת הבחירות הרשמית של חיפה (2024)</x:v>
      </x:c>
      <x:c r="H58" s="25" t="n">
        <x:v>2</x:v>
      </x:c>
      <x:c r="I58" s="25" t="str">
        <x:v>127.0</x:v>
      </x:c>
      <x:c r="J58" s="25" t="str">
        <x:v>בי"ס דרור</x:v>
      </x:c>
      <x:c r="K58" s="25" t="str">
        <x:v>מוכן לעבודה</x:v>
      </x:c>
    </x:row>
    <x:row r="59" ht="38" customHeight="1">
      <x:c r="A59" s="29" t="str">
        <x:v>128</x:v>
      </x:c>
      <x:c r="B59" s="28" t="n">
        <x:v>2934</x:v>
      </x:c>
      <x:c r="C59" s="17" t="str">
        <x:v>בי"ס דרור</x:v>
      </x:c>
      <x:c r="D59" s="17" t="str">
        <x:v>דרור 19</x:v>
      </x:c>
      <x:c r="E59" s="17" t="str">
        <x:v>גבוה מאוד</x:v>
      </x:c>
      <x:c r="F59" s="25" t="str">
        <x:v>מספר קלפי בסיסי ושם אתר זהים</x:v>
      </x:c>
      <x:c r="G59" s="25" t="str">
        <x:v>הודעת הבחירות הרשמית של חיפה (2024)</x:v>
      </x:c>
      <x:c r="H59" s="25" t="n">
        <x:v>2</x:v>
      </x:c>
      <x:c r="I59" s="25" t="str">
        <x:v>128.0</x:v>
      </x:c>
      <x:c r="J59" s="25" t="str">
        <x:v>בי"ס דרור</x:v>
      </x:c>
      <x:c r="K59" s="25" t="str">
        <x:v>מוכן לעבודה</x:v>
      </x:c>
    </x:row>
    <x:row r="60" ht="38" customHeight="1">
      <x:c r="A60" s="29" t="str">
        <x:v>130</x:v>
      </x:c>
      <x:c r="B60" s="28" t="n">
        <x:v>2935</x:v>
      </x:c>
      <x:c r="C60" s="17" t="str">
        <x:v>בי"ס דרור</x:v>
      </x:c>
      <x:c r="D60" s="17" t="str">
        <x:v>דרור 19</x:v>
      </x:c>
      <x:c r="E60" s="17" t="str">
        <x:v>גבוה מאוד</x:v>
      </x:c>
      <x:c r="F60" s="25" t="str">
        <x:v>מספר קלפי בסיסי ושם אתר זהים</x:v>
      </x:c>
      <x:c r="G60" s="25" t="str">
        <x:v>הודעת הבחירות הרשמית של חיפה (2024)</x:v>
      </x:c>
      <x:c r="H60" s="25" t="n">
        <x:v>2</x:v>
      </x:c>
      <x:c r="I60" s="25" t="str">
        <x:v>130.0</x:v>
      </x:c>
      <x:c r="J60" s="25" t="str">
        <x:v>בי"ס דרור</x:v>
      </x:c>
      <x:c r="K60" s="25" t="str">
        <x:v>מוכן לעבודה</x:v>
      </x:c>
    </x:row>
    <x:row r="61" ht="38" customHeight="1">
      <x:c r="A61" s="29" t="str">
        <x:v>131</x:v>
      </x:c>
      <x:c r="B61" s="28" t="n">
        <x:v>2936</x:v>
      </x:c>
      <x:c r="C61" s="17" t="str">
        <x:v>מרכז קהילתי בת גלים</x:v>
      </x:c>
      <x:c r="D61" s="17" t="str">
        <x:v>העליה השניה 45</x:v>
      </x:c>
      <x:c r="E61" s="17" t="str">
        <x:v>גבוה מאוד</x:v>
      </x:c>
      <x:c r="F61" s="25" t="str">
        <x:v>מספר קלפי בסיסי ושם אתר זהים</x:v>
      </x:c>
      <x:c r="G61" s="25" t="str">
        <x:v>הודעת הבחירות הרשמית של חיפה (2024)</x:v>
      </x:c>
      <x:c r="H61" s="25" t="n">
        <x:v>2</x:v>
      </x:c>
      <x:c r="I61" s="25" t="str">
        <x:v>131.0</x:v>
      </x:c>
      <x:c r="J61" s="25" t="str">
        <x:v>מרכז קהילתי בת גלים</x:v>
      </x:c>
      <x:c r="K61" s="25" t="str">
        <x:v>מוכן לעבודה</x:v>
      </x:c>
    </x:row>
    <x:row r="62" ht="38" customHeight="1">
      <x:c r="A62" s="29" t="str">
        <x:v>132</x:v>
      </x:c>
      <x:c r="B62" s="28" t="n">
        <x:v>2937</x:v>
      </x:c>
      <x:c r="C62" s="17" t="str">
        <x:v>אשכול פייס</x:v>
      </x:c>
      <x:c r="D62" s="17" t="str">
        <x:v>צה"ל 41</x:v>
      </x:c>
      <x:c r="E62" s="17" t="str">
        <x:v>גבוה מאוד</x:v>
      </x:c>
      <x:c r="F62" s="25" t="str">
        <x:v>מספר קלפי בסיסי ושם אתר זהים</x:v>
      </x:c>
      <x:c r="G62" s="25" t="str">
        <x:v>הודעת הבחירות הרשמית של חיפה (2024)</x:v>
      </x:c>
      <x:c r="H62" s="25" t="n">
        <x:v>2</x:v>
      </x:c>
      <x:c r="I62" s="25" t="str">
        <x:v>132.0</x:v>
      </x:c>
      <x:c r="J62" s="25" t="str">
        <x:v>אשכול פייס</x:v>
      </x:c>
      <x:c r="K62" s="25" t="str">
        <x:v>מוכן לעבודה</x:v>
      </x:c>
    </x:row>
    <x:row r="63" ht="38" customHeight="1">
      <x:c r="A63" s="29" t="str">
        <x:v>133</x:v>
      </x:c>
      <x:c r="B63" s="28" t="n">
        <x:v>2938</x:v>
      </x:c>
      <x:c r="C63" s="17" t="str">
        <x:v>בי"ס חטיבת בינים רעות</x:v>
      </x:c>
      <x:c r="D63" s="17" t="str">
        <x:v>נח"ל 2</x:v>
      </x:c>
      <x:c r="E63" s="17" t="str">
        <x:v>גבוה מאוד</x:v>
      </x:c>
      <x:c r="F63" s="25" t="str">
        <x:v>מספר קלפי בסיסי ושם אתר זהים</x:v>
      </x:c>
      <x:c r="G63" s="25" t="str">
        <x:v>הודעת הבחירות הרשמית של חיפה (2024)</x:v>
      </x:c>
      <x:c r="H63" s="25" t="n">
        <x:v>2</x:v>
      </x:c>
      <x:c r="I63" s="25" t="str">
        <x:v>133.0</x:v>
      </x:c>
      <x:c r="J63" s="25" t="str">
        <x:v>בי"ס חטיבת בינים רעות</x:v>
      </x:c>
      <x:c r="K63" s="25" t="str">
        <x:v>מוכן לעבודה</x:v>
      </x:c>
    </x:row>
    <x:row r="64" ht="38" customHeight="1">
      <x:c r="A64" s="29" t="str">
        <x:v>134</x:v>
      </x:c>
      <x:c r="B64" s="28" t="n">
        <x:v>2939</x:v>
      </x:c>
      <x:c r="C64" s="17" t="str">
        <x:v>בי"ס יבניאלי</x:v>
      </x:c>
      <x:c r="D64" s="17" t="str">
        <x:v>יואב 5</x:v>
      </x:c>
      <x:c r="E64" s="17" t="str">
        <x:v>גבוה מאוד</x:v>
      </x:c>
      <x:c r="F64" s="25" t="str">
        <x:v>מספר קלפי בסיסי ושם אתר זהים</x:v>
      </x:c>
      <x:c r="G64" s="25" t="str">
        <x:v>הודעת הבחירות הרשמית של חיפה (2024)</x:v>
      </x:c>
      <x:c r="H64" s="25" t="n">
        <x:v>2</x:v>
      </x:c>
      <x:c r="I64" s="25" t="str">
        <x:v>134.0</x:v>
      </x:c>
      <x:c r="J64" s="25" t="str">
        <x:v>בי"ס יבניאלי</x:v>
      </x:c>
      <x:c r="K64" s="25" t="str">
        <x:v>מוכן לעבודה</x:v>
      </x:c>
    </x:row>
    <x:row r="65" ht="38" customHeight="1">
      <x:c r="A65" s="29" t="str">
        <x:v>135</x:v>
      </x:c>
      <x:c r="B65" s="28" t="n">
        <x:v>2940</x:v>
      </x:c>
      <x:c r="C65" s="17" t="str">
        <x:v>בי"ס יבניאלי</x:v>
      </x:c>
      <x:c r="D65" s="17" t="str">
        <x:v>יואב 5</x:v>
      </x:c>
      <x:c r="E65" s="17" t="str">
        <x:v>גבוה מאוד</x:v>
      </x:c>
      <x:c r="F65" s="25" t="str">
        <x:v>מספר קלפי בסיסי ושם אתר זהים</x:v>
      </x:c>
      <x:c r="G65" s="25" t="str">
        <x:v>הודעת הבחירות הרשמית של חיפה (2024)</x:v>
      </x:c>
      <x:c r="H65" s="25" t="n">
        <x:v>3</x:v>
      </x:c>
      <x:c r="I65" s="25" t="str">
        <x:v>135.0</x:v>
      </x:c>
      <x:c r="J65" s="25" t="str">
        <x:v>בי"ס יבניאלי</x:v>
      </x:c>
      <x:c r="K65" s="25" t="str">
        <x:v>מוכן לעבודה</x:v>
      </x:c>
    </x:row>
    <x:row r="66" ht="38" customHeight="1">
      <x:c r="A66" s="29" t="str">
        <x:v>136</x:v>
      </x:c>
      <x:c r="B66" s="28" t="n">
        <x:v>2941</x:v>
      </x:c>
      <x:c r="C66" s="17" t="str">
        <x:v>בי"ס יבניאלי</x:v>
      </x:c>
      <x:c r="D66" s="17" t="str">
        <x:v>יואב 5</x:v>
      </x:c>
      <x:c r="E66" s="17" t="str">
        <x:v>גבוה מאוד</x:v>
      </x:c>
      <x:c r="F66" s="25" t="str">
        <x:v>מספר קלפי בסיסי ושם אתר זהים</x:v>
      </x:c>
      <x:c r="G66" s="25" t="str">
        <x:v>הודעת הבחירות הרשמית של חיפה (2024)</x:v>
      </x:c>
      <x:c r="H66" s="25" t="n">
        <x:v>3</x:v>
      </x:c>
      <x:c r="I66" s="25" t="str">
        <x:v>136.0</x:v>
      </x:c>
      <x:c r="J66" s="25" t="str">
        <x:v>בי"ס יבניאלי</x:v>
      </x:c>
      <x:c r="K66" s="25" t="str">
        <x:v>מוכן לעבודה</x:v>
      </x:c>
    </x:row>
    <x:row r="67" ht="38" customHeight="1">
      <x:c r="A67" s="29" t="str">
        <x:v>138</x:v>
      </x:c>
      <x:c r="B67" s="28" t="n">
        <x:v>2942</x:v>
      </x:c>
      <x:c r="C67" s="17" t="str">
        <x:v>בי"ס חטיבת בינים רעות</x:v>
      </x:c>
      <x:c r="D67" s="17" t="str">
        <x:v>נח"ל 2</x:v>
      </x:c>
      <x:c r="E67" s="17" t="str">
        <x:v>גבוה מאוד</x:v>
      </x:c>
      <x:c r="F67" s="25" t="str">
        <x:v>מספר קלפי בסיסי ושם אתר זהים</x:v>
      </x:c>
      <x:c r="G67" s="25" t="str">
        <x:v>הודעת הבחירות הרשמית של חיפה (2024)</x:v>
      </x:c>
      <x:c r="H67" s="25" t="n">
        <x:v>3</x:v>
      </x:c>
      <x:c r="I67" s="25" t="str">
        <x:v>138.0</x:v>
      </x:c>
      <x:c r="J67" s="25" t="str">
        <x:v>בי"ס חטיבת בינים רעות</x:v>
      </x:c>
      <x:c r="K67" s="25" t="str">
        <x:v>מוכן לעבודה</x:v>
      </x:c>
    </x:row>
    <x:row r="68" ht="38" customHeight="1">
      <x:c r="A68" s="29" t="str">
        <x:v>140</x:v>
      </x:c>
      <x:c r="B68" s="28" t="n">
        <x:v>2980</x:v>
      </x:c>
      <x:c r="C68" s="17" t="str">
        <x:v>גן ילדים שחר</x:v>
      </x:c>
      <x:c r="D68" s="17" t="str">
        <x:v>העוגן 39</x:v>
      </x:c>
      <x:c r="E68" s="17" t="str">
        <x:v>גבוה מאוד</x:v>
      </x:c>
      <x:c r="F68" s="25" t="str">
        <x:v>מספר קלפי בסיסי ושם אתר זהים</x:v>
      </x:c>
      <x:c r="G68" s="25" t="str">
        <x:v>הודעת הבחירות הרשמית של חיפה (2024)</x:v>
      </x:c>
      <x:c r="H68" s="25" t="n">
        <x:v>3</x:v>
      </x:c>
      <x:c r="I68" s="25" t="str">
        <x:v>140.0</x:v>
      </x:c>
      <x:c r="J68" s="25" t="str">
        <x:v>גן ילדים שחר</x:v>
      </x:c>
      <x:c r="K68" s="25" t="str">
        <x:v>מוכן לעבודה</x:v>
      </x:c>
    </x:row>
    <x:row r="69" ht="38" customHeight="1">
      <x:c r="A69" s="29" t="str">
        <x:v>141</x:v>
      </x:c>
      <x:c r="B69" s="28" t="n">
        <x:v>2943</x:v>
      </x:c>
      <x:c r="C69" s="17" t="str">
        <x:v>מרכז קהילתי בת גלים</x:v>
      </x:c>
      <x:c r="D69" s="17" t="str">
        <x:v>העליה השניה 45</x:v>
      </x:c>
      <x:c r="E69" s="17" t="str">
        <x:v>גבוה מאוד</x:v>
      </x:c>
      <x:c r="F69" s="25" t="str">
        <x:v>מספר קלפי בסיסי ושם אתר זהים</x:v>
      </x:c>
      <x:c r="G69" s="25" t="str">
        <x:v>הודעת הבחירות הרשמית של חיפה (2024)</x:v>
      </x:c>
      <x:c r="H69" s="25" t="n">
        <x:v>3</x:v>
      </x:c>
      <x:c r="I69" s="25" t="str">
        <x:v>141.0</x:v>
      </x:c>
      <x:c r="J69" s="25" t="str">
        <x:v>מרכז קהילתי בת גלים</x:v>
      </x:c>
      <x:c r="K69" s="25" t="str">
        <x:v>מוכן לעבודה</x:v>
      </x:c>
    </x:row>
    <x:row r="70" ht="38" customHeight="1">
      <x:c r="A70" s="29" t="str">
        <x:v>143</x:v>
      </x:c>
      <x:c r="B70" s="28" t="n">
        <x:v>2944</x:v>
      </x:c>
      <x:c r="C70" s="17" t="str">
        <x:v>מרכז קהילתי בת גלים</x:v>
      </x:c>
      <x:c r="D70" s="17" t="str">
        <x:v>העליה השניה 45</x:v>
      </x:c>
      <x:c r="E70" s="17" t="str">
        <x:v>גבוה מאוד</x:v>
      </x:c>
      <x:c r="F70" s="25" t="str">
        <x:v>מספר קלפי בסיסי ושם אתר זהים</x:v>
      </x:c>
      <x:c r="G70" s="25" t="str">
        <x:v>הודעת הבחירות הרשמית של חיפה (2024)</x:v>
      </x:c>
      <x:c r="H70" s="25" t="n">
        <x:v>3</x:v>
      </x:c>
      <x:c r="I70" s="25" t="str">
        <x:v>143.0</x:v>
      </x:c>
      <x:c r="J70" s="25" t="str">
        <x:v>מרכז קהילתי בת גלים</x:v>
      </x:c>
      <x:c r="K70" s="25" t="str">
        <x:v>מוכן לעבודה</x:v>
      </x:c>
    </x:row>
    <x:row r="71" ht="38" customHeight="1">
      <x:c r="A71" s="29" t="str">
        <x:v>146</x:v>
      </x:c>
      <x:c r="B71" s="28" t="n">
        <x:v>2945</x:v>
      </x:c>
      <x:c r="C71" s="17" t="str">
        <x:v>מרכז קהילתי בת גלים</x:v>
      </x:c>
      <x:c r="D71" s="17" t="str">
        <x:v>העליה השניה 45</x:v>
      </x:c>
      <x:c r="E71" s="17" t="str">
        <x:v>גבוה מאוד</x:v>
      </x:c>
      <x:c r="F71" s="25" t="str">
        <x:v>מספר קלפי בסיסי ושם אתר זהים</x:v>
      </x:c>
      <x:c r="G71" s="25" t="str">
        <x:v>הודעת הבחירות הרשמית של חיפה (2024)</x:v>
      </x:c>
      <x:c r="H71" s="25" t="n">
        <x:v>3</x:v>
      </x:c>
      <x:c r="I71" s="25" t="str">
        <x:v>146.0</x:v>
      </x:c>
      <x:c r="J71" s="25" t="str">
        <x:v>מרכז קהילתי בת גלים</x:v>
      </x:c>
      <x:c r="K71" s="25" t="str">
        <x:v>מוכן לעבודה</x:v>
      </x:c>
    </x:row>
    <x:row r="72" ht="38" customHeight="1">
      <x:c r="A72" s="29" t="str">
        <x:v>147</x:v>
      </x:c>
      <x:c r="B72" s="28" t="n">
        <x:v>2981</x:v>
      </x:c>
      <x:c r="C72" s="17" t="str">
        <x:v>גן ילדים עין הים - אורות</x:v>
      </x:c>
      <x:c r="D72" s="17" t="str">
        <x:v>יציאת אירופה 19</x:v>
      </x:c>
      <x:c r="E72" s="17" t="str">
        <x:v>גבוה מאוד</x:v>
      </x:c>
      <x:c r="F72" s="25" t="str">
        <x:v>מספר קלפי בסיסי ושם אתר זהים</x:v>
      </x:c>
      <x:c r="G72" s="25" t="str">
        <x:v>הודעת הבחירות הרשמית של חיפה (2024)</x:v>
      </x:c>
      <x:c r="H72" s="25" t="n">
        <x:v>3</x:v>
      </x:c>
      <x:c r="I72" s="25" t="str">
        <x:v>147.0</x:v>
      </x:c>
      <x:c r="J72" s="25" t="str">
        <x:v>גן ילדים עין הים -אורות</x:v>
      </x:c>
      <x:c r="K72" s="25" t="str">
        <x:v>מוכן לעבודה</x:v>
      </x:c>
    </x:row>
    <x:row r="73" ht="38" customHeight="1">
      <x:c r="A73" s="29" t="str">
        <x:v>148</x:v>
      </x:c>
      <x:c r="B73" s="28" t="n">
        <x:v>2982</x:v>
      </x:c>
      <x:c r="C73" s="17" t="str">
        <x:v>מתנ"ס קלור</x:v>
      </x:c>
      <x:c r="D73" s="17" t="str">
        <x:v>שטרן יאיר 20</x:v>
      </x:c>
      <x:c r="E73" s="17" t="str">
        <x:v>גבוה מאוד</x:v>
      </x:c>
      <x:c r="F73" s="25" t="str">
        <x:v>מספר קלפי בסיסי ושם אתר זהים</x:v>
      </x:c>
      <x:c r="G73" s="25" t="str">
        <x:v>הודעת הבחירות הרשמית של חיפה (2024)</x:v>
      </x:c>
      <x:c r="H73" s="25" t="n">
        <x:v>3</x:v>
      </x:c>
      <x:c r="I73" s="25" t="str">
        <x:v>148.0</x:v>
      </x:c>
      <x:c r="J73" s="25" t="str">
        <x:v>מתנ"ס קלור</x:v>
      </x:c>
      <x:c r="K73" s="25" t="str">
        <x:v>מוכן לעבודה</x:v>
      </x:c>
    </x:row>
    <x:row r="74" ht="38" customHeight="1">
      <x:c r="A74" s="29" t="str">
        <x:v>149.1</x:v>
      </x:c>
      <x:c r="B74" s="28" t="n">
        <x:v>2947</x:v>
      </x:c>
      <x:c r="C74" s="17" t="str">
        <x:v>בי"ס רמות</x:v>
      </x:c>
      <x:c r="D74" s="17" t="str">
        <x:v>דרך צרפת 85</x:v>
      </x:c>
      <x:c r="E74" s="17" t="str">
        <x:v>גבוה מאוד</x:v>
      </x:c>
      <x:c r="F74" s="25" t="str">
        <x:v>מספר קלפי בסיסי ושם אתר זהים</x:v>
      </x:c>
      <x:c r="G74" s="25" t="str">
        <x:v>הודעת הבחירות הרשמית של חיפה (2024)</x:v>
      </x:c>
      <x:c r="H74" s="25" t="n">
        <x:v>3</x:v>
      </x:c>
      <x:c r="I74" s="25" t="str">
        <x:v>149.0</x:v>
      </x:c>
      <x:c r="J74" s="25" t="str">
        <x:v>בי"ס רמות</x:v>
      </x:c>
      <x:c r="K74" s="25" t="str">
        <x:v>מוכן לעבודה</x:v>
      </x:c>
    </x:row>
    <x:row r="75" ht="38" customHeight="1">
      <x:c r="A75" s="29" t="str">
        <x:v>149.2</x:v>
      </x:c>
      <x:c r="B75" s="28" t="n">
        <x:v>2948</x:v>
      </x:c>
      <x:c r="C75" s="17" t="str">
        <x:v>בי"ס רמות</x:v>
      </x:c>
      <x:c r="D75" s="17" t="str">
        <x:v>דרך צרפת 85</x:v>
      </x:c>
      <x:c r="E75" s="17" t="str">
        <x:v>גבוה מאוד</x:v>
      </x:c>
      <x:c r="F75" s="25" t="str">
        <x:v>מספר קלפי בסיסי ושם אתר זהים</x:v>
      </x:c>
      <x:c r="G75" s="25" t="str">
        <x:v>הודעת הבחירות הרשמית של חיפה (2024)</x:v>
      </x:c>
      <x:c r="H75" s="25" t="n">
        <x:v>3</x:v>
      </x:c>
      <x:c r="I75" s="25" t="str">
        <x:v>149.0</x:v>
      </x:c>
      <x:c r="J75" s="25" t="str">
        <x:v>בי"ס רמות</x:v>
      </x:c>
      <x:c r="K75" s="25" t="str">
        <x:v>מוכן לעבודה</x:v>
      </x:c>
    </x:row>
    <x:row r="76" ht="38" customHeight="1">
      <x:c r="A76" s="29" t="str">
        <x:v>149.3</x:v>
      </x:c>
      <x:c r="B76" s="28" t="n">
        <x:v>2949</x:v>
      </x:c>
      <x:c r="C76" s="17" t="str">
        <x:v>בי"ס רמות</x:v>
      </x:c>
      <x:c r="D76" s="17" t="str">
        <x:v>דרך צרפת 85</x:v>
      </x:c>
      <x:c r="E76" s="17" t="str">
        <x:v>גבוה מאוד</x:v>
      </x:c>
      <x:c r="F76" s="25" t="str">
        <x:v>מספר קלפי בסיסי ושם אתר זהים</x:v>
      </x:c>
      <x:c r="G76" s="25" t="str">
        <x:v>הודעת הבחירות הרשמית של חיפה (2024)</x:v>
      </x:c>
      <x:c r="H76" s="25" t="n">
        <x:v>3</x:v>
      </x:c>
      <x:c r="I76" s="25" t="str">
        <x:v>149.0</x:v>
      </x:c>
      <x:c r="J76" s="25" t="str">
        <x:v>בי"ס רמות</x:v>
      </x:c>
      <x:c r="K76" s="25" t="str">
        <x:v>מוכן לעבודה</x:v>
      </x:c>
    </x:row>
    <x:row r="77" ht="38" customHeight="1">
      <x:c r="A77" s="29" t="str">
        <x:v>149.4</x:v>
      </x:c>
      <x:c r="B77" s="28" t="n">
        <x:v>2950</x:v>
      </x:c>
      <x:c r="C77" s="17" t="str">
        <x:v>בי"ס רמות</x:v>
      </x:c>
      <x:c r="D77" s="17" t="str">
        <x:v>דרך צרפת 85</x:v>
      </x:c>
      <x:c r="E77" s="17" t="str">
        <x:v>גבוה מאוד</x:v>
      </x:c>
      <x:c r="F77" s="25" t="str">
        <x:v>מספר קלפי בסיסי ושם אתר זהים</x:v>
      </x:c>
      <x:c r="G77" s="25" t="str">
        <x:v>הודעת הבחירות הרשמית של חיפה (2024)</x:v>
      </x:c>
      <x:c r="H77" s="25" t="n">
        <x:v>3</x:v>
      </x:c>
      <x:c r="I77" s="25" t="str">
        <x:v>149.0</x:v>
      </x:c>
      <x:c r="J77" s="25" t="str">
        <x:v>בי"ס רמות</x:v>
      </x:c>
      <x:c r="K77" s="25" t="str">
        <x:v>מוכן לעבודה</x:v>
      </x:c>
    </x:row>
    <x:row r="78" ht="38" customHeight="1">
      <x:c r="A78" s="29" t="str">
        <x:v>151</x:v>
      </x:c>
      <x:c r="B78" s="28" t="n">
        <x:v>2983</x:v>
      </x:c>
      <x:c r="C78" s="17" t="str">
        <x:v>בי"ס בסמת - חטיבה עליונה</x:v>
      </x:c>
      <x:c r="D78" s="17" t="str">
        <x:v>דוד המלך 28</x:v>
      </x:c>
      <x:c r="E78" s="17" t="str">
        <x:v>גבוה מאוד</x:v>
      </x:c>
      <x:c r="F78" s="25" t="str">
        <x:v>מספר קלפי בסיסי ושם אתר זהים</x:v>
      </x:c>
      <x:c r="G78" s="25" t="str">
        <x:v>הודעת הבחירות הרשמית של חיפה (2024)</x:v>
      </x:c>
      <x:c r="H78" s="25" t="n">
        <x:v>3</x:v>
      </x:c>
      <x:c r="I78" s="25" t="str">
        <x:v>151.0</x:v>
      </x:c>
      <x:c r="J78" s="25" t="str">
        <x:v>בי"ס בסמת -חטיבה עליונה</x:v>
      </x:c>
      <x:c r="K78" s="25" t="str">
        <x:v>מוכן לעבודה</x:v>
      </x:c>
    </x:row>
    <x:row r="79" ht="38" customHeight="1">
      <x:c r="A79" s="29" t="str">
        <x:v>152</x:v>
      </x:c>
      <x:c r="B79" s="28" t="n">
        <x:v>2984</x:v>
      </x:c>
      <x:c r="C79" s="17" t="str">
        <x:v>מרכז קהילתי נווה דוד</x:v>
      </x:c>
      <x:c r="D79" s="17" t="str">
        <x:v>יהושפט המלך 6א</x:v>
      </x:c>
      <x:c r="E79" s="17" t="str">
        <x:v>גבוה מאוד</x:v>
      </x:c>
      <x:c r="F79" s="25" t="str">
        <x:v>מספר קלפי בסיסי ושם אתר זהים</x:v>
      </x:c>
      <x:c r="G79" s="25" t="str">
        <x:v>הודעת הבחירות הרשמית של חיפה (2024)</x:v>
      </x:c>
      <x:c r="H79" s="25" t="n">
        <x:v>3</x:v>
      </x:c>
      <x:c r="I79" s="25" t="str">
        <x:v>152.0</x:v>
      </x:c>
      <x:c r="J79" s="25" t="str">
        <x:v>מרכז קהילתי נווה דוד</x:v>
      </x:c>
      <x:c r="K79" s="25" t="str">
        <x:v>מוכן לעבודה</x:v>
      </x:c>
    </x:row>
    <x:row r="80" ht="38" customHeight="1">
      <x:c r="A80" s="29" t="str">
        <x:v>154</x:v>
      </x:c>
      <x:c r="B80" s="28" t="n">
        <x:v>2985</x:v>
      </x:c>
      <x:c r="C80" s="17" t="str">
        <x:v>בי"ס עופרים</x:v>
      </x:c>
      <x:c r="D80" s="17" t="str">
        <x:v>דוד המלך 29</x:v>
      </x:c>
      <x:c r="E80" s="17" t="str">
        <x:v>גבוה מאוד</x:v>
      </x:c>
      <x:c r="F80" s="25" t="str">
        <x:v>מספר קלפי בסיסי ושם אתר זהים</x:v>
      </x:c>
      <x:c r="G80" s="25" t="str">
        <x:v>הודעת הבחירות הרשמית של חיפה (2024)</x:v>
      </x:c>
      <x:c r="H80" s="25" t="n">
        <x:v>3</x:v>
      </x:c>
      <x:c r="I80" s="25" t="str">
        <x:v>154.0</x:v>
      </x:c>
      <x:c r="J80" s="25" t="str">
        <x:v>בי"ס עופרים</x:v>
      </x:c>
      <x:c r="K80" s="25" t="str">
        <x:v>מוכן לעבודה</x:v>
      </x:c>
    </x:row>
    <x:row r="81" ht="38" customHeight="1">
      <x:c r="A81" s="29" t="str">
        <x:v>155.1</x:v>
      </x:c>
      <x:c r="B81" s="28" t="n">
        <x:v>2986</x:v>
      </x:c>
      <x:c r="C81" s="17" t="str">
        <x:v>בי"ס עין הים</x:v>
      </x:c>
      <x:c r="D81" s="17" t="str">
        <x:v>יציאת אירופה 17</x:v>
      </x:c>
      <x:c r="E81" s="17" t="str">
        <x:v>גבוה מאוד</x:v>
      </x:c>
      <x:c r="F81" s="25" t="str">
        <x:v>מספר קלפי בסיסי ושם אתר זהים</x:v>
      </x:c>
      <x:c r="G81" s="25" t="str">
        <x:v>הודעת הבחירות הרשמית של חיפה (2024)</x:v>
      </x:c>
      <x:c r="H81" s="25" t="n">
        <x:v>3</x:v>
      </x:c>
      <x:c r="I81" s="25" t="str">
        <x:v>155.0</x:v>
      </x:c>
      <x:c r="J81" s="25" t="str">
        <x:v>בי"ס עין הים</x:v>
      </x:c>
      <x:c r="K81" s="25" t="str">
        <x:v>מוכן לעבודה</x:v>
      </x:c>
    </x:row>
    <x:row r="82" ht="38" customHeight="1">
      <x:c r="A82" s="29" t="str">
        <x:v>155.2</x:v>
      </x:c>
      <x:c r="B82" s="28" t="n">
        <x:v>2987</x:v>
      </x:c>
      <x:c r="C82" s="17" t="str">
        <x:v>בי"ס עין הים</x:v>
      </x:c>
      <x:c r="D82" s="17" t="str">
        <x:v>יציאת אירופה 17</x:v>
      </x:c>
      <x:c r="E82" s="17" t="str">
        <x:v>גבוה מאוד</x:v>
      </x:c>
      <x:c r="F82" s="25" t="str">
        <x:v>מספר קלפי בסיסי ושם אתר זהים</x:v>
      </x:c>
      <x:c r="G82" s="25" t="str">
        <x:v>הודעת הבחירות הרשמית של חיפה (2024)</x:v>
      </x:c>
      <x:c r="H82" s="25" t="n">
        <x:v>3</x:v>
      </x:c>
      <x:c r="I82" s="25" t="str">
        <x:v>155.0</x:v>
      </x:c>
      <x:c r="J82" s="25" t="str">
        <x:v>בי"ס עין הים</x:v>
      </x:c>
      <x:c r="K82" s="25" t="str">
        <x:v>מוכן לעבודה</x:v>
      </x:c>
    </x:row>
    <x:row r="83" ht="38" customHeight="1">
      <x:c r="A83" s="29" t="str">
        <x:v>155.3</x:v>
      </x:c>
      <x:c r="B83" s="28" t="n">
        <x:v>2988</x:v>
      </x:c>
      <x:c r="C83" s="17" t="str">
        <x:v>בי"ס עין הים</x:v>
      </x:c>
      <x:c r="D83" s="17" t="str">
        <x:v>יציאת אירופה 17</x:v>
      </x:c>
      <x:c r="E83" s="17" t="str">
        <x:v>גבוה מאוד</x:v>
      </x:c>
      <x:c r="F83" s="25" t="str">
        <x:v>מספר קלפי בסיסי ושם אתר זהים</x:v>
      </x:c>
      <x:c r="G83" s="25" t="str">
        <x:v>הודעת הבחירות הרשמית של חיפה (2024)</x:v>
      </x:c>
      <x:c r="H83" s="25" t="n">
        <x:v>3</x:v>
      </x:c>
      <x:c r="I83" s="25" t="str">
        <x:v>155.0</x:v>
      </x:c>
      <x:c r="J83" s="25" t="str">
        <x:v>בי"ס עין הים</x:v>
      </x:c>
      <x:c r="K83" s="25" t="str">
        <x:v>מוכן לעבודה</x:v>
      </x:c>
    </x:row>
    <x:row r="84" ht="38" customHeight="1">
      <x:c r="A84" s="29" t="str">
        <x:v>155.4</x:v>
      </x:c>
      <x:c r="B84" s="28" t="n">
        <x:v>2989</x:v>
      </x:c>
      <x:c r="C84" s="17" t="str">
        <x:v>בי"ס עין הים</x:v>
      </x:c>
      <x:c r="D84" s="17" t="str">
        <x:v>יציאת אירופה 17</x:v>
      </x:c>
      <x:c r="E84" s="17" t="str">
        <x:v>גבוה מאוד</x:v>
      </x:c>
      <x:c r="F84" s="25" t="str">
        <x:v>מספר קלפי בסיסי ושם אתר זהים</x:v>
      </x:c>
      <x:c r="G84" s="25" t="str">
        <x:v>הודעת הבחירות הרשמית של חיפה (2024)</x:v>
      </x:c>
      <x:c r="H84" s="25" t="n">
        <x:v>3</x:v>
      </x:c>
      <x:c r="I84" s="25" t="str">
        <x:v>155.0</x:v>
      </x:c>
      <x:c r="J84" s="25" t="str">
        <x:v>בי"ס עין הים</x:v>
      </x:c>
      <x:c r="K84" s="25" t="str">
        <x:v>מוכן לעבודה</x:v>
      </x:c>
    </x:row>
    <x:row r="85" ht="38" customHeight="1">
      <x:c r="A85" s="29" t="str">
        <x:v>155.5</x:v>
      </x:c>
      <x:c r="B85" s="28" t="n">
        <x:v>2990</x:v>
      </x:c>
      <x:c r="C85" s="17" t="str">
        <x:v>בי"ס עין הים</x:v>
      </x:c>
      <x:c r="D85" s="17" t="str">
        <x:v>יציאת אירופה 17</x:v>
      </x:c>
      <x:c r="E85" s="17" t="str">
        <x:v>גבוה מאוד</x:v>
      </x:c>
      <x:c r="F85" s="25" t="str">
        <x:v>מספר קלפי בסיסי ושם אתר זהים</x:v>
      </x:c>
      <x:c r="G85" s="25" t="str">
        <x:v>הודעת הבחירות הרשמית של חיפה (2024)</x:v>
      </x:c>
      <x:c r="H85" s="25" t="n">
        <x:v>3</x:v>
      </x:c>
      <x:c r="I85" s="25" t="str">
        <x:v>155.0</x:v>
      </x:c>
      <x:c r="J85" s="25" t="str">
        <x:v>בי"ס עין הים</x:v>
      </x:c>
      <x:c r="K85" s="25" t="str">
        <x:v>מוכן לעבודה</x:v>
      </x:c>
    </x:row>
    <x:row r="86" ht="38" customHeight="1">
      <x:c r="A86" s="29" t="str">
        <x:v>159</x:v>
      </x:c>
      <x:c r="B86" s="28" t="n">
        <x:v>2946</x:v>
      </x:c>
      <x:c r="C86" s="17" t="str">
        <x:v>אשכול פייס</x:v>
      </x:c>
      <x:c r="D86" s="17" t="str">
        <x:v>צה"ל 41</x:v>
      </x:c>
      <x:c r="E86" s="17" t="str">
        <x:v>גבוה מאוד</x:v>
      </x:c>
      <x:c r="F86" s="25" t="str">
        <x:v>מספר קלפי בסיסי ושם אתר זהים</x:v>
      </x:c>
      <x:c r="G86" s="25" t="str">
        <x:v>הודעת הבחירות הרשמית של חיפה (2024)</x:v>
      </x:c>
      <x:c r="H86" s="25" t="n">
        <x:v>3</x:v>
      </x:c>
      <x:c r="I86" s="25" t="str">
        <x:v>159.0</x:v>
      </x:c>
      <x:c r="J86" s="25" t="str">
        <x:v>אשכול פייס</x:v>
      </x:c>
      <x:c r="K86" s="25" t="str">
        <x:v>מוכן לעבודה</x:v>
      </x:c>
    </x:row>
    <x:row r="87" ht="38" customHeight="1">
      <x:c r="A87" s="29" t="str">
        <x:v>161</x:v>
      </x:c>
      <x:c r="B87" s="28" t="n">
        <x:v>2991</x:v>
      </x:c>
      <x:c r="C87" s="17" t="str">
        <x:v>בי"ס בסמת - חטיבה עליונה</x:v>
      </x:c>
      <x:c r="D87" s="17" t="str">
        <x:v>דוד המלך 28</x:v>
      </x:c>
      <x:c r="E87" s="17" t="str">
        <x:v>גבוה מאוד</x:v>
      </x:c>
      <x:c r="F87" s="25" t="str">
        <x:v>מספר קלפי בסיסי ושם אתר זהים</x:v>
      </x:c>
      <x:c r="G87" s="25" t="str">
        <x:v>הודעת הבחירות הרשמית של חיפה (2024)</x:v>
      </x:c>
      <x:c r="H87" s="25" t="n">
        <x:v>3</x:v>
      </x:c>
      <x:c r="I87" s="25" t="str">
        <x:v>161.0</x:v>
      </x:c>
      <x:c r="J87" s="25" t="str">
        <x:v>בי"ס בסמת -חטיבה עליונה</x:v>
      </x:c>
      <x:c r="K87" s="25" t="str">
        <x:v>מוכן לעבודה</x:v>
      </x:c>
    </x:row>
    <x:row r="88" ht="38" customHeight="1">
      <x:c r="A88" s="29" t="str">
        <x:v>162</x:v>
      </x:c>
      <x:c r="B88" s="28" t="n">
        <x:v>2992</x:v>
      </x:c>
      <x:c r="C88" s="17" t="str">
        <x:v>בי"ס חופית</x:v>
      </x:c>
      <x:c r="D88" s="17" t="str">
        <x:v>החיננית 3</x:v>
      </x:c>
      <x:c r="E88" s="17" t="str">
        <x:v>גבוה מאוד</x:v>
      </x:c>
      <x:c r="F88" s="25" t="str">
        <x:v>מספר קלפי בסיסי ושם אתר זהים</x:v>
      </x:c>
      <x:c r="G88" s="25" t="str">
        <x:v>הודעת הבחירות הרשמית של חיפה (2024)</x:v>
      </x:c>
      <x:c r="H88" s="25" t="n">
        <x:v>3</x:v>
      </x:c>
      <x:c r="I88" s="25" t="str">
        <x:v>162.0</x:v>
      </x:c>
      <x:c r="J88" s="25" t="str">
        <x:v>בי"ס חופית</x:v>
      </x:c>
      <x:c r="K88" s="25" t="str">
        <x:v>מוכן לעבודה</x:v>
      </x:c>
    </x:row>
    <x:row r="89" ht="38" customHeight="1">
      <x:c r="A89" s="29" t="str">
        <x:v>163</x:v>
      </x:c>
      <x:c r="B89" s="28" t="n">
        <x:v>2993</x:v>
      </x:c>
      <x:c r="C89" s="17" t="str">
        <x:v>בי"ס חופית</x:v>
      </x:c>
      <x:c r="D89" s="17" t="str">
        <x:v>החיננית 3</x:v>
      </x:c>
      <x:c r="E89" s="17" t="str">
        <x:v>גבוה מאוד</x:v>
      </x:c>
      <x:c r="F89" s="25" t="str">
        <x:v>מספר קלפי בסיסי ושם אתר זהים</x:v>
      </x:c>
      <x:c r="G89" s="25" t="str">
        <x:v>הודעת הבחירות הרשמית של חיפה (2024)</x:v>
      </x:c>
      <x:c r="H89" s="25" t="n">
        <x:v>3</x:v>
      </x:c>
      <x:c r="I89" s="25" t="str">
        <x:v>163.0</x:v>
      </x:c>
      <x:c r="J89" s="25" t="str">
        <x:v>בי"ס חופית</x:v>
      </x:c>
      <x:c r="K89" s="25" t="str">
        <x:v>מוכן לעבודה</x:v>
      </x:c>
    </x:row>
    <x:row r="90" ht="38" customHeight="1">
      <x:c r="A90" s="29" t="str">
        <x:v>164</x:v>
      </x:c>
      <x:c r="B90" s="28" t="n">
        <x:v>2994</x:v>
      </x:c>
      <x:c r="C90" s="17" t="str">
        <x:v>בי"ס בסמת - חטיבה עליונה</x:v>
      </x:c>
      <x:c r="D90" s="17" t="str">
        <x:v>דוד המלך 28</x:v>
      </x:c>
      <x:c r="E90" s="17" t="str">
        <x:v>גבוה מאוד</x:v>
      </x:c>
      <x:c r="F90" s="25" t="str">
        <x:v>מספר קלפי בסיסי ושם אתר זהים</x:v>
      </x:c>
      <x:c r="G90" s="25" t="str">
        <x:v>הודעת הבחירות הרשמית של חיפה (2024)</x:v>
      </x:c>
      <x:c r="H90" s="25" t="n">
        <x:v>3</x:v>
      </x:c>
      <x:c r="I90" s="25" t="str">
        <x:v>164.0</x:v>
      </x:c>
      <x:c r="J90" s="25" t="str">
        <x:v>בי"ס בסמת -חטיבה עליונה</x:v>
      </x:c>
      <x:c r="K90" s="25" t="str">
        <x:v>מוכן לעבודה</x:v>
      </x:c>
    </x:row>
    <x:row r="91" ht="38" customHeight="1">
      <x:c r="A91" s="29" t="str">
        <x:v>165</x:v>
      </x:c>
      <x:c r="B91" s="28" t="n">
        <x:v>2995</x:v>
      </x:c>
      <x:c r="C91" s="17" t="str">
        <x:v>בית תרבות ע"ש פאני קפלן</x:v>
      </x:c>
      <x:c r="D91" s="17" t="str">
        <x:v>הרותם 1</x:v>
      </x:c>
      <x:c r="E91" s="17" t="str">
        <x:v>גבוה מאוד</x:v>
      </x:c>
      <x:c r="F91" s="25" t="str">
        <x:v>מספר קלפי בסיסי ושם אתר זהים</x:v>
      </x:c>
      <x:c r="G91" s="25" t="str">
        <x:v>הודעת הבחירות הרשמית של חיפה (2024)</x:v>
      </x:c>
      <x:c r="H91" s="25" t="n">
        <x:v>3</x:v>
      </x:c>
      <x:c r="I91" s="25" t="str">
        <x:v>165.0</x:v>
      </x:c>
      <x:c r="J91" s="25" t="str">
        <x:v>בית תרבות ע"ש פאני קפלן</x:v>
      </x:c>
      <x:c r="K91" s="25" t="str">
        <x:v>מוכן לעבודה</x:v>
      </x:c>
    </x:row>
    <x:row r="92" ht="38" customHeight="1">
      <x:c r="A92" s="29" t="str">
        <x:v>166</x:v>
      </x:c>
      <x:c r="B92" s="28" t="n">
        <x:v>2996</x:v>
      </x:c>
      <x:c r="C92" s="17" t="str">
        <x:v>בית תרבות ע"ש פאני קפלן</x:v>
      </x:c>
      <x:c r="D92" s="17" t="str">
        <x:v>הרותם 1</x:v>
      </x:c>
      <x:c r="E92" s="17" t="str">
        <x:v>גבוה מאוד</x:v>
      </x:c>
      <x:c r="F92" s="25" t="str">
        <x:v>מספר קלפי בסיסי ושם אתר זהים</x:v>
      </x:c>
      <x:c r="G92" s="25" t="str">
        <x:v>הודעת הבחירות הרשמית של חיפה (2024)</x:v>
      </x:c>
      <x:c r="H92" s="25" t="n">
        <x:v>3</x:v>
      </x:c>
      <x:c r="I92" s="25" t="str">
        <x:v>166.0</x:v>
      </x:c>
      <x:c r="J92" s="25" t="str">
        <x:v>בית תרבות ע"ש פאני קפלן</x:v>
      </x:c>
      <x:c r="K92" s="25" t="str">
        <x:v>מוכן לעבודה</x:v>
      </x:c>
    </x:row>
    <x:row r="93" ht="38" customHeight="1">
      <x:c r="A93" s="29" t="str">
        <x:v>167</x:v>
      </x:c>
      <x:c r="B93" s="28" t="n">
        <x:v>2997</x:v>
      </x:c>
      <x:c r="C93" s="17" t="str">
        <x:v>בי"ס עופרים</x:v>
      </x:c>
      <x:c r="D93" s="17" t="str">
        <x:v>דוד המלך 29</x:v>
      </x:c>
      <x:c r="E93" s="17" t="str">
        <x:v>גבוה מאוד</x:v>
      </x:c>
      <x:c r="F93" s="25" t="str">
        <x:v>מספר קלפי בסיסי ושם אתר זהים</x:v>
      </x:c>
      <x:c r="G93" s="25" t="str">
        <x:v>הודעת הבחירות הרשמית של חיפה (2024)</x:v>
      </x:c>
      <x:c r="H93" s="25" t="n">
        <x:v>3</x:v>
      </x:c>
      <x:c r="I93" s="25" t="str">
        <x:v>167.0</x:v>
      </x:c>
      <x:c r="J93" s="25" t="str">
        <x:v>בי"ס עופרים</x:v>
      </x:c>
      <x:c r="K93" s="25" t="str">
        <x:v>מוכן לעבודה</x:v>
      </x:c>
    </x:row>
    <x:row r="94" ht="38" customHeight="1">
      <x:c r="A94" s="29" t="str">
        <x:v>168</x:v>
      </x:c>
      <x:c r="B94" s="28" t="n">
        <x:v>2998</x:v>
      </x:c>
      <x:c r="C94" s="17" t="str">
        <x:v>בית תרבות ע"ש פאני קפלן</x:v>
      </x:c>
      <x:c r="D94" s="17" t="str">
        <x:v>הרותם 1</x:v>
      </x:c>
      <x:c r="E94" s="17" t="str">
        <x:v>גבוה מאוד</x:v>
      </x:c>
      <x:c r="F94" s="25" t="str">
        <x:v>מספר קלפי בסיסי ושם אתר זהים</x:v>
      </x:c>
      <x:c r="G94" s="25" t="str">
        <x:v>הודעת הבחירות הרשמית של חיפה (2024)</x:v>
      </x:c>
      <x:c r="H94" s="25" t="n">
        <x:v>3</x:v>
      </x:c>
      <x:c r="I94" s="25" t="str">
        <x:v>168.0</x:v>
      </x:c>
      <x:c r="J94" s="25" t="str">
        <x:v>בית תרבות ע"ש פאני קפלן</x:v>
      </x:c>
      <x:c r="K94" s="25" t="str">
        <x:v>מוכן לעבודה</x:v>
      </x:c>
    </x:row>
    <x:row r="95" ht="38" customHeight="1">
      <x:c r="A95" s="29" t="str">
        <x:v>169</x:v>
      </x:c>
      <x:c r="B95" s="28" t="n">
        <x:v>3069</x:v>
      </x:c>
      <x:c r="C95" s="17" t="str">
        <x:v>גן ילדים קטלב</x:v>
      </x:c>
      <x:c r="D95" s="17" t="str">
        <x:v>שוויצר אלברט ד"ר 64</x:v>
      </x:c>
      <x:c r="E95" s="17" t="str">
        <x:v>גבוה מאוד</x:v>
      </x:c>
      <x:c r="F95" s="25" t="str">
        <x:v>מספר קלפי בסיסי ושם אתר זהים</x:v>
      </x:c>
      <x:c r="G95" s="25" t="str">
        <x:v>הודעת הבחירות הרשמית של חיפה (2024)</x:v>
      </x:c>
      <x:c r="H95" s="25" t="n">
        <x:v>3</x:v>
      </x:c>
      <x:c r="I95" s="25" t="str">
        <x:v>169.0</x:v>
      </x:c>
      <x:c r="J95" s="25" t="str">
        <x:v>גן ילדים קטלב</x:v>
      </x:c>
      <x:c r="K95" s="25" t="str">
        <x:v>מוכן לעבודה</x:v>
      </x:c>
    </x:row>
    <x:row r="96" ht="38" customHeight="1">
      <x:c r="A96" s="29" t="str">
        <x:v>171.1</x:v>
      </x:c>
      <x:c r="B96" s="28" t="n">
        <x:v>3070</x:v>
      </x:c>
      <x:c r="C96" s="17" t="str">
        <x:v>גן ילדים אשל-קשת</x:v>
      </x:c>
      <x:c r="D96" s="17" t="str">
        <x:v>לסקוב חיים רא"ל 26</x:v>
      </x:c>
      <x:c r="E96" s="17" t="str">
        <x:v>גבוה מאוד</x:v>
      </x:c>
      <x:c r="F96" s="25" t="str">
        <x:v>מספר קלפי בסיסי ושם אתר זהים</x:v>
      </x:c>
      <x:c r="G96" s="25" t="str">
        <x:v>הודעת הבחירות הרשמית של חיפה (2024)</x:v>
      </x:c>
      <x:c r="H96" s="25" t="n">
        <x:v>3</x:v>
      </x:c>
      <x:c r="I96" s="25" t="str">
        <x:v>171.0</x:v>
      </x:c>
      <x:c r="J96" s="25" t="str">
        <x:v>גן ילדים אשל-קשת</x:v>
      </x:c>
      <x:c r="K96" s="25" t="str">
        <x:v>מוכן לעבודה</x:v>
      </x:c>
    </x:row>
    <x:row r="97" ht="38" customHeight="1">
      <x:c r="A97" s="29" t="str">
        <x:v>171.2</x:v>
      </x:c>
      <x:c r="B97" s="28" t="n">
        <x:v>3071</x:v>
      </x:c>
      <x:c r="C97" s="17" t="str">
        <x:v>גן ילדים אשל-קשת</x:v>
      </x:c>
      <x:c r="D97" s="17" t="str">
        <x:v>לסקוב חיים רא"ל 26</x:v>
      </x:c>
      <x:c r="E97" s="17" t="str">
        <x:v>גבוה מאוד</x:v>
      </x:c>
      <x:c r="F97" s="25" t="str">
        <x:v>מספר קלפי בסיסי ושם אתר זהים</x:v>
      </x:c>
      <x:c r="G97" s="25" t="str">
        <x:v>הודעת הבחירות הרשמית של חיפה (2024)</x:v>
      </x:c>
      <x:c r="H97" s="25" t="n">
        <x:v>3</x:v>
      </x:c>
      <x:c r="I97" s="25" t="str">
        <x:v>171.0</x:v>
      </x:c>
      <x:c r="J97" s="25" t="str">
        <x:v>גן ילדים אשל-קשת</x:v>
      </x:c>
      <x:c r="K97" s="25" t="str">
        <x:v>מוכן לעבודה</x:v>
      </x:c>
    </x:row>
    <x:row r="98" ht="38" customHeight="1">
      <x:c r="A98" s="29" t="str">
        <x:v>172.1</x:v>
      </x:c>
      <x:c r="B98" s="28" t="n">
        <x:v>3072</x:v>
      </x:c>
      <x:c r="C98" s="17" t="str">
        <x:v>גן "אתרוג"</x:v>
      </x:c>
      <x:c r="D98" s="17" t="str">
        <x:v>אינשטיין אלברט 52</x:v>
      </x:c>
      <x:c r="E98" s="17" t="str">
        <x:v>גבוה מאוד</x:v>
      </x:c>
      <x:c r="F98" s="25" t="str">
        <x:v>מספר קלפי בסיסי ושם אתר זהים</x:v>
      </x:c>
      <x:c r="G98" s="25" t="str">
        <x:v>הודעת הבחירות הרשמית של חיפה (2024)</x:v>
      </x:c>
      <x:c r="H98" s="25" t="n">
        <x:v>3</x:v>
      </x:c>
      <x:c r="I98" s="25" t="str">
        <x:v>172.0</x:v>
      </x:c>
      <x:c r="J98" s="25" t="str">
        <x:v>גן "אתרוג"</x:v>
      </x:c>
      <x:c r="K98" s="25" t="str">
        <x:v>מוכן לעבודה</x:v>
      </x:c>
    </x:row>
    <x:row r="99" ht="38" customHeight="1">
      <x:c r="A99" s="29" t="str">
        <x:v>172.2</x:v>
      </x:c>
      <x:c r="B99" s="28" t="n">
        <x:v>3073</x:v>
      </x:c>
      <x:c r="C99" s="17" t="str">
        <x:v>גן "אתרוג"</x:v>
      </x:c>
      <x:c r="D99" s="17" t="str">
        <x:v>אינשטיין אלברט 52</x:v>
      </x:c>
      <x:c r="E99" s="17" t="str">
        <x:v>גבוה מאוד</x:v>
      </x:c>
      <x:c r="F99" s="25" t="str">
        <x:v>מספר קלפי בסיסי ושם אתר זהים</x:v>
      </x:c>
      <x:c r="G99" s="25" t="str">
        <x:v>הודעת הבחירות הרשמית של חיפה (2024)</x:v>
      </x:c>
      <x:c r="H99" s="25" t="n">
        <x:v>3</x:v>
      </x:c>
      <x:c r="I99" s="25" t="str">
        <x:v>172.0</x:v>
      </x:c>
      <x:c r="J99" s="25" t="str">
        <x:v>גן "אתרוג"</x:v>
      </x:c>
      <x:c r="K99" s="25" t="str">
        <x:v>מוכן לעבודה</x:v>
      </x:c>
    </x:row>
    <x:row r="100" ht="38" customHeight="1">
      <x:c r="A100" s="29" t="str">
        <x:v>173</x:v>
      </x:c>
      <x:c r="B100" s="28" t="n">
        <x:v>3105</x:v>
      </x:c>
      <x:c r="C100" s="17" t="str">
        <x:v>גן ילדים עירוני "חצב"</x:v>
      </x:c>
      <x:c r="D100" s="17" t="str">
        <x:v>ליבריה 42</x:v>
      </x:c>
      <x:c r="E100" s="17" t="str">
        <x:v>גבוה מאוד</x:v>
      </x:c>
      <x:c r="F100" s="25" t="str">
        <x:v>מספר קלפי בסיסי ושם אתר זהים</x:v>
      </x:c>
      <x:c r="G100" s="25" t="str">
        <x:v>הודעת הבחירות הרשמית של חיפה (2024)</x:v>
      </x:c>
      <x:c r="H100" s="25" t="n">
        <x:v>3</x:v>
      </x:c>
      <x:c r="I100" s="25" t="str">
        <x:v>173.0</x:v>
      </x:c>
      <x:c r="J100" s="25" t="str">
        <x:v>גן ילדים עירוני "חצב"</x:v>
      </x:c>
      <x:c r="K100" s="25" t="str">
        <x:v>מוכן לעבודה</x:v>
      </x:c>
    </x:row>
    <x:row r="101" ht="38" customHeight="1">
      <x:c r="A101" s="29" t="str">
        <x:v>177.1</x:v>
      </x:c>
      <x:c r="B101" s="28" t="n">
        <x:v>3106</x:v>
      </x:c>
      <x:c r="C101" s="17" t="str">
        <x:v>מועדון צופים</x:v>
      </x:c>
      <x:c r="D101" s="17" t="str">
        <x:v>חוף השנהב 39</x:v>
      </x:c>
      <x:c r="E101" s="17" t="str">
        <x:v>גבוה מאוד</x:v>
      </x:c>
      <x:c r="F101" s="25" t="str">
        <x:v>מספר קלפי בסיסי ושם אתר זהים</x:v>
      </x:c>
      <x:c r="G101" s="25" t="str">
        <x:v>הודעת הבחירות הרשמית של חיפה (2024)</x:v>
      </x:c>
      <x:c r="H101" s="25" t="n">
        <x:v>3</x:v>
      </x:c>
      <x:c r="I101" s="25" t="str">
        <x:v>177.0</x:v>
      </x:c>
      <x:c r="J101" s="25" t="str">
        <x:v>מועדון צופים</x:v>
      </x:c>
      <x:c r="K101" s="25" t="str">
        <x:v>מוכן לעבודה</x:v>
      </x:c>
    </x:row>
    <x:row r="102" ht="38" customHeight="1">
      <x:c r="A102" s="29" t="str">
        <x:v>177.2</x:v>
      </x:c>
      <x:c r="B102" s="28" t="n">
        <x:v>3107</x:v>
      </x:c>
      <x:c r="C102" s="17" t="str">
        <x:v>מועדון צופים</x:v>
      </x:c>
      <x:c r="D102" s="17" t="str">
        <x:v>חוף השנהב 39</x:v>
      </x:c>
      <x:c r="E102" s="17" t="str">
        <x:v>גבוה מאוד</x:v>
      </x:c>
      <x:c r="F102" s="25" t="str">
        <x:v>מספר קלפי בסיסי ושם אתר זהים</x:v>
      </x:c>
      <x:c r="G102" s="25" t="str">
        <x:v>הודעת הבחירות הרשמית של חיפה (2024)</x:v>
      </x:c>
      <x:c r="H102" s="25" t="n">
        <x:v>3</x:v>
      </x:c>
      <x:c r="I102" s="25" t="str">
        <x:v>177.0</x:v>
      </x:c>
      <x:c r="J102" s="25" t="str">
        <x:v>מועדון צופים</x:v>
      </x:c>
      <x:c r="K102" s="25" t="str">
        <x:v>מוכן לעבודה</x:v>
      </x:c>
    </x:row>
    <x:row r="103" ht="38" customHeight="1">
      <x:c r="A103" s="29" t="str">
        <x:v>177.3</x:v>
      </x:c>
      <x:c r="B103" s="28" t="n">
        <x:v>3108</x:v>
      </x:c>
      <x:c r="C103" s="17" t="str">
        <x:v>מועדון צופים</x:v>
      </x:c>
      <x:c r="D103" s="17" t="str">
        <x:v>חוף השנהב 39</x:v>
      </x:c>
      <x:c r="E103" s="17" t="str">
        <x:v>גבוה מאוד</x:v>
      </x:c>
      <x:c r="F103" s="25" t="str">
        <x:v>מספר קלפי בסיסי ושם אתר זהים</x:v>
      </x:c>
      <x:c r="G103" s="25" t="str">
        <x:v>הודעת הבחירות הרשמית של חיפה (2024)</x:v>
      </x:c>
      <x:c r="H103" s="25" t="n">
        <x:v>3</x:v>
      </x:c>
      <x:c r="I103" s="25" t="str">
        <x:v>177.0</x:v>
      </x:c>
      <x:c r="J103" s="25" t="str">
        <x:v>מועדון צופים</x:v>
      </x:c>
      <x:c r="K103" s="25" t="str">
        <x:v>מוכן לעבודה</x:v>
      </x:c>
    </x:row>
    <x:row r="104" ht="38" customHeight="1">
      <x:c r="A104" s="29" t="str">
        <x:v>177.4</x:v>
      </x:c>
      <x:c r="B104" s="28" t="n">
        <x:v>3109</x:v>
      </x:c>
      <x:c r="C104" s="17" t="str">
        <x:v>מועדון צופים</x:v>
      </x:c>
      <x:c r="D104" s="17" t="str">
        <x:v>חוף השנהב 39</x:v>
      </x:c>
      <x:c r="E104" s="17" t="str">
        <x:v>גבוה מאוד</x:v>
      </x:c>
      <x:c r="F104" s="25" t="str">
        <x:v>מספר קלפי בסיסי ושם אתר זהים</x:v>
      </x:c>
      <x:c r="G104" s="25" t="str">
        <x:v>הודעת הבחירות הרשמית של חיפה (2024)</x:v>
      </x:c>
      <x:c r="H104" s="25" t="n">
        <x:v>3</x:v>
      </x:c>
      <x:c r="I104" s="25" t="str">
        <x:v>177.0</x:v>
      </x:c>
      <x:c r="J104" s="25" t="str">
        <x:v>מועדון צופים</x:v>
      </x:c>
      <x:c r="K104" s="25" t="str">
        <x:v>מוכן לעבודה</x:v>
      </x:c>
    </x:row>
    <x:row r="105" ht="38" customHeight="1">
      <x:c r="A105" s="29" t="str">
        <x:v>179</x:v>
      </x:c>
      <x:c r="B105" s="28" t="n">
        <x:v>3074</x:v>
      </x:c>
      <x:c r="C105" s="17" t="str">
        <x:v>שלוחת בי"ס אינשטיין</x:v>
      </x:c>
      <x:c r="D105" s="17" t="str">
        <x:v>אינשטיין אלברט 94</x:v>
      </x:c>
      <x:c r="E105" s="17" t="str">
        <x:v>גבוה מאוד</x:v>
      </x:c>
      <x:c r="F105" s="25" t="str">
        <x:v>מספר קלפי בסיסי ושם אתר זהים</x:v>
      </x:c>
      <x:c r="G105" s="25" t="str">
        <x:v>הודעת הבחירות הרשמית של חיפה (2024)</x:v>
      </x:c>
      <x:c r="H105" s="25" t="n">
        <x:v>4</x:v>
      </x:c>
      <x:c r="I105" s="25" t="str">
        <x:v>179.0</x:v>
      </x:c>
      <x:c r="J105" s="25" t="str">
        <x:v>שלוחת בי"ס אינשטיין</x:v>
      </x:c>
      <x:c r="K105" s="25" t="str">
        <x:v>מוכן לעבודה</x:v>
      </x:c>
    </x:row>
    <x:row r="106" ht="38" customHeight="1">
      <x:c r="A106" s="29" t="str">
        <x:v>180</x:v>
      </x:c>
      <x:c r="B106" s="28" t="n">
        <x:v>3044</x:v>
      </x:c>
      <x:c r="C106" s="17" t="str">
        <x:v>בי"ס רוממה</x:v>
      </x:c>
      <x:c r="D106" s="17" t="str">
        <x:v>אורן 27</x:v>
      </x:c>
      <x:c r="E106" s="17" t="str">
        <x:v>גבוה מאוד</x:v>
      </x:c>
      <x:c r="F106" s="25" t="str">
        <x:v>מספר קלפי בסיסי ושם אתר זהים</x:v>
      </x:c>
      <x:c r="G106" s="25" t="str">
        <x:v>הודעת הבחירות הרשמית של חיפה (2024)</x:v>
      </x:c>
      <x:c r="H106" s="25" t="n">
        <x:v>4</x:v>
      </x:c>
      <x:c r="I106" s="25" t="str">
        <x:v>180.0</x:v>
      </x:c>
      <x:c r="J106" s="25" t="str">
        <x:v>בי"ס רוממה</x:v>
      </x:c>
      <x:c r="K106" s="25" t="str">
        <x:v>מוכן לעבודה</x:v>
      </x:c>
    </x:row>
    <x:row r="107" ht="38" customHeight="1">
      <x:c r="A107" s="29" t="str">
        <x:v>181.1</x:v>
      </x:c>
      <x:c r="B107" s="28" t="n">
        <x:v>3075</x:v>
      </x:c>
      <x:c r="C107" s="17" t="str">
        <x:v>בי"ס הריאלי - בנין לנדס</x:v>
      </x:c>
      <x:c r="D107" s="17" t="str">
        <x:v>שד אבא חושי 15</x:v>
      </x:c>
      <x:c r="E107" s="17" t="str">
        <x:v>גבוה מאוד</x:v>
      </x:c>
      <x:c r="F107" s="25" t="str">
        <x:v>מספר קלפי בסיסי ושם אתר זהים</x:v>
      </x:c>
      <x:c r="G107" s="25" t="str">
        <x:v>הודעת הבחירות הרשמית של חיפה (2024)</x:v>
      </x:c>
      <x:c r="H107" s="25" t="n">
        <x:v>4</x:v>
      </x:c>
      <x:c r="I107" s="25" t="str">
        <x:v>181.0</x:v>
      </x:c>
      <x:c r="J107" s="25" t="str">
        <x:v>בי"ס הריאלי -בנין לנדס</x:v>
      </x:c>
      <x:c r="K107" s="25" t="str">
        <x:v>מוכן לעבודה</x:v>
      </x:c>
    </x:row>
    <x:row r="108" ht="38" customHeight="1">
      <x:c r="A108" s="29" t="str">
        <x:v>181.2</x:v>
      </x:c>
      <x:c r="B108" s="28" t="n">
        <x:v>3076</x:v>
      </x:c>
      <x:c r="C108" s="17" t="str">
        <x:v>בי"ס הריאלי - בנין לנדס</x:v>
      </x:c>
      <x:c r="D108" s="17" t="str">
        <x:v>שד אבא חושי 15</x:v>
      </x:c>
      <x:c r="E108" s="17" t="str">
        <x:v>גבוה מאוד</x:v>
      </x:c>
      <x:c r="F108" s="25" t="str">
        <x:v>מספר קלפי בסיסי ושם אתר זהים</x:v>
      </x:c>
      <x:c r="G108" s="25" t="str">
        <x:v>הודעת הבחירות הרשמית של חיפה (2024)</x:v>
      </x:c>
      <x:c r="H108" s="25" t="n">
        <x:v>4</x:v>
      </x:c>
      <x:c r="I108" s="25" t="str">
        <x:v>181.0</x:v>
      </x:c>
      <x:c r="J108" s="25" t="str">
        <x:v>בי"ס הריאלי -בנין לנדס</x:v>
      </x:c>
      <x:c r="K108" s="25" t="str">
        <x:v>מוכן לעבודה</x:v>
      </x:c>
    </x:row>
    <x:row r="109" ht="38" customHeight="1">
      <x:c r="A109" s="29" t="str">
        <x:v>181.3</x:v>
      </x:c>
      <x:c r="B109" s="28" t="n">
        <x:v>3077</x:v>
      </x:c>
      <x:c r="C109" s="17" t="str">
        <x:v>בי"ס הריאלי - בנין לנדס</x:v>
      </x:c>
      <x:c r="D109" s="17" t="str">
        <x:v>שד אבא חושי 15</x:v>
      </x:c>
      <x:c r="E109" s="17" t="str">
        <x:v>גבוה מאוד</x:v>
      </x:c>
      <x:c r="F109" s="25" t="str">
        <x:v>מספר קלפי בסיסי ושם אתר זהים</x:v>
      </x:c>
      <x:c r="G109" s="25" t="str">
        <x:v>הודעת הבחירות הרשמית של חיפה (2024)</x:v>
      </x:c>
      <x:c r="H109" s="25" t="n">
        <x:v>4</x:v>
      </x:c>
      <x:c r="I109" s="25" t="str">
        <x:v>181.0</x:v>
      </x:c>
      <x:c r="J109" s="25" t="str">
        <x:v>בי"ס הריאלי -בנין לנדס</x:v>
      </x:c>
      <x:c r="K109" s="25" t="str">
        <x:v>מוכן לעבודה</x:v>
      </x:c>
    </x:row>
    <x:row r="110" ht="38" customHeight="1">
      <x:c r="A110" s="29" t="str">
        <x:v>181.4</x:v>
      </x:c>
      <x:c r="B110" s="28" t="n">
        <x:v>3078</x:v>
      </x:c>
      <x:c r="C110" s="17" t="str">
        <x:v>בי"ס הריאלי - בנין לנדס</x:v>
      </x:c>
      <x:c r="D110" s="17" t="str">
        <x:v>שד אבא חושי 15</x:v>
      </x:c>
      <x:c r="E110" s="17" t="str">
        <x:v>גבוה מאוד</x:v>
      </x:c>
      <x:c r="F110" s="25" t="str">
        <x:v>מספר קלפי בסיסי ושם אתר זהים</x:v>
      </x:c>
      <x:c r="G110" s="25" t="str">
        <x:v>הודעת הבחירות הרשמית של חיפה (2024)</x:v>
      </x:c>
      <x:c r="H110" s="25" t="n">
        <x:v>4</x:v>
      </x:c>
      <x:c r="I110" s="25" t="str">
        <x:v>181.0</x:v>
      </x:c>
      <x:c r="J110" s="25" t="str">
        <x:v>בי"ס הריאלי -בנין לנדס</x:v>
      </x:c>
      <x:c r="K110" s="25" t="str">
        <x:v>מוכן לעבודה</x:v>
      </x:c>
    </x:row>
    <x:row r="111" ht="38" customHeight="1">
      <x:c r="A111" s="29" t="str">
        <x:v>184</x:v>
      </x:c>
      <x:c r="B111" s="28" t="n">
        <x:v>3045</x:v>
      </x:c>
      <x:c r="C111" s="17" t="str">
        <x:v>בי"ס רוממה</x:v>
      </x:c>
      <x:c r="D111" s="17" t="str">
        <x:v>אורן 27</x:v>
      </x:c>
      <x:c r="E111" s="17" t="str">
        <x:v>גבוה מאוד</x:v>
      </x:c>
      <x:c r="F111" s="25" t="str">
        <x:v>מספר קלפי בסיסי ושם אתר זהים</x:v>
      </x:c>
      <x:c r="G111" s="25" t="str">
        <x:v>הודעת הבחירות הרשמית של חיפה (2024)</x:v>
      </x:c>
      <x:c r="H111" s="25" t="n">
        <x:v>4</x:v>
      </x:c>
      <x:c r="I111" s="25" t="str">
        <x:v>184.0</x:v>
      </x:c>
      <x:c r="J111" s="25" t="str">
        <x:v>בי"ס רוממה</x:v>
      </x:c>
      <x:c r="K111" s="25" t="str">
        <x:v>מוכן לעבודה</x:v>
      </x:c>
    </x:row>
    <x:row r="112" ht="38" customHeight="1">
      <x:c r="A112" s="29" t="str">
        <x:v>186</x:v>
      </x:c>
      <x:c r="B112" s="28" t="n">
        <x:v>3046</x:v>
      </x:c>
      <x:c r="C112" s="17" t="str">
        <x:v>בי"ס רוממה</x:v>
      </x:c>
      <x:c r="D112" s="17" t="str">
        <x:v>אורן 27</x:v>
      </x:c>
      <x:c r="E112" s="17" t="str">
        <x:v>גבוה מאוד</x:v>
      </x:c>
      <x:c r="F112" s="25" t="str">
        <x:v>מספר קלפי בסיסי ושם אתר זהים</x:v>
      </x:c>
      <x:c r="G112" s="25" t="str">
        <x:v>הודעת הבחירות הרשמית של חיפה (2024)</x:v>
      </x:c>
      <x:c r="H112" s="25" t="n">
        <x:v>4</x:v>
      </x:c>
      <x:c r="I112" s="25" t="str">
        <x:v>186.0</x:v>
      </x:c>
      <x:c r="J112" s="25" t="str">
        <x:v>בי"ס רוממה</x:v>
      </x:c>
      <x:c r="K112" s="25" t="str">
        <x:v>מוכן לעבודה</x:v>
      </x:c>
    </x:row>
    <x:row r="113" ht="38" customHeight="1">
      <x:c r="A113" s="29" t="str">
        <x:v>187</x:v>
      </x:c>
      <x:c r="B113" s="28" t="n">
        <x:v>3079</x:v>
      </x:c>
      <x:c r="C113" s="17" t="str">
        <x:v>שלוחת בי"ס אינשטיין</x:v>
      </x:c>
      <x:c r="D113" s="17" t="str">
        <x:v>אינשטיין אלברט 94</x:v>
      </x:c>
      <x:c r="E113" s="17" t="str">
        <x:v>גבוה מאוד</x:v>
      </x:c>
      <x:c r="F113" s="25" t="str">
        <x:v>מספר קלפי בסיסי ושם אתר זהים</x:v>
      </x:c>
      <x:c r="G113" s="25" t="str">
        <x:v>הודעת הבחירות הרשמית של חיפה (2024)</x:v>
      </x:c>
      <x:c r="H113" s="25" t="n">
        <x:v>4</x:v>
      </x:c>
      <x:c r="I113" s="25" t="str">
        <x:v>187.0</x:v>
      </x:c>
      <x:c r="J113" s="25" t="str">
        <x:v>שלוחת בי"ס אינשטיין</x:v>
      </x:c>
      <x:c r="K113" s="25" t="str">
        <x:v>מוכן לעבודה</x:v>
      </x:c>
    </x:row>
    <x:row r="114" ht="38" customHeight="1">
      <x:c r="A114" s="29" t="str">
        <x:v>190</x:v>
      </x:c>
      <x:c r="B114" s="28" t="n">
        <x:v>3080</x:v>
      </x:c>
      <x:c r="C114" s="17" t="str">
        <x:v>גן ילדים אמנון ותמר</x:v>
      </x:c>
      <x:c r="D114" s="17" t="str">
        <x:v>שוויצר אלברט ד"ר 64</x:v>
      </x:c>
      <x:c r="E114" s="17" t="str">
        <x:v>גבוה מאוד</x:v>
      </x:c>
      <x:c r="F114" s="25" t="str">
        <x:v>מספר קלפי בסיסי ושם אתר זהים</x:v>
      </x:c>
      <x:c r="G114" s="25" t="str">
        <x:v>הודעת הבחירות הרשמית של חיפה (2024)</x:v>
      </x:c>
      <x:c r="H114" s="25" t="n">
        <x:v>4</x:v>
      </x:c>
      <x:c r="I114" s="25" t="str">
        <x:v>190.0</x:v>
      </x:c>
      <x:c r="J114" s="25" t="str">
        <x:v>גן ילדים אמנון ותמר</x:v>
      </x:c>
      <x:c r="K114" s="25" t="str">
        <x:v>מוכן לעבודה</x:v>
      </x:c>
    </x:row>
    <x:row r="115" ht="38" customHeight="1">
      <x:c r="A115" s="29" t="str">
        <x:v>192.1</x:v>
      </x:c>
      <x:c r="B115" s="28" t="n">
        <x:v>3081</x:v>
      </x:c>
      <x:c r="C115" s="17" t="str">
        <x:v>ביה"ס הריאלי - בנין וולפסון</x:v>
      </x:c>
      <x:c r="D115" s="17" t="str">
        <x:v>שד אבא חושי 15</x:v>
      </x:c>
      <x:c r="E115" s="17" t="str">
        <x:v>גבוה מאוד</x:v>
      </x:c>
      <x:c r="F115" s="25" t="str">
        <x:v>מספר קלפי בסיסי ושם אתר זהים</x:v>
      </x:c>
      <x:c r="G115" s="25" t="str">
        <x:v>הודעת הבחירות הרשמית של חיפה (2024)</x:v>
      </x:c>
      <x:c r="H115" s="25" t="n">
        <x:v>4</x:v>
      </x:c>
      <x:c r="I115" s="25" t="str">
        <x:v>192.0</x:v>
      </x:c>
      <x:c r="J115" s="25" t="str">
        <x:v>ביה"ס הריאלי -בנין וולפסון</x:v>
      </x:c>
      <x:c r="K115" s="25" t="str">
        <x:v>מוכן לעבודה</x:v>
      </x:c>
    </x:row>
    <x:row r="116" ht="38" customHeight="1">
      <x:c r="A116" s="29" t="str">
        <x:v>192.2</x:v>
      </x:c>
      <x:c r="B116" s="28" t="n">
        <x:v>3082</x:v>
      </x:c>
      <x:c r="C116" s="17" t="str">
        <x:v>ביה"ס הריאלי - בנין וולפסון</x:v>
      </x:c>
      <x:c r="D116" s="17" t="str">
        <x:v>שד אבא חושי 15</x:v>
      </x:c>
      <x:c r="E116" s="17" t="str">
        <x:v>גבוה מאוד</x:v>
      </x:c>
      <x:c r="F116" s="25" t="str">
        <x:v>מספר קלפי בסיסי ושם אתר זהים</x:v>
      </x:c>
      <x:c r="G116" s="25" t="str">
        <x:v>הודעת הבחירות הרשמית של חיפה (2024)</x:v>
      </x:c>
      <x:c r="H116" s="25" t="n">
        <x:v>4</x:v>
      </x:c>
      <x:c r="I116" s="25" t="str">
        <x:v>192.0</x:v>
      </x:c>
      <x:c r="J116" s="25" t="str">
        <x:v>ביה"ס הריאלי -בנין וולפסון</x:v>
      </x:c>
      <x:c r="K116" s="25" t="str">
        <x:v>מוכן לעבודה</x:v>
      </x:c>
    </x:row>
    <x:row r="117" ht="38" customHeight="1">
      <x:c r="A117" s="29" t="str">
        <x:v>192.3</x:v>
      </x:c>
      <x:c r="B117" s="28" t="n">
        <x:v>3083</x:v>
      </x:c>
      <x:c r="C117" s="17" t="str">
        <x:v>ביה"ס הריאלי - בנין וולפסון</x:v>
      </x:c>
      <x:c r="D117" s="17" t="str">
        <x:v>שד אבא חושי 15</x:v>
      </x:c>
      <x:c r="E117" s="17" t="str">
        <x:v>גבוה מאוד</x:v>
      </x:c>
      <x:c r="F117" s="25" t="str">
        <x:v>מספר קלפי בסיסי ושם אתר זהים</x:v>
      </x:c>
      <x:c r="G117" s="25" t="str">
        <x:v>הודעת הבחירות הרשמית של חיפה (2024)</x:v>
      </x:c>
      <x:c r="H117" s="25" t="n">
        <x:v>4</x:v>
      </x:c>
      <x:c r="I117" s="25" t="str">
        <x:v>192.0</x:v>
      </x:c>
      <x:c r="J117" s="25" t="str">
        <x:v>ביה"ס הריאלי -בנין וולפסון</x:v>
      </x:c>
      <x:c r="K117" s="25" t="str">
        <x:v>מוכן לעבודה</x:v>
      </x:c>
    </x:row>
    <x:row r="118" ht="38" customHeight="1">
      <x:c r="A118" s="29" t="str">
        <x:v>192.4</x:v>
      </x:c>
      <x:c r="B118" s="28" t="n">
        <x:v>3084</x:v>
      </x:c>
      <x:c r="C118" s="17" t="str">
        <x:v>ביה"ס הריאלי - בנין וולפסון</x:v>
      </x:c>
      <x:c r="D118" s="17" t="str">
        <x:v>שד אבא חושי 15</x:v>
      </x:c>
      <x:c r="E118" s="17" t="str">
        <x:v>גבוה מאוד</x:v>
      </x:c>
      <x:c r="F118" s="25" t="str">
        <x:v>מספר קלפי בסיסי ושם אתר זהים</x:v>
      </x:c>
      <x:c r="G118" s="25" t="str">
        <x:v>הודעת הבחירות הרשמית של חיפה (2024)</x:v>
      </x:c>
      <x:c r="H118" s="25" t="n">
        <x:v>4</x:v>
      </x:c>
      <x:c r="I118" s="25" t="str">
        <x:v>192.0</x:v>
      </x:c>
      <x:c r="J118" s="25" t="str">
        <x:v>ביה"ס הריאלי -בנין וולפסון</x:v>
      </x:c>
      <x:c r="K118" s="25" t="str">
        <x:v>מוכן לעבודה</x:v>
      </x:c>
    </x:row>
    <x:row r="119" ht="38" customHeight="1">
      <x:c r="A119" s="29" t="str">
        <x:v>194.1</x:v>
      </x:c>
      <x:c r="B119" s="28" t="n">
        <x:v>3085</x:v>
      </x:c>
      <x:c r="C119" s="17" t="str">
        <x:v>ביה"ס אחוזה (זכרון יוסף)</x:v>
      </x:c>
      <x:c r="D119" s="17" t="str">
        <x:v>שד סיני 13</x:v>
      </x:c>
      <x:c r="E119" s="17" t="str">
        <x:v>גבוה מאוד</x:v>
      </x:c>
      <x:c r="F119" s="25" t="str">
        <x:v>מספר קלפי בסיסי ושם אתר זהים</x:v>
      </x:c>
      <x:c r="G119" s="25" t="str">
        <x:v>הודעת הבחירות הרשמית של חיפה (2024)</x:v>
      </x:c>
      <x:c r="H119" s="25" t="n">
        <x:v>4</x:v>
      </x:c>
      <x:c r="I119" s="25" t="str">
        <x:v>194.0</x:v>
      </x:c>
      <x:c r="J119" s="25" t="str">
        <x:v>ביה"ס אחוזה (זכרון יוסף)</x:v>
      </x:c>
      <x:c r="K119" s="25" t="str">
        <x:v>מוכן לעבודה</x:v>
      </x:c>
    </x:row>
    <x:row r="120" ht="38" customHeight="1">
      <x:c r="A120" s="29" t="str">
        <x:v>194.2</x:v>
      </x:c>
      <x:c r="B120" s="28" t="n">
        <x:v>3086</x:v>
      </x:c>
      <x:c r="C120" s="17" t="str">
        <x:v>ביה"ס אחוזה (זכרון יוסף)</x:v>
      </x:c>
      <x:c r="D120" s="17" t="str">
        <x:v>שד סיני 13</x:v>
      </x:c>
      <x:c r="E120" s="17" t="str">
        <x:v>גבוה מאוד</x:v>
      </x:c>
      <x:c r="F120" s="25" t="str">
        <x:v>מספר קלפי בסיסי ושם אתר זהים</x:v>
      </x:c>
      <x:c r="G120" s="25" t="str">
        <x:v>הודעת הבחירות הרשמית של חיפה (2024)</x:v>
      </x:c>
      <x:c r="H120" s="25" t="n">
        <x:v>4</x:v>
      </x:c>
      <x:c r="I120" s="25" t="str">
        <x:v>194.0</x:v>
      </x:c>
      <x:c r="J120" s="25" t="str">
        <x:v>ביה"ס אחוזה (זכרון יוסף)</x:v>
      </x:c>
      <x:c r="K120" s="25" t="str">
        <x:v>מוכן לעבודה</x:v>
      </x:c>
    </x:row>
    <x:row r="121" ht="38" customHeight="1">
      <x:c r="A121" s="29" t="str">
        <x:v>194.3</x:v>
      </x:c>
      <x:c r="B121" s="28" t="n">
        <x:v>3087</x:v>
      </x:c>
      <x:c r="C121" s="17" t="str">
        <x:v>ביה"ס אחוזה (זכרון יוסף)</x:v>
      </x:c>
      <x:c r="D121" s="17" t="str">
        <x:v>שד סיני 13</x:v>
      </x:c>
      <x:c r="E121" s="17" t="str">
        <x:v>גבוה מאוד</x:v>
      </x:c>
      <x:c r="F121" s="25" t="str">
        <x:v>מספר קלפי בסיסי ושם אתר זהים</x:v>
      </x:c>
      <x:c r="G121" s="25" t="str">
        <x:v>הודעת הבחירות הרשמית של חיפה (2024)</x:v>
      </x:c>
      <x:c r="H121" s="25" t="n">
        <x:v>4</x:v>
      </x:c>
      <x:c r="I121" s="25" t="str">
        <x:v>194.0</x:v>
      </x:c>
      <x:c r="J121" s="25" t="str">
        <x:v>ביה"ס אחוזה (זכרון יוסף)</x:v>
      </x:c>
      <x:c r="K121" s="25" t="str">
        <x:v>מוכן לעבודה</x:v>
      </x:c>
    </x:row>
    <x:row r="122" ht="38" customHeight="1">
      <x:c r="A122" s="29" t="str">
        <x:v>194.4</x:v>
      </x:c>
      <x:c r="B122" s="28" t="n">
        <x:v>3088</x:v>
      </x:c>
      <x:c r="C122" s="17" t="str">
        <x:v>ביה"ס אחוזה (זכרון יוסף)</x:v>
      </x:c>
      <x:c r="D122" s="17" t="str">
        <x:v>שד סיני 13</x:v>
      </x:c>
      <x:c r="E122" s="17" t="str">
        <x:v>גבוה מאוד</x:v>
      </x:c>
      <x:c r="F122" s="25" t="str">
        <x:v>מספר קלפי בסיסי ושם אתר זהים</x:v>
      </x:c>
      <x:c r="G122" s="25" t="str">
        <x:v>הודעת הבחירות הרשמית של חיפה (2024)</x:v>
      </x:c>
      <x:c r="H122" s="25" t="n">
        <x:v>4</x:v>
      </x:c>
      <x:c r="I122" s="25" t="str">
        <x:v>194.0</x:v>
      </x:c>
      <x:c r="J122" s="25" t="str">
        <x:v>ביה"ס אחוזה (זכרון יוסף)</x:v>
      </x:c>
      <x:c r="K122" s="25" t="str">
        <x:v>מוכן לעבודה</x:v>
      </x:c>
    </x:row>
    <x:row r="123" ht="38" customHeight="1">
      <x:c r="A123" s="29" t="str">
        <x:v>194.5</x:v>
      </x:c>
      <x:c r="B123" s="28" t="n">
        <x:v>3089</x:v>
      </x:c>
      <x:c r="C123" s="17" t="str">
        <x:v>ביה"ס אחוזה (זכרון יוסף)</x:v>
      </x:c>
      <x:c r="D123" s="17" t="str">
        <x:v>שד סיני 13</x:v>
      </x:c>
      <x:c r="E123" s="17" t="str">
        <x:v>גבוה מאוד</x:v>
      </x:c>
      <x:c r="F123" s="25" t="str">
        <x:v>מספר קלפי בסיסי ושם אתר זהים</x:v>
      </x:c>
      <x:c r="G123" s="25" t="str">
        <x:v>הודעת הבחירות הרשמית של חיפה (2024)</x:v>
      </x:c>
      <x:c r="H123" s="25" t="n">
        <x:v>4</x:v>
      </x:c>
      <x:c r="I123" s="25" t="str">
        <x:v>194.0</x:v>
      </x:c>
      <x:c r="J123" s="25" t="str">
        <x:v>ביה"ס אחוזה (זכרון יוסף)</x:v>
      </x:c>
      <x:c r="K123" s="25" t="str">
        <x:v>מוכן לעבודה</x:v>
      </x:c>
    </x:row>
    <x:row r="124" ht="38" customHeight="1">
      <x:c r="A124" s="29" t="str">
        <x:v>194.6</x:v>
      </x:c>
      <x:c r="B124" s="28" t="n">
        <x:v>3090</x:v>
      </x:c>
      <x:c r="C124" s="17" t="str">
        <x:v>ביה"ס אחוזה (זכרון יוסף)</x:v>
      </x:c>
      <x:c r="D124" s="17" t="str">
        <x:v>שד סיני 13</x:v>
      </x:c>
      <x:c r="E124" s="17" t="str">
        <x:v>גבוה מאוד</x:v>
      </x:c>
      <x:c r="F124" s="25" t="str">
        <x:v>מספר קלפי בסיסי ושם אתר זהים</x:v>
      </x:c>
      <x:c r="G124" s="25" t="str">
        <x:v>הודעת הבחירות הרשמית של חיפה (2024)</x:v>
      </x:c>
      <x:c r="H124" s="25" t="n">
        <x:v>4</x:v>
      </x:c>
      <x:c r="I124" s="25" t="str">
        <x:v>194.0</x:v>
      </x:c>
      <x:c r="J124" s="25" t="str">
        <x:v>ביה"ס אחוזה (זכרון יוסף)</x:v>
      </x:c>
      <x:c r="K124" s="25" t="str">
        <x:v>מוכן לעבודה</x:v>
      </x:c>
    </x:row>
    <x:row r="125" ht="38" customHeight="1">
      <x:c r="A125" s="29" t="str">
        <x:v>195</x:v>
      </x:c>
      <x:c r="B125" s="28" t="n">
        <x:v>3047</x:v>
      </x:c>
      <x:c r="C125" s="17" t="str">
        <x:v>בי"ס רוממה</x:v>
      </x:c>
      <x:c r="D125" s="17" t="str">
        <x:v>אורן 27</x:v>
      </x:c>
      <x:c r="E125" s="17" t="str">
        <x:v>גבוה מאוד</x:v>
      </x:c>
      <x:c r="F125" s="25" t="str">
        <x:v>מספר קלפי בסיסי ושם אתר זהים</x:v>
      </x:c>
      <x:c r="G125" s="25" t="str">
        <x:v>הודעת הבחירות הרשמית של חיפה (2024)</x:v>
      </x:c>
      <x:c r="H125" s="25" t="n">
        <x:v>4</x:v>
      </x:c>
      <x:c r="I125" s="25" t="str">
        <x:v>195.0</x:v>
      </x:c>
      <x:c r="J125" s="25" t="str">
        <x:v>בי"ס רוממה</x:v>
      </x:c>
      <x:c r="K125" s="25" t="str">
        <x:v>מוכן לעבודה</x:v>
      </x:c>
    </x:row>
    <x:row r="126" ht="38" customHeight="1">
      <x:c r="A126" s="29" t="str">
        <x:v>197.1</x:v>
      </x:c>
      <x:c r="B126" s="28" t="n">
        <x:v>3091</x:v>
      </x:c>
      <x:c r="C126" s="17" t="str">
        <x:v>מרכז קהילתי</x:v>
      </x:c>
      <x:c r="D126" s="17" t="str">
        <x:v>ולנברג ראול 11</x:v>
      </x:c>
      <x:c r="E126" s="17" t="str">
        <x:v>גבוה</x:v>
      </x:c>
      <x:c r="F126" s="25" t="str">
        <x:v>שם כללי הוכרע לפי מספר הקלפי הבסיסי</x:v>
      </x:c>
      <x:c r="G126" s="25" t="str">
        <x:v>הודעת הבחירות הרשמית של חיפה (2024)</x:v>
      </x:c>
      <x:c r="H126" s="25" t="n">
        <x:v>4</x:v>
      </x:c>
      <x:c r="I126" s="25" t="str">
        <x:v>197.0</x:v>
      </x:c>
      <x:c r="J126" s="25" t="str">
        <x:v>מרכז קהילתי</x:v>
      </x:c>
      <x:c r="K126" s="25" t="str">
        <x:v>מוכן לעבודה</x:v>
      </x:c>
    </x:row>
    <x:row r="127" ht="38" customHeight="1">
      <x:c r="A127" s="29" t="str">
        <x:v>197.2</x:v>
      </x:c>
      <x:c r="B127" s="28" t="n">
        <x:v>3092</x:v>
      </x:c>
      <x:c r="C127" s="17" t="str">
        <x:v>מרכז קהילתי</x:v>
      </x:c>
      <x:c r="D127" s="17" t="str">
        <x:v>ולנברג ראול 11</x:v>
      </x:c>
      <x:c r="E127" s="17" t="str">
        <x:v>גבוה</x:v>
      </x:c>
      <x:c r="F127" s="25" t="str">
        <x:v>שם כללי הוכרע לפי מספר הקלפי הבסיסי</x:v>
      </x:c>
      <x:c r="G127" s="25" t="str">
        <x:v>הודעת הבחירות הרשמית של חיפה (2024)</x:v>
      </x:c>
      <x:c r="H127" s="25" t="n">
        <x:v>4</x:v>
      </x:c>
      <x:c r="I127" s="25" t="str">
        <x:v>197.0</x:v>
      </x:c>
      <x:c r="J127" s="25" t="str">
        <x:v>מרכז קהילתי</x:v>
      </x:c>
      <x:c r="K127" s="25" t="str">
        <x:v>מוכן לעבודה</x:v>
      </x:c>
    </x:row>
    <x:row r="128" ht="38" customHeight="1">
      <x:c r="A128" s="29" t="str">
        <x:v>198.1</x:v>
      </x:c>
      <x:c r="B128" s="28" t="n">
        <x:v>3110</x:v>
      </x:c>
      <x:c r="C128" s="17" t="str">
        <x:v>בי"ס פיכמן</x:v>
      </x:c>
      <x:c r="D128" s="17" t="str">
        <x:v>פיכמן יעקב 15</x:v>
      </x:c>
      <x:c r="E128" s="17" t="str">
        <x:v>גבוה מאוד</x:v>
      </x:c>
      <x:c r="F128" s="25" t="str">
        <x:v>מספר קלפי בסיסי ושם אתר זהים</x:v>
      </x:c>
      <x:c r="G128" s="25" t="str">
        <x:v>הודעת הבחירות הרשמית של חיפה (2024)</x:v>
      </x:c>
      <x:c r="H128" s="25" t="n">
        <x:v>4</x:v>
      </x:c>
      <x:c r="I128" s="25" t="str">
        <x:v>198.0</x:v>
      </x:c>
      <x:c r="J128" s="25" t="str">
        <x:v>בי"ס פיכמן</x:v>
      </x:c>
      <x:c r="K128" s="25" t="str">
        <x:v>מוכן לעבודה</x:v>
      </x:c>
    </x:row>
    <x:row r="129" ht="38" customHeight="1">
      <x:c r="A129" s="29" t="str">
        <x:v>198.2</x:v>
      </x:c>
      <x:c r="B129" s="28" t="n">
        <x:v>3111</x:v>
      </x:c>
      <x:c r="C129" s="17" t="str">
        <x:v>בי"ס פיכמן</x:v>
      </x:c>
      <x:c r="D129" s="17" t="str">
        <x:v>פיכמן יעקב 15</x:v>
      </x:c>
      <x:c r="E129" s="17" t="str">
        <x:v>גבוה מאוד</x:v>
      </x:c>
      <x:c r="F129" s="25" t="str">
        <x:v>מספר קלפי בסיסי ושם אתר זהים</x:v>
      </x:c>
      <x:c r="G129" s="25" t="str">
        <x:v>הודעת הבחירות הרשמית של חיפה (2024)</x:v>
      </x:c>
      <x:c r="H129" s="25" t="n">
        <x:v>4</x:v>
      </x:c>
      <x:c r="I129" s="25" t="str">
        <x:v>198.0</x:v>
      </x:c>
      <x:c r="J129" s="25" t="str">
        <x:v>בי"ס פיכמן</x:v>
      </x:c>
      <x:c r="K129" s="25" t="str">
        <x:v>מוכן לעבודה</x:v>
      </x:c>
    </x:row>
    <x:row r="130" ht="38" customHeight="1">
      <x:c r="A130" s="29" t="str">
        <x:v>198.3</x:v>
      </x:c>
      <x:c r="B130" s="28" t="n">
        <x:v>3112</x:v>
      </x:c>
      <x:c r="C130" s="17" t="str">
        <x:v>בי"ס פיכמן</x:v>
      </x:c>
      <x:c r="D130" s="17" t="str">
        <x:v>פיכמן יעקב 15</x:v>
      </x:c>
      <x:c r="E130" s="17" t="str">
        <x:v>גבוה מאוד</x:v>
      </x:c>
      <x:c r="F130" s="25" t="str">
        <x:v>מספר קלפי בסיסי ושם אתר זהים</x:v>
      </x:c>
      <x:c r="G130" s="25" t="str">
        <x:v>הודעת הבחירות הרשמית של חיפה (2024)</x:v>
      </x:c>
      <x:c r="H130" s="25" t="n">
        <x:v>4</x:v>
      </x:c>
      <x:c r="I130" s="25" t="str">
        <x:v>198.0</x:v>
      </x:c>
      <x:c r="J130" s="25" t="str">
        <x:v>בי"ס פיכמן</x:v>
      </x:c>
      <x:c r="K130" s="25" t="str">
        <x:v>מוכן לעבודה</x:v>
      </x:c>
    </x:row>
    <x:row r="131" ht="38" customHeight="1">
      <x:c r="A131" s="29" t="str">
        <x:v>198.4</x:v>
      </x:c>
      <x:c r="B131" s="28" t="n">
        <x:v>3113</x:v>
      </x:c>
      <x:c r="C131" s="17" t="str">
        <x:v>בי"ס פיכמן</x:v>
      </x:c>
      <x:c r="D131" s="17" t="str">
        <x:v>פיכמן יעקב 15</x:v>
      </x:c>
      <x:c r="E131" s="17" t="str">
        <x:v>גבוה מאוד</x:v>
      </x:c>
      <x:c r="F131" s="25" t="str">
        <x:v>מספר קלפי בסיסי ושם אתר זהים</x:v>
      </x:c>
      <x:c r="G131" s="25" t="str">
        <x:v>הודעת הבחירות הרשמית של חיפה (2024)</x:v>
      </x:c>
      <x:c r="H131" s="25" t="n">
        <x:v>4</x:v>
      </x:c>
      <x:c r="I131" s="25" t="str">
        <x:v>198.0</x:v>
      </x:c>
      <x:c r="J131" s="25" t="str">
        <x:v>בי"ס פיכמן</x:v>
      </x:c>
      <x:c r="K131" s="25" t="str">
        <x:v>מוכן לעבודה</x:v>
      </x:c>
    </x:row>
    <x:row r="132" ht="38" customHeight="1">
      <x:c r="A132" s="29" t="str">
        <x:v>198.5</x:v>
      </x:c>
      <x:c r="B132" s="28" t="n">
        <x:v>3114</x:v>
      </x:c>
      <x:c r="C132" s="17" t="str">
        <x:v>בי"ס פיכמן</x:v>
      </x:c>
      <x:c r="D132" s="17" t="str">
        <x:v>פיכמן יעקב 15</x:v>
      </x:c>
      <x:c r="E132" s="17" t="str">
        <x:v>גבוה מאוד</x:v>
      </x:c>
      <x:c r="F132" s="25" t="str">
        <x:v>מספר קלפי בסיסי ושם אתר זהים</x:v>
      </x:c>
      <x:c r="G132" s="25" t="str">
        <x:v>הודעת הבחירות הרשמית של חיפה (2024)</x:v>
      </x:c>
      <x:c r="H132" s="25" t="n">
        <x:v>4</x:v>
      </x:c>
      <x:c r="I132" s="25" t="str">
        <x:v>198.0</x:v>
      </x:c>
      <x:c r="J132" s="25" t="str">
        <x:v>בי"ס פיכמן</x:v>
      </x:c>
      <x:c r="K132" s="25" t="str">
        <x:v>מוכן לעבודה</x:v>
      </x:c>
    </x:row>
    <x:row r="133" ht="38" customHeight="1">
      <x:c r="A133" s="29" t="str">
        <x:v>199.1</x:v>
      </x:c>
      <x:c r="B133" s="28" t="n">
        <x:v>3048</x:v>
      </x:c>
      <x:c r="C133" s="17" t="str">
        <x:v>בי"ס "ריאלי" יסודי</x:v>
      </x:c>
      <x:c r="D133" s="17" t="str">
        <x:v>קריית ספר 27</x:v>
      </x:c>
      <x:c r="E133" s="17" t="str">
        <x:v>גבוה מאוד</x:v>
      </x:c>
      <x:c r="F133" s="25" t="str">
        <x:v>מספר קלפי בסיסי ושם אתר זהים</x:v>
      </x:c>
      <x:c r="G133" s="25" t="str">
        <x:v>הודעת הבחירות הרשמית של חיפה (2024)</x:v>
      </x:c>
      <x:c r="H133" s="25" t="n">
        <x:v>4</x:v>
      </x:c>
      <x:c r="I133" s="25" t="str">
        <x:v>199.0</x:v>
      </x:c>
      <x:c r="J133" s="25" t="str">
        <x:v>בי"ס "ריאלי" יסודי</x:v>
      </x:c>
      <x:c r="K133" s="25" t="str">
        <x:v>מוכן לעבודה</x:v>
      </x:c>
    </x:row>
    <x:row r="134" ht="38" customHeight="1">
      <x:c r="A134" s="29" t="str">
        <x:v>199.2</x:v>
      </x:c>
      <x:c r="B134" s="28" t="n">
        <x:v>3049</x:v>
      </x:c>
      <x:c r="C134" s="17" t="str">
        <x:v>בי"ס "ריאלי" יסודי</x:v>
      </x:c>
      <x:c r="D134" s="17" t="str">
        <x:v>קריית ספר 27</x:v>
      </x:c>
      <x:c r="E134" s="17" t="str">
        <x:v>גבוה מאוד</x:v>
      </x:c>
      <x:c r="F134" s="25" t="str">
        <x:v>מספר קלפי בסיסי ושם אתר זהים</x:v>
      </x:c>
      <x:c r="G134" s="25" t="str">
        <x:v>הודעת הבחירות הרשמית של חיפה (2024)</x:v>
      </x:c>
      <x:c r="H134" s="25" t="n">
        <x:v>4</x:v>
      </x:c>
      <x:c r="I134" s="25" t="str">
        <x:v>199.0</x:v>
      </x:c>
      <x:c r="J134" s="25" t="str">
        <x:v>בי"ס "ריאלי" יסודי</x:v>
      </x:c>
      <x:c r="K134" s="25" t="str">
        <x:v>מוכן לעבודה</x:v>
      </x:c>
    </x:row>
    <x:row r="135" ht="38" customHeight="1">
      <x:c r="A135" s="29" t="str">
        <x:v>199.3</x:v>
      </x:c>
      <x:c r="B135" s="28" t="n">
        <x:v>3050</x:v>
      </x:c>
      <x:c r="C135" s="17" t="str">
        <x:v>בי"ס "ריאלי" יסודי</x:v>
      </x:c>
      <x:c r="D135" s="17" t="str">
        <x:v>קריית ספר 27</x:v>
      </x:c>
      <x:c r="E135" s="17" t="str">
        <x:v>גבוה מאוד</x:v>
      </x:c>
      <x:c r="F135" s="25" t="str">
        <x:v>מספר קלפי בסיסי ושם אתר זהים</x:v>
      </x:c>
      <x:c r="G135" s="25" t="str">
        <x:v>הודעת הבחירות הרשמית של חיפה (2024)</x:v>
      </x:c>
      <x:c r="H135" s="25" t="n">
        <x:v>4</x:v>
      </x:c>
      <x:c r="I135" s="25" t="str">
        <x:v>199.0</x:v>
      </x:c>
      <x:c r="J135" s="25" t="str">
        <x:v>בי"ס "ריאלי" יסודי</x:v>
      </x:c>
      <x:c r="K135" s="25" t="str">
        <x:v>מוכן לעבודה</x:v>
      </x:c>
    </x:row>
    <x:row r="136" ht="38" customHeight="1">
      <x:c r="A136" s="29" t="str">
        <x:v>199.4</x:v>
      </x:c>
      <x:c r="B136" s="28" t="n">
        <x:v>3051</x:v>
      </x:c>
      <x:c r="C136" s="17" t="str">
        <x:v>בי"ס "ריאלי" יסודי</x:v>
      </x:c>
      <x:c r="D136" s="17" t="str">
        <x:v>קריית ספר 27</x:v>
      </x:c>
      <x:c r="E136" s="17" t="str">
        <x:v>גבוה מאוד</x:v>
      </x:c>
      <x:c r="F136" s="25" t="str">
        <x:v>מספר קלפי בסיסי ושם אתר זהים</x:v>
      </x:c>
      <x:c r="G136" s="25" t="str">
        <x:v>הודעת הבחירות הרשמית של חיפה (2024)</x:v>
      </x:c>
      <x:c r="H136" s="25" t="n">
        <x:v>4</x:v>
      </x:c>
      <x:c r="I136" s="25" t="str">
        <x:v>199.0</x:v>
      </x:c>
      <x:c r="J136" s="25" t="str">
        <x:v>בי"ס "ריאלי" יסודי</x:v>
      </x:c>
      <x:c r="K136" s="25" t="str">
        <x:v>מוכן לעבודה</x:v>
      </x:c>
    </x:row>
    <x:row r="137" ht="38" customHeight="1">
      <x:c r="A137" s="29" t="str">
        <x:v>200</x:v>
      </x:c>
      <x:c r="B137" s="28" t="n">
        <x:v>3052</x:v>
      </x:c>
      <x:c r="C137" s="17" t="str">
        <x:v>גן ילדים רוממה כלנית</x:v>
      </x:c>
      <x:c r="D137" s="17" t="str">
        <x:v>הצלפים 5</x:v>
      </x:c>
      <x:c r="E137" s="17" t="str">
        <x:v>גבוה מאוד</x:v>
      </x:c>
      <x:c r="F137" s="25" t="str">
        <x:v>מספר קלפי בסיסי ושם אתר זהים</x:v>
      </x:c>
      <x:c r="G137" s="25" t="str">
        <x:v>הודעת הבחירות הרשמית של חיפה (2024)</x:v>
      </x:c>
      <x:c r="H137" s="25" t="n">
        <x:v>4</x:v>
      </x:c>
      <x:c r="I137" s="25" t="str">
        <x:v>200.0</x:v>
      </x:c>
      <x:c r="J137" s="25" t="str">
        <x:v>גן ילדים רוממה כלנית</x:v>
      </x:c>
      <x:c r="K137" s="25" t="str">
        <x:v>מוכן לעבודה</x:v>
      </x:c>
    </x:row>
    <x:row r="138" ht="38" customHeight="1">
      <x:c r="A138" s="29" t="str">
        <x:v>202</x:v>
      </x:c>
      <x:c r="B138" s="28" t="n">
        <x:v>3012</x:v>
      </x:c>
      <x:c r="C138" s="17" t="str">
        <x:v>בי"ס הרצל</x:v>
      </x:c>
      <x:c r="D138" s="17" t="str">
        <x:v>צדקיהו 6</x:v>
      </x:c>
      <x:c r="E138" s="17" t="str">
        <x:v>גבוה מאוד</x:v>
      </x:c>
      <x:c r="F138" s="25" t="str">
        <x:v>מספר קלפי בסיסי ושם אתר זהים</x:v>
      </x:c>
      <x:c r="G138" s="25" t="str">
        <x:v>הודעת הבחירות הרשמית של חיפה (2024)</x:v>
      </x:c>
      <x:c r="H138" s="25" t="n">
        <x:v>4</x:v>
      </x:c>
      <x:c r="I138" s="25" t="str">
        <x:v>202.0</x:v>
      </x:c>
      <x:c r="J138" s="25" t="str">
        <x:v>בי"ס הרצל</x:v>
      </x:c>
      <x:c r="K138" s="25" t="str">
        <x:v>מוכן לעבודה</x:v>
      </x:c>
    </x:row>
    <x:row r="139" ht="38" customHeight="1">
      <x:c r="A139" s="29" t="str">
        <x:v>203.1</x:v>
      </x:c>
      <x:c r="B139" s="28" t="n">
        <x:v>3013</x:v>
      </x:c>
      <x:c r="C139" s="17" t="str">
        <x:v>ביס דוד ילין</x:v>
      </x:c>
      <x:c r="D139" s="17" t="str">
        <x:v>כ"ץ יאיר 12</x:v>
      </x:c>
      <x:c r="E139" s="17" t="str">
        <x:v>גבוה מאוד</x:v>
      </x:c>
      <x:c r="F139" s="25" t="str">
        <x:v>מספר קלפי בסיסי ושם אתר זהים</x:v>
      </x:c>
      <x:c r="G139" s="25" t="str">
        <x:v>הודעת הבחירות הרשמית של חיפה (2024)</x:v>
      </x:c>
      <x:c r="H139" s="25" t="n">
        <x:v>4</x:v>
      </x:c>
      <x:c r="I139" s="25" t="str">
        <x:v>203.0</x:v>
      </x:c>
      <x:c r="J139" s="25" t="str">
        <x:v>ביס דוד ילין</x:v>
      </x:c>
      <x:c r="K139" s="25" t="str">
        <x:v>מוכן לעבודה</x:v>
      </x:c>
    </x:row>
    <x:row r="140" ht="38" customHeight="1">
      <x:c r="A140" s="29" t="str">
        <x:v>203.2</x:v>
      </x:c>
      <x:c r="B140" s="28" t="n">
        <x:v>3014</x:v>
      </x:c>
      <x:c r="C140" s="17" t="str">
        <x:v>ביס דוד ילין</x:v>
      </x:c>
      <x:c r="D140" s="17" t="str">
        <x:v>כ"ץ יאיר 12</x:v>
      </x:c>
      <x:c r="E140" s="17" t="str">
        <x:v>גבוה מאוד</x:v>
      </x:c>
      <x:c r="F140" s="25" t="str">
        <x:v>מספר קלפי בסיסי ושם אתר זהים</x:v>
      </x:c>
      <x:c r="G140" s="25" t="str">
        <x:v>הודעת הבחירות הרשמית של חיפה (2024)</x:v>
      </x:c>
      <x:c r="H140" s="25" t="n">
        <x:v>4</x:v>
      </x:c>
      <x:c r="I140" s="25" t="str">
        <x:v>203.0</x:v>
      </x:c>
      <x:c r="J140" s="25" t="str">
        <x:v>ביס דוד ילין</x:v>
      </x:c>
      <x:c r="K140" s="25" t="str">
        <x:v>מוכן לעבודה</x:v>
      </x:c>
    </x:row>
    <x:row r="141" ht="38" customHeight="1">
      <x:c r="A141" s="29" t="str">
        <x:v>203.3</x:v>
      </x:c>
      <x:c r="B141" s="28" t="n">
        <x:v>3015</x:v>
      </x:c>
      <x:c r="C141" s="17" t="str">
        <x:v>ביס דוד ילין</x:v>
      </x:c>
      <x:c r="D141" s="17" t="str">
        <x:v>כ"ץ יאיר 12</x:v>
      </x:c>
      <x:c r="E141" s="17" t="str">
        <x:v>גבוה מאוד</x:v>
      </x:c>
      <x:c r="F141" s="25" t="str">
        <x:v>מספר קלפי בסיסי ושם אתר זהים</x:v>
      </x:c>
      <x:c r="G141" s="25" t="str">
        <x:v>הודעת הבחירות הרשמית של חיפה (2024)</x:v>
      </x:c>
      <x:c r="H141" s="25" t="n">
        <x:v>4</x:v>
      </x:c>
      <x:c r="I141" s="25" t="str">
        <x:v>203.0</x:v>
      </x:c>
      <x:c r="J141" s="25" t="str">
        <x:v>ביס דוד ילין</x:v>
      </x:c>
      <x:c r="K141" s="25" t="str">
        <x:v>מוכן לעבודה</x:v>
      </x:c>
    </x:row>
    <x:row r="142" ht="38" customHeight="1">
      <x:c r="A142" s="29" t="str">
        <x:v>212.1</x:v>
      </x:c>
      <x:c r="B142" s="28" t="n">
        <x:v>3016</x:v>
      </x:c>
      <x:c r="C142" s="17" t="str">
        <x:v>בית ספר הרצל - שלוחה</x:v>
      </x:c>
      <x:c r="D142" s="17" t="str">
        <x:v>לוטוס 16</x:v>
      </x:c>
      <x:c r="E142" s="17" t="str">
        <x:v>גבוה מאוד</x:v>
      </x:c>
      <x:c r="F142" s="25" t="str">
        <x:v>מספר קלפי בסיסי ושם אתר זהים</x:v>
      </x:c>
      <x:c r="G142" s="25" t="str">
        <x:v>הודעת הבחירות הרשמית של חיפה (2024)</x:v>
      </x:c>
      <x:c r="H142" s="25" t="n">
        <x:v>4</x:v>
      </x:c>
      <x:c r="I142" s="25" t="str">
        <x:v>212.0</x:v>
      </x:c>
      <x:c r="J142" s="25" t="str">
        <x:v>בית ספר הרצל -שלוחה</x:v>
      </x:c>
      <x:c r="K142" s="25" t="str">
        <x:v>מוכן לעבודה</x:v>
      </x:c>
    </x:row>
    <x:row r="143" ht="38" customHeight="1">
      <x:c r="A143" s="29" t="str">
        <x:v>212.2</x:v>
      </x:c>
      <x:c r="B143" s="28" t="n">
        <x:v>3017</x:v>
      </x:c>
      <x:c r="C143" s="17" t="str">
        <x:v>בית ספר הרצל - שלוחה</x:v>
      </x:c>
      <x:c r="D143" s="17" t="str">
        <x:v>לוטוס 16</x:v>
      </x:c>
      <x:c r="E143" s="17" t="str">
        <x:v>גבוה מאוד</x:v>
      </x:c>
      <x:c r="F143" s="25" t="str">
        <x:v>מספר קלפי בסיסי ושם אתר זהים</x:v>
      </x:c>
      <x:c r="G143" s="25" t="str">
        <x:v>הודעת הבחירות הרשמית של חיפה (2024)</x:v>
      </x:c>
      <x:c r="H143" s="25" t="n">
        <x:v>4</x:v>
      </x:c>
      <x:c r="I143" s="25" t="str">
        <x:v>212.0</x:v>
      </x:c>
      <x:c r="J143" s="25" t="str">
        <x:v>בית ספר הרצל -שלוחה</x:v>
      </x:c>
      <x:c r="K143" s="25" t="str">
        <x:v>מוכן לעבודה</x:v>
      </x:c>
    </x:row>
    <x:row r="144" ht="38" customHeight="1">
      <x:c r="A144" s="29" t="str">
        <x:v>212.3</x:v>
      </x:c>
      <x:c r="B144" s="28" t="n">
        <x:v>3018</x:v>
      </x:c>
      <x:c r="C144" s="17" t="str">
        <x:v>בית ספר הרצל - שלוחה</x:v>
      </x:c>
      <x:c r="D144" s="17" t="str">
        <x:v>לוטוס 16</x:v>
      </x:c>
      <x:c r="E144" s="17" t="str">
        <x:v>גבוה מאוד</x:v>
      </x:c>
      <x:c r="F144" s="25" t="str">
        <x:v>מספר קלפי בסיסי ושם אתר זהים</x:v>
      </x:c>
      <x:c r="G144" s="25" t="str">
        <x:v>הודעת הבחירות הרשמית של חיפה (2024)</x:v>
      </x:c>
      <x:c r="H144" s="25" t="n">
        <x:v>4</x:v>
      </x:c>
      <x:c r="I144" s="25" t="str">
        <x:v>212.0</x:v>
      </x:c>
      <x:c r="J144" s="25" t="str">
        <x:v>בית ספר הרצל -שלוחה</x:v>
      </x:c>
      <x:c r="K144" s="25" t="str">
        <x:v>מוכן לעבודה</x:v>
      </x:c>
    </x:row>
    <x:row r="145" ht="38" customHeight="1">
      <x:c r="A145" s="29" t="str">
        <x:v>213</x:v>
      </x:c>
      <x:c r="B145" s="28" t="n">
        <x:v>3019</x:v>
      </x:c>
      <x:c r="C145" s="17" t="str">
        <x:v>בי"ס הרצל</x:v>
      </x:c>
      <x:c r="D145" s="17" t="str">
        <x:v>צדקיהו 6</x:v>
      </x:c>
      <x:c r="E145" s="17" t="str">
        <x:v>גבוה מאוד</x:v>
      </x:c>
      <x:c r="F145" s="25" t="str">
        <x:v>מספר קלפי בסיסי ושם אתר זהים</x:v>
      </x:c>
      <x:c r="G145" s="25" t="str">
        <x:v>הודעת הבחירות הרשמית של חיפה (2024)</x:v>
      </x:c>
      <x:c r="H145" s="25" t="n">
        <x:v>4</x:v>
      </x:c>
      <x:c r="I145" s="25" t="str">
        <x:v>213.0</x:v>
      </x:c>
      <x:c r="J145" s="25" t="str">
        <x:v>בי"ס הרצל</x:v>
      </x:c>
      <x:c r="K145" s="25" t="str">
        <x:v>מוכן לעבודה</x:v>
      </x:c>
    </x:row>
    <x:row r="146" ht="38" customHeight="1">
      <x:c r="A146" s="29" t="str">
        <x:v>214</x:v>
      </x:c>
      <x:c r="B146" s="28" t="n">
        <x:v>3020</x:v>
      </x:c>
      <x:c r="C146" s="17" t="str">
        <x:v>בי"ס הרצל</x:v>
      </x:c>
      <x:c r="D146" s="17" t="str">
        <x:v>צדקיהו 6</x:v>
      </x:c>
      <x:c r="E146" s="17" t="str">
        <x:v>גבוה מאוד</x:v>
      </x:c>
      <x:c r="F146" s="25" t="str">
        <x:v>מספר קלפי בסיסי ושם אתר זהים</x:v>
      </x:c>
      <x:c r="G146" s="25" t="str">
        <x:v>הודעת הבחירות הרשמית של חיפה (2024)</x:v>
      </x:c>
      <x:c r="H146" s="25" t="n">
        <x:v>4</x:v>
      </x:c>
      <x:c r="I146" s="25" t="str">
        <x:v>214.0</x:v>
      </x:c>
      <x:c r="J146" s="25" t="str">
        <x:v>בי"ס הרצל</x:v>
      </x:c>
      <x:c r="K146" s="25" t="str">
        <x:v>מוכן לעבודה</x:v>
      </x:c>
    </x:row>
    <x:row r="147" ht="38" customHeight="1">
      <x:c r="A147" s="29" t="str">
        <x:v>216</x:v>
      </x:c>
      <x:c r="B147" s="28" t="n">
        <x:v>3021</x:v>
      </x:c>
      <x:c r="C147" s="17" t="str">
        <x:v>גן שקמה</x:v>
      </x:c>
      <x:c r="D147" s="17" t="str">
        <x:v>הלילך 26</x:v>
      </x:c>
      <x:c r="E147" s="17" t="str">
        <x:v>גבוה מאוד</x:v>
      </x:c>
      <x:c r="F147" s="25" t="str">
        <x:v>מספר קלפי בסיסי ושם אתר זהים</x:v>
      </x:c>
      <x:c r="G147" s="25" t="str">
        <x:v>הודעת הבחירות הרשמית של חיפה (2024)</x:v>
      </x:c>
      <x:c r="H147" s="25" t="n">
        <x:v>4</x:v>
      </x:c>
      <x:c r="I147" s="25" t="str">
        <x:v>216.0</x:v>
      </x:c>
      <x:c r="J147" s="25" t="str">
        <x:v>גן שקמה</x:v>
      </x:c>
      <x:c r="K147" s="25" t="str">
        <x:v>מוכן לעבודה</x:v>
      </x:c>
    </x:row>
    <x:row r="148" ht="38" customHeight="1">
      <x:c r="A148" s="29" t="str">
        <x:v>219</x:v>
      </x:c>
      <x:c r="B148" s="28" t="n">
        <x:v>2951</x:v>
      </x:c>
      <x:c r="C148" s="17" t="str">
        <x:v>בי"ס אילנשיל אופקים</x:v>
      </x:c>
      <x:c r="D148" s="17" t="str">
        <x:v>דרך הים 44</x:v>
      </x:c>
      <x:c r="E148" s="17" t="str">
        <x:v>גבוה מאוד</x:v>
      </x:c>
      <x:c r="F148" s="25" t="str">
        <x:v>מספר קלפי בסיסי ושם אתר זהים</x:v>
      </x:c>
      <x:c r="G148" s="25" t="str">
        <x:v>הודעת הבחירות הרשמית של חיפה (2024)</x:v>
      </x:c>
      <x:c r="H148" s="25" t="n">
        <x:v>4</x:v>
      </x:c>
      <x:c r="I148" s="25" t="str">
        <x:v>219.0</x:v>
      </x:c>
      <x:c r="J148" s="25" t="str">
        <x:v>בי"ס אילנשיל אופקים</x:v>
      </x:c>
      <x:c r="K148" s="25" t="str">
        <x:v>מוכן לעבודה</x:v>
      </x:c>
    </x:row>
    <x:row r="149" ht="38" customHeight="1">
      <x:c r="A149" s="29" t="str">
        <x:v>220</x:v>
      </x:c>
      <x:c r="B149" s="28" t="n">
        <x:v>2952</x:v>
      </x:c>
      <x:c r="C149" s="17" t="str">
        <x:v>בי"ס אילנשיל אופקים</x:v>
      </x:c>
      <x:c r="D149" s="17" t="str">
        <x:v>דרך הים 44</x:v>
      </x:c>
      <x:c r="E149" s="17" t="str">
        <x:v>גבוה מאוד</x:v>
      </x:c>
      <x:c r="F149" s="25" t="str">
        <x:v>מספר קלפי בסיסי ושם אתר זהים</x:v>
      </x:c>
      <x:c r="G149" s="25" t="str">
        <x:v>הודעת הבחירות הרשמית של חיפה (2024)</x:v>
      </x:c>
      <x:c r="H149" s="25" t="n">
        <x:v>4</x:v>
      </x:c>
      <x:c r="I149" s="25" t="str">
        <x:v>220.0</x:v>
      </x:c>
      <x:c r="J149" s="25" t="str">
        <x:v>בי"ס אילנשיל אופקים</x:v>
      </x:c>
      <x:c r="K149" s="25" t="str">
        <x:v>מוכן לעבודה</x:v>
      </x:c>
    </x:row>
    <x:row r="150" ht="38" customHeight="1">
      <x:c r="A150" s="29" t="str">
        <x:v>227</x:v>
      </x:c>
      <x:c r="B150" s="28" t="n">
        <x:v>2999</x:v>
      </x:c>
      <x:c r="C150" s="17" t="str">
        <x:v>בי"ס חופית</x:v>
      </x:c>
      <x:c r="D150" s="17" t="str">
        <x:v>החיננית 3</x:v>
      </x:c>
      <x:c r="E150" s="17" t="str">
        <x:v>גבוה מאוד</x:v>
      </x:c>
      <x:c r="F150" s="25" t="str">
        <x:v>מספר קלפי בסיסי ושם אתר זהים</x:v>
      </x:c>
      <x:c r="G150" s="25" t="str">
        <x:v>הודעת הבחירות הרשמית של חיפה (2024)</x:v>
      </x:c>
      <x:c r="H150" s="25" t="n">
        <x:v>5</x:v>
      </x:c>
      <x:c r="I150" s="25" t="str">
        <x:v>227.0</x:v>
      </x:c>
      <x:c r="J150" s="25" t="str">
        <x:v>בי"ס חופית</x:v>
      </x:c>
      <x:c r="K150" s="25" t="str">
        <x:v>מוכן לעבודה</x:v>
      </x:c>
    </x:row>
    <x:row r="151" ht="38" customHeight="1">
      <x:c r="A151" s="29" t="str">
        <x:v>228</x:v>
      </x:c>
      <x:c r="B151" s="28" t="n">
        <x:v>2953</x:v>
      </x:c>
      <x:c r="C151" s="17" t="str">
        <x:v>בי"ס אבן גבירול</x:v>
      </x:c>
      <x:c r="D151" s="17" t="str">
        <x:v>בודנהיימר מקס ד"ר 7</x:v>
      </x:c>
      <x:c r="E151" s="17" t="str">
        <x:v>גבוה מאוד</x:v>
      </x:c>
      <x:c r="F151" s="25" t="str">
        <x:v>מספר קלפי בסיסי ושם אתר זהים</x:v>
      </x:c>
      <x:c r="G151" s="25" t="str">
        <x:v>הודעת הבחירות הרשמית של חיפה (2024)</x:v>
      </x:c>
      <x:c r="H151" s="25" t="n">
        <x:v>5</x:v>
      </x:c>
      <x:c r="I151" s="25" t="str">
        <x:v>228.0</x:v>
      </x:c>
      <x:c r="J151" s="25" t="str">
        <x:v>בי"ס אבן גבירול</x:v>
      </x:c>
      <x:c r="K151" s="25" t="str">
        <x:v>מוכן לעבודה</x:v>
      </x:c>
    </x:row>
    <x:row r="152" ht="38" customHeight="1">
      <x:c r="A152" s="29" t="str">
        <x:v>229</x:v>
      </x:c>
      <x:c r="B152" s="28" t="n">
        <x:v>2954</x:v>
      </x:c>
      <x:c r="C152" s="17" t="str">
        <x:v>בי"ס אבן גבירול</x:v>
      </x:c>
      <x:c r="D152" s="17" t="str">
        <x:v>בודנהיימר מקס ד"ר 7</x:v>
      </x:c>
      <x:c r="E152" s="17" t="str">
        <x:v>גבוה מאוד</x:v>
      </x:c>
      <x:c r="F152" s="25" t="str">
        <x:v>מספר קלפי בסיסי ושם אתר זהים</x:v>
      </x:c>
      <x:c r="G152" s="25" t="str">
        <x:v>הודעת הבחירות הרשמית של חיפה (2024)</x:v>
      </x:c>
      <x:c r="H152" s="25" t="n">
        <x:v>5</x:v>
      </x:c>
      <x:c r="I152" s="25" t="str">
        <x:v>229.0</x:v>
      </x:c>
      <x:c r="J152" s="25" t="str">
        <x:v>בי"ס אבן גבירול</x:v>
      </x:c>
      <x:c r="K152" s="25" t="str">
        <x:v>מוכן לעבודה</x:v>
      </x:c>
    </x:row>
    <x:row r="153" ht="38" customHeight="1">
      <x:c r="A153" s="29" t="str">
        <x:v>231.1</x:v>
      </x:c>
      <x:c r="B153" s="28" t="n">
        <x:v>2955</x:v>
      </x:c>
      <x:c r="C153" s="17" t="str">
        <x:v>בי"ס ליאו בק + מתנ"ס</x:v>
      </x:c>
      <x:c r="D153" s="17" t="str">
        <x:v>טשרניחובסקי 71</x:v>
      </x:c>
      <x:c r="E153" s="17" t="str">
        <x:v>גבוה מאוד</x:v>
      </x:c>
      <x:c r="F153" s="25" t="str">
        <x:v>מספר קלפי בסיסי ושם אתר זהים</x:v>
      </x:c>
      <x:c r="G153" s="25" t="str">
        <x:v>הודעת הבחירות הרשמית של חיפה (2024)</x:v>
      </x:c>
      <x:c r="H153" s="25" t="n">
        <x:v>5</x:v>
      </x:c>
      <x:c r="I153" s="25" t="str">
        <x:v>231.0</x:v>
      </x:c>
      <x:c r="J153" s="25" t="str">
        <x:v>בי"ס ליאו בק +מתנ"ס</x:v>
      </x:c>
      <x:c r="K153" s="25" t="str">
        <x:v>מוכן לעבודה</x:v>
      </x:c>
    </x:row>
    <x:row r="154" ht="38" customHeight="1">
      <x:c r="A154" s="29" t="str">
        <x:v>231.2</x:v>
      </x:c>
      <x:c r="B154" s="28" t="n">
        <x:v>2956</x:v>
      </x:c>
      <x:c r="C154" s="17" t="str">
        <x:v>בי"ס ליאו בק + מתנ"ס</x:v>
      </x:c>
      <x:c r="D154" s="17" t="str">
        <x:v>טשרניחובסקי 71</x:v>
      </x:c>
      <x:c r="E154" s="17" t="str">
        <x:v>גבוה מאוד</x:v>
      </x:c>
      <x:c r="F154" s="25" t="str">
        <x:v>מספר קלפי בסיסי ושם אתר זהים</x:v>
      </x:c>
      <x:c r="G154" s="25" t="str">
        <x:v>הודעת הבחירות הרשמית של חיפה (2024)</x:v>
      </x:c>
      <x:c r="H154" s="25" t="n">
        <x:v>5</x:v>
      </x:c>
      <x:c r="I154" s="25" t="str">
        <x:v>231.0</x:v>
      </x:c>
      <x:c r="J154" s="25" t="str">
        <x:v>בי"ס ליאו בק +מתנ"ס</x:v>
      </x:c>
      <x:c r="K154" s="25" t="str">
        <x:v>מוכן לעבודה</x:v>
      </x:c>
    </x:row>
    <x:row r="155" ht="38" customHeight="1">
      <x:c r="A155" s="29" t="str">
        <x:v>231.3</x:v>
      </x:c>
      <x:c r="B155" s="28" t="n">
        <x:v>2957</x:v>
      </x:c>
      <x:c r="C155" s="17" t="str">
        <x:v>בי"ס ליאו בק + מתנ"ס</x:v>
      </x:c>
      <x:c r="D155" s="17" t="str">
        <x:v>טשרניחובסקי 71</x:v>
      </x:c>
      <x:c r="E155" s="17" t="str">
        <x:v>גבוה מאוד</x:v>
      </x:c>
      <x:c r="F155" s="25" t="str">
        <x:v>מספר קלפי בסיסי ושם אתר זהים</x:v>
      </x:c>
      <x:c r="G155" s="25" t="str">
        <x:v>הודעת הבחירות הרשמית של חיפה (2024)</x:v>
      </x:c>
      <x:c r="H155" s="25" t="n">
        <x:v>5</x:v>
      </x:c>
      <x:c r="I155" s="25" t="str">
        <x:v>231.0</x:v>
      </x:c>
      <x:c r="J155" s="25" t="str">
        <x:v>בי"ס ליאו בק +מתנ"ס</x:v>
      </x:c>
      <x:c r="K155" s="25" t="str">
        <x:v>מוכן לעבודה</x:v>
      </x:c>
    </x:row>
    <x:row r="156" ht="38" customHeight="1">
      <x:c r="A156" s="29" t="str">
        <x:v>232</x:v>
      </x:c>
      <x:c r="B156" s="28" t="n">
        <x:v>2958</x:v>
      </x:c>
      <x:c r="C156" s="17" t="str">
        <x:v>מרכז קריגר</x:v>
      </x:c>
      <x:c r="D156" s="17" t="str">
        <x:v>חכים אליהו 6</x:v>
      </x:c>
      <x:c r="E156" s="17" t="str">
        <x:v>גבוה מאוד</x:v>
      </x:c>
      <x:c r="F156" s="25" t="str">
        <x:v>מספר קלפי בסיסי ושם אתר זהים</x:v>
      </x:c>
      <x:c r="G156" s="25" t="str">
        <x:v>הודעת הבחירות הרשמית של חיפה (2024)</x:v>
      </x:c>
      <x:c r="H156" s="25" t="n">
        <x:v>5</x:v>
      </x:c>
      <x:c r="I156" s="25" t="str">
        <x:v>232.0</x:v>
      </x:c>
      <x:c r="J156" s="25" t="str">
        <x:v>מרכז קריגר</x:v>
      </x:c>
      <x:c r="K156" s="25" t="str">
        <x:v>מוכן לעבודה</x:v>
      </x:c>
    </x:row>
    <x:row r="157" ht="38" customHeight="1">
      <x:c r="A157" s="29" t="str">
        <x:v>235</x:v>
      </x:c>
      <x:c r="B157" s="28" t="n">
        <x:v>2959</x:v>
      </x:c>
      <x:c r="C157" s="17" t="str">
        <x:v>מתחם גני ילדים</x:v>
      </x:c>
      <x:c r="D157" s="17" t="str">
        <x:v>הרקפות 11</x:v>
      </x:c>
      <x:c r="E157" s="17" t="str">
        <x:v>גבוה מאוד</x:v>
      </x:c>
      <x:c r="F157" s="25" t="str">
        <x:v>מספר קלפי בסיסי ושם אתר זהים</x:v>
      </x:c>
      <x:c r="G157" s="25" t="str">
        <x:v>הודעת הבחירות הרשמית של חיפה (2024)</x:v>
      </x:c>
      <x:c r="H157" s="25" t="n">
        <x:v>5</x:v>
      </x:c>
      <x:c r="I157" s="25" t="str">
        <x:v>235.0</x:v>
      </x:c>
      <x:c r="J157" s="25" t="str">
        <x:v>מתחם גני ילדים</x:v>
      </x:c>
      <x:c r="K157" s="25" t="str">
        <x:v>מוכן לעבודה</x:v>
      </x:c>
    </x:row>
    <x:row r="158" ht="38" customHeight="1">
      <x:c r="A158" s="29" t="str">
        <x:v>236.1</x:v>
      </x:c>
      <x:c r="B158" s="28" t="n">
        <x:v>2960</x:v>
      </x:c>
      <x:c r="C158" s="17" t="str">
        <x:v>בי"ס גיל</x:v>
      </x:c>
      <x:c r="D158" s="17" t="str">
        <x:v>התשבי 34</x:v>
      </x:c>
      <x:c r="E158" s="17" t="str">
        <x:v>גבוה מאוד</x:v>
      </x:c>
      <x:c r="F158" s="25" t="str">
        <x:v>מספר קלפי בסיסי ושם אתר זהים</x:v>
      </x:c>
      <x:c r="G158" s="25" t="str">
        <x:v>הודעת הבחירות הרשמית של חיפה (2024)</x:v>
      </x:c>
      <x:c r="H158" s="25" t="n">
        <x:v>5</x:v>
      </x:c>
      <x:c r="I158" s="25" t="str">
        <x:v>236.0</x:v>
      </x:c>
      <x:c r="J158" s="25" t="str">
        <x:v>בי"ס גיל</x:v>
      </x:c>
      <x:c r="K158" s="25" t="str">
        <x:v>מוכן לעבודה</x:v>
      </x:c>
    </x:row>
    <x:row r="159" ht="38" customHeight="1">
      <x:c r="A159" s="29" t="str">
        <x:v>236.2</x:v>
      </x:c>
      <x:c r="B159" s="28" t="n">
        <x:v>2961</x:v>
      </x:c>
      <x:c r="C159" s="17" t="str">
        <x:v>בי"ס גיל</x:v>
      </x:c>
      <x:c r="D159" s="17" t="str">
        <x:v>התשבי 34</x:v>
      </x:c>
      <x:c r="E159" s="17" t="str">
        <x:v>גבוה מאוד</x:v>
      </x:c>
      <x:c r="F159" s="25" t="str">
        <x:v>מספר קלפי בסיסי ושם אתר זהים</x:v>
      </x:c>
      <x:c r="G159" s="25" t="str">
        <x:v>הודעת הבחירות הרשמית של חיפה (2024)</x:v>
      </x:c>
      <x:c r="H159" s="25" t="n">
        <x:v>5</x:v>
      </x:c>
      <x:c r="I159" s="25" t="str">
        <x:v>236.0</x:v>
      </x:c>
      <x:c r="J159" s="25" t="str">
        <x:v>בי"ס גיל</x:v>
      </x:c>
      <x:c r="K159" s="25" t="str">
        <x:v>מוכן לעבודה</x:v>
      </x:c>
    </x:row>
    <x:row r="160" ht="38" customHeight="1">
      <x:c r="A160" s="29" t="str">
        <x:v>236.3</x:v>
      </x:c>
      <x:c r="B160" s="28" t="n">
        <x:v>2962</x:v>
      </x:c>
      <x:c r="C160" s="17" t="str">
        <x:v>בי"ס גיל</x:v>
      </x:c>
      <x:c r="D160" s="17" t="str">
        <x:v>התשבי 34</x:v>
      </x:c>
      <x:c r="E160" s="17" t="str">
        <x:v>גבוה מאוד</x:v>
      </x:c>
      <x:c r="F160" s="25" t="str">
        <x:v>מספר קלפי בסיסי ושם אתר זהים</x:v>
      </x:c>
      <x:c r="G160" s="25" t="str">
        <x:v>הודעת הבחירות הרשמית של חיפה (2024)</x:v>
      </x:c>
      <x:c r="H160" s="25" t="n">
        <x:v>5</x:v>
      </x:c>
      <x:c r="I160" s="25" t="str">
        <x:v>236.0</x:v>
      </x:c>
      <x:c r="J160" s="25" t="str">
        <x:v>בי"ס גיל</x:v>
      </x:c>
      <x:c r="K160" s="25" t="str">
        <x:v>מוכן לעבודה</x:v>
      </x:c>
    </x:row>
    <x:row r="161" ht="38" customHeight="1">
      <x:c r="A161" s="29" t="str">
        <x:v>236.4</x:v>
      </x:c>
      <x:c r="B161" s="28" t="n">
        <x:v>2963</x:v>
      </x:c>
      <x:c r="C161" s="17" t="str">
        <x:v>בי"ס גיל</x:v>
      </x:c>
      <x:c r="D161" s="17" t="str">
        <x:v>התשבי 34</x:v>
      </x:c>
      <x:c r="E161" s="17" t="str">
        <x:v>גבוה מאוד</x:v>
      </x:c>
      <x:c r="F161" s="25" t="str">
        <x:v>מספר קלפי בסיסי ושם אתר זהים</x:v>
      </x:c>
      <x:c r="G161" s="25" t="str">
        <x:v>הודעת הבחירות הרשמית של חיפה (2024)</x:v>
      </x:c>
      <x:c r="H161" s="25" t="n">
        <x:v>5</x:v>
      </x:c>
      <x:c r="I161" s="25" t="str">
        <x:v>236.0</x:v>
      </x:c>
      <x:c r="J161" s="25" t="str">
        <x:v>בי"ס גיל</x:v>
      </x:c>
      <x:c r="K161" s="25" t="str">
        <x:v>מוכן לעבודה</x:v>
      </x:c>
    </x:row>
    <x:row r="162" ht="38" customHeight="1">
      <x:c r="A162" s="29" t="str">
        <x:v>236.5</x:v>
      </x:c>
      <x:c r="B162" s="28" t="n">
        <x:v>2964</x:v>
      </x:c>
      <x:c r="C162" s="17" t="str">
        <x:v>בי"ס גיל</x:v>
      </x:c>
      <x:c r="D162" s="17" t="str">
        <x:v>התשבי 34</x:v>
      </x:c>
      <x:c r="E162" s="17" t="str">
        <x:v>גבוה מאוד</x:v>
      </x:c>
      <x:c r="F162" s="25" t="str">
        <x:v>מספר קלפי בסיסי ושם אתר זהים</x:v>
      </x:c>
      <x:c r="G162" s="25" t="str">
        <x:v>הודעת הבחירות הרשמית של חיפה (2024)</x:v>
      </x:c>
      <x:c r="H162" s="25" t="n">
        <x:v>5</x:v>
      </x:c>
      <x:c r="I162" s="25" t="str">
        <x:v>236.0</x:v>
      </x:c>
      <x:c r="J162" s="25" t="str">
        <x:v>בי"ס גיל</x:v>
      </x:c>
      <x:c r="K162" s="25" t="str">
        <x:v>מוכן לעבודה</x:v>
      </x:c>
    </x:row>
    <x:row r="163" ht="38" customHeight="1">
      <x:c r="A163" s="29" t="str">
        <x:v>241</x:v>
      </x:c>
      <x:c r="B163" s="28" t="n">
        <x:v>3022</x:v>
      </x:c>
      <x:c r="C163" s="17" t="str">
        <x:v>גן מעין</x:v>
      </x:c>
      <x:c r="D163" s="17" t="str">
        <x:v>לאה 11</x:v>
      </x:c>
      <x:c r="E163" s="17" t="str">
        <x:v>גבוה מאוד</x:v>
      </x:c>
      <x:c r="F163" s="25" t="str">
        <x:v>מספר קלפי בסיסי ושם אתר זהים</x:v>
      </x:c>
      <x:c r="G163" s="25" t="str">
        <x:v>הודעת הבחירות הרשמית של חיפה (2024)</x:v>
      </x:c>
      <x:c r="H163" s="25" t="n">
        <x:v>5</x:v>
      </x:c>
      <x:c r="I163" s="25" t="str">
        <x:v>241.0</x:v>
      </x:c>
      <x:c r="J163" s="25" t="str">
        <x:v>גן מעין</x:v>
      </x:c>
      <x:c r="K163" s="25" t="str">
        <x:v>מוכן לעבודה</x:v>
      </x:c>
    </x:row>
    <x:row r="164" ht="38" customHeight="1">
      <x:c r="A164" s="29" t="str">
        <x:v>244</x:v>
      </x:c>
      <x:c r="B164" s="28" t="n">
        <x:v>2965</x:v>
      </x:c>
      <x:c r="C164" s="17" t="str">
        <x:v>בי"ס אבן גבירול</x:v>
      </x:c>
      <x:c r="D164" s="17" t="str">
        <x:v>בודנהיימר מקס ד"ר 7</x:v>
      </x:c>
      <x:c r="E164" s="17" t="str">
        <x:v>גבוה מאוד</x:v>
      </x:c>
      <x:c r="F164" s="25" t="str">
        <x:v>מספר קלפי בסיסי ושם אתר זהים</x:v>
      </x:c>
      <x:c r="G164" s="25" t="str">
        <x:v>הודעת הבחירות הרשמית של חיפה (2024)</x:v>
      </x:c>
      <x:c r="H164" s="25" t="n">
        <x:v>5</x:v>
      </x:c>
      <x:c r="I164" s="25" t="str">
        <x:v>244.0</x:v>
      </x:c>
      <x:c r="J164" s="25" t="str">
        <x:v>בי"ס אבן גבירול</x:v>
      </x:c>
      <x:c r="K164" s="25" t="str">
        <x:v>מוכן לעבודה</x:v>
      </x:c>
    </x:row>
    <x:row r="165" ht="38" customHeight="1">
      <x:c r="A165" s="29" t="str">
        <x:v>245</x:v>
      </x:c>
      <x:c r="B165" s="28" t="n">
        <x:v>3000</x:v>
      </x:c>
      <x:c r="C165" s="17" t="str">
        <x:v>בי"ס חופית</x:v>
      </x:c>
      <x:c r="D165" s="17" t="str">
        <x:v>החיננית 3</x:v>
      </x:c>
      <x:c r="E165" s="17" t="str">
        <x:v>גבוה מאוד</x:v>
      </x:c>
      <x:c r="F165" s="25" t="str">
        <x:v>מספר קלפי בסיסי ושם אתר זהים</x:v>
      </x:c>
      <x:c r="G165" s="25" t="str">
        <x:v>הודעת הבחירות הרשמית של חיפה (2024)</x:v>
      </x:c>
      <x:c r="H165" s="25" t="n">
        <x:v>5</x:v>
      </x:c>
      <x:c r="I165" s="25" t="str">
        <x:v>245.0</x:v>
      </x:c>
      <x:c r="J165" s="25" t="str">
        <x:v>בי"ס חופית</x:v>
      </x:c>
      <x:c r="K165" s="25" t="str">
        <x:v>מוכן לעבודה</x:v>
      </x:c>
    </x:row>
    <x:row r="166" ht="38" customHeight="1">
      <x:c r="A166" s="29" t="str">
        <x:v>250.1</x:v>
      </x:c>
      <x:c r="B166" s="28" t="n">
        <x:v>3023</x:v>
      </x:c>
      <x:c r="C166" s="17" t="str">
        <x:v>בי"ס תיכון עירוני ה</x:v>
      </x:c>
      <x:c r="D166" s="17" t="str">
        <x:v>ביכורים 27</x:v>
      </x:c>
      <x:c r="E166" s="17" t="str">
        <x:v>גבוה מאוד</x:v>
      </x:c>
      <x:c r="F166" s="25" t="str">
        <x:v>מספר קלפי בסיסי ושם אתר זהים</x:v>
      </x:c>
      <x:c r="G166" s="25" t="str">
        <x:v>הודעת הבחירות הרשמית של חיפה (2024)</x:v>
      </x:c>
      <x:c r="H166" s="25" t="n">
        <x:v>5</x:v>
      </x:c>
      <x:c r="I166" s="25" t="str">
        <x:v>250.0</x:v>
      </x:c>
      <x:c r="J166" s="25" t="str">
        <x:v>בי"ס תיכון עירוני ה</x:v>
      </x:c>
      <x:c r="K166" s="25" t="str">
        <x:v>מוכן לעבודה</x:v>
      </x:c>
    </x:row>
    <x:row r="167" ht="38" customHeight="1">
      <x:c r="A167" s="29" t="str">
        <x:v>250.2</x:v>
      </x:c>
      <x:c r="B167" s="28" t="n">
        <x:v>3024</x:v>
      </x:c>
      <x:c r="C167" s="17" t="str">
        <x:v>בי"ס תיכון עירוני ה</x:v>
      </x:c>
      <x:c r="D167" s="17" t="str">
        <x:v>ביכורים 27</x:v>
      </x:c>
      <x:c r="E167" s="17" t="str">
        <x:v>גבוה מאוד</x:v>
      </x:c>
      <x:c r="F167" s="25" t="str">
        <x:v>מספר קלפי בסיסי ושם אתר זהים</x:v>
      </x:c>
      <x:c r="G167" s="25" t="str">
        <x:v>הודעת הבחירות הרשמית של חיפה (2024)</x:v>
      </x:c>
      <x:c r="H167" s="25" t="n">
        <x:v>5</x:v>
      </x:c>
      <x:c r="I167" s="25" t="str">
        <x:v>250.0</x:v>
      </x:c>
      <x:c r="J167" s="25" t="str">
        <x:v>בי"ס תיכון עירוני ה</x:v>
      </x:c>
      <x:c r="K167" s="25" t="str">
        <x:v>מוכן לעבודה</x:v>
      </x:c>
    </x:row>
    <x:row r="168" ht="38" customHeight="1">
      <x:c r="A168" s="29" t="str">
        <x:v>250.3</x:v>
      </x:c>
      <x:c r="B168" s="28" t="n">
        <x:v>3025</x:v>
      </x:c>
      <x:c r="C168" s="17" t="str">
        <x:v>בי"ס תיכון עירוני ה</x:v>
      </x:c>
      <x:c r="D168" s="17" t="str">
        <x:v>ביכורים 27</x:v>
      </x:c>
      <x:c r="E168" s="17" t="str">
        <x:v>גבוה מאוד</x:v>
      </x:c>
      <x:c r="F168" s="25" t="str">
        <x:v>מספר קלפי בסיסי ושם אתר זהים</x:v>
      </x:c>
      <x:c r="G168" s="25" t="str">
        <x:v>הודעת הבחירות הרשמית של חיפה (2024)</x:v>
      </x:c>
      <x:c r="H168" s="25" t="n">
        <x:v>5</x:v>
      </x:c>
      <x:c r="I168" s="25" t="str">
        <x:v>250.0</x:v>
      </x:c>
      <x:c r="J168" s="25" t="str">
        <x:v>בי"ס תיכון עירוני ה</x:v>
      </x:c>
      <x:c r="K168" s="25" t="str">
        <x:v>מוכן לעבודה</x:v>
      </x:c>
    </x:row>
    <x:row r="169" ht="38" customHeight="1">
      <x:c r="A169" s="29" t="str">
        <x:v>250.4</x:v>
      </x:c>
      <x:c r="B169" s="28" t="n">
        <x:v>3026</x:v>
      </x:c>
      <x:c r="C169" s="17" t="str">
        <x:v>בי"ס תיכון עירוני ה</x:v>
      </x:c>
      <x:c r="D169" s="17" t="str">
        <x:v>ביכורים 27</x:v>
      </x:c>
      <x:c r="E169" s="17" t="str">
        <x:v>גבוה מאוד</x:v>
      </x:c>
      <x:c r="F169" s="25" t="str">
        <x:v>מספר קלפי בסיסי ושם אתר זהים</x:v>
      </x:c>
      <x:c r="G169" s="25" t="str">
        <x:v>הודעת הבחירות הרשמית של חיפה (2024)</x:v>
      </x:c>
      <x:c r="H169" s="25" t="n">
        <x:v>5</x:v>
      </x:c>
      <x:c r="I169" s="25" t="str">
        <x:v>250.0</x:v>
      </x:c>
      <x:c r="J169" s="25" t="str">
        <x:v>בי"ס תיכון עירוני ה</x:v>
      </x:c>
      <x:c r="K169" s="25" t="str">
        <x:v>מוכן לעבודה</x:v>
      </x:c>
    </x:row>
    <x:row r="170" ht="38" customHeight="1">
      <x:c r="A170" s="29" t="str">
        <x:v>250.5</x:v>
      </x:c>
      <x:c r="B170" s="28" t="n">
        <x:v>3027</x:v>
      </x:c>
      <x:c r="C170" s="17" t="str">
        <x:v>בי"ס תיכון עירוני ה</x:v>
      </x:c>
      <x:c r="D170" s="17" t="str">
        <x:v>ביכורים 27</x:v>
      </x:c>
      <x:c r="E170" s="17" t="str">
        <x:v>גבוה מאוד</x:v>
      </x:c>
      <x:c r="F170" s="25" t="str">
        <x:v>מספר קלפי בסיסי ושם אתר זהים</x:v>
      </x:c>
      <x:c r="G170" s="25" t="str">
        <x:v>הודעת הבחירות הרשמית של חיפה (2024)</x:v>
      </x:c>
      <x:c r="H170" s="25" t="n">
        <x:v>5</x:v>
      </x:c>
      <x:c r="I170" s="25" t="str">
        <x:v>250.0</x:v>
      </x:c>
      <x:c r="J170" s="25" t="str">
        <x:v>בי"ס תיכון עירוני ה</x:v>
      </x:c>
      <x:c r="K170" s="25" t="str">
        <x:v>מוכן לעבודה</x:v>
      </x:c>
    </x:row>
    <x:row r="171" ht="38" customHeight="1">
      <x:c r="A171" s="29" t="str">
        <x:v>254.1</x:v>
      </x:c>
      <x:c r="B171" s="28" t="n">
        <x:v>3028</x:v>
      </x:c>
      <x:c r="C171" s="17" t="str">
        <x:v>גני ילדים</x:v>
      </x:c>
      <x:c r="D171" s="17" t="str">
        <x:v>לאה 39</x:v>
      </x:c>
      <x:c r="E171" s="17" t="str">
        <x:v>גבוה מאוד</x:v>
      </x:c>
      <x:c r="F171" s="25" t="str">
        <x:v>מספר קלפי בסיסי ושם אתר זהים</x:v>
      </x:c>
      <x:c r="G171" s="25" t="str">
        <x:v>הודעת הבחירות הרשמית של חיפה (2024)</x:v>
      </x:c>
      <x:c r="H171" s="25" t="n">
        <x:v>5</x:v>
      </x:c>
      <x:c r="I171" s="25" t="str">
        <x:v>254.0</x:v>
      </x:c>
      <x:c r="J171" s="25" t="str">
        <x:v>גני ילדים</x:v>
      </x:c>
      <x:c r="K171" s="25" t="str">
        <x:v>מוכן לעבודה</x:v>
      </x:c>
    </x:row>
    <x:row r="172" ht="38" customHeight="1">
      <x:c r="A172" s="29" t="str">
        <x:v>254.2</x:v>
      </x:c>
      <x:c r="B172" s="28" t="n">
        <x:v>3029</x:v>
      </x:c>
      <x:c r="C172" s="17" t="str">
        <x:v>גני ילדים</x:v>
      </x:c>
      <x:c r="D172" s="17" t="str">
        <x:v>לאה 39</x:v>
      </x:c>
      <x:c r="E172" s="17" t="str">
        <x:v>גבוה מאוד</x:v>
      </x:c>
      <x:c r="F172" s="25" t="str">
        <x:v>מספר קלפי בסיסי ושם אתר זהים</x:v>
      </x:c>
      <x:c r="G172" s="25" t="str">
        <x:v>הודעת הבחירות הרשמית של חיפה (2024)</x:v>
      </x:c>
      <x:c r="H172" s="25" t="n">
        <x:v>5</x:v>
      </x:c>
      <x:c r="I172" s="25" t="str">
        <x:v>254.0</x:v>
      </x:c>
      <x:c r="J172" s="25" t="str">
        <x:v>גני ילדים</x:v>
      </x:c>
      <x:c r="K172" s="25" t="str">
        <x:v>מוכן לעבודה</x:v>
      </x:c>
    </x:row>
    <x:row r="173" ht="38" customHeight="1">
      <x:c r="A173" s="29" t="str">
        <x:v>254.3</x:v>
      </x:c>
      <x:c r="B173" s="28" t="n">
        <x:v>3030</x:v>
      </x:c>
      <x:c r="C173" s="17" t="str">
        <x:v>גני ילדים</x:v>
      </x:c>
      <x:c r="D173" s="17" t="str">
        <x:v>לאה 39</x:v>
      </x:c>
      <x:c r="E173" s="17" t="str">
        <x:v>גבוה מאוד</x:v>
      </x:c>
      <x:c r="F173" s="25" t="str">
        <x:v>מספר קלפי בסיסי ושם אתר זהים</x:v>
      </x:c>
      <x:c r="G173" s="25" t="str">
        <x:v>הודעת הבחירות הרשמית של חיפה (2024)</x:v>
      </x:c>
      <x:c r="H173" s="25" t="n">
        <x:v>5</x:v>
      </x:c>
      <x:c r="I173" s="25" t="str">
        <x:v>254.0</x:v>
      </x:c>
      <x:c r="J173" s="25" t="str">
        <x:v>גני ילדים</x:v>
      </x:c>
      <x:c r="K173" s="25" t="str">
        <x:v>מוכן לעבודה</x:v>
      </x:c>
    </x:row>
    <x:row r="174" ht="38" customHeight="1">
      <x:c r="A174" s="29" t="str">
        <x:v>255.1</x:v>
      </x:c>
      <x:c r="B174" s="28" t="n">
        <x:v>3031</x:v>
      </x:c>
      <x:c r="C174" s="17" t="str">
        <x:v>בי"ס אחמדיה</x:v>
      </x:c>
      <x:c r="D174" s="17" t="str">
        <x:v>גלאל אל דין 3</x:v>
      </x:c>
      <x:c r="E174" s="17" t="str">
        <x:v>גבוה מאוד</x:v>
      </x:c>
      <x:c r="F174" s="25" t="str">
        <x:v>מספר קלפי בסיסי ושם אתר זהים</x:v>
      </x:c>
      <x:c r="G174" s="25" t="str">
        <x:v>הודעת הבחירות הרשמית של חיפה (2024)</x:v>
      </x:c>
      <x:c r="H174" s="25" t="n">
        <x:v>5</x:v>
      </x:c>
      <x:c r="I174" s="25" t="str">
        <x:v>255.0</x:v>
      </x:c>
      <x:c r="J174" s="25" t="str">
        <x:v>בי"ס אחמדיה</x:v>
      </x:c>
      <x:c r="K174" s="25" t="str">
        <x:v>מוכן לעבודה</x:v>
      </x:c>
    </x:row>
    <x:row r="175" ht="38" customHeight="1">
      <x:c r="A175" s="29" t="str">
        <x:v>255.2</x:v>
      </x:c>
      <x:c r="B175" s="28" t="n">
        <x:v>3032</x:v>
      </x:c>
      <x:c r="C175" s="17" t="str">
        <x:v>בי"ס אחמדיה</x:v>
      </x:c>
      <x:c r="D175" s="17" t="str">
        <x:v>גלאל אל דין 3</x:v>
      </x:c>
      <x:c r="E175" s="17" t="str">
        <x:v>גבוה מאוד</x:v>
      </x:c>
      <x:c r="F175" s="25" t="str">
        <x:v>מספר קלפי בסיסי ושם אתר זהים</x:v>
      </x:c>
      <x:c r="G175" s="25" t="str">
        <x:v>הודעת הבחירות הרשמית של חיפה (2024)</x:v>
      </x:c>
      <x:c r="H175" s="25" t="n">
        <x:v>5</x:v>
      </x:c>
      <x:c r="I175" s="25" t="str">
        <x:v>255.0</x:v>
      </x:c>
      <x:c r="J175" s="25" t="str">
        <x:v>בי"ס אחמדיה</x:v>
      </x:c>
      <x:c r="K175" s="25" t="str">
        <x:v>מוכן לעבודה</x:v>
      </x:c>
    </x:row>
    <x:row r="176" ht="38" customHeight="1">
      <x:c r="A176" s="29" t="str">
        <x:v>255.3</x:v>
      </x:c>
      <x:c r="B176" s="28" t="n">
        <x:v>3033</x:v>
      </x:c>
      <x:c r="C176" s="17" t="str">
        <x:v>בי"ס אחמדיה</x:v>
      </x:c>
      <x:c r="D176" s="17" t="str">
        <x:v>גלאל אל דין 3</x:v>
      </x:c>
      <x:c r="E176" s="17" t="str">
        <x:v>גבוה מאוד</x:v>
      </x:c>
      <x:c r="F176" s="25" t="str">
        <x:v>מספר קלפי בסיסי ושם אתר זהים</x:v>
      </x:c>
      <x:c r="G176" s="25" t="str">
        <x:v>הודעת הבחירות הרשמית של חיפה (2024)</x:v>
      </x:c>
      <x:c r="H176" s="25" t="n">
        <x:v>5</x:v>
      </x:c>
      <x:c r="I176" s="25" t="str">
        <x:v>255.0</x:v>
      </x:c>
      <x:c r="J176" s="25" t="str">
        <x:v>בי"ס אחמדיה</x:v>
      </x:c>
      <x:c r="K176" s="25" t="str">
        <x:v>מוכן לעבודה</x:v>
      </x:c>
    </x:row>
    <x:row r="177" ht="38" customHeight="1">
      <x:c r="A177" s="29" t="str">
        <x:v>255.4</x:v>
      </x:c>
      <x:c r="B177" s="28" t="n">
        <x:v>3034</x:v>
      </x:c>
      <x:c r="C177" s="17" t="str">
        <x:v>בי"ס אחמדיה</x:v>
      </x:c>
      <x:c r="D177" s="17" t="str">
        <x:v>גלאל אל דין 3</x:v>
      </x:c>
      <x:c r="E177" s="17" t="str">
        <x:v>גבוה מאוד</x:v>
      </x:c>
      <x:c r="F177" s="25" t="str">
        <x:v>מספר קלפי בסיסי ושם אתר זהים</x:v>
      </x:c>
      <x:c r="G177" s="25" t="str">
        <x:v>הודעת הבחירות הרשמית של חיפה (2024)</x:v>
      </x:c>
      <x:c r="H177" s="25" t="n">
        <x:v>5</x:v>
      </x:c>
      <x:c r="I177" s="25" t="str">
        <x:v>255.0</x:v>
      </x:c>
      <x:c r="J177" s="25" t="str">
        <x:v>בי"ס אחמדיה</x:v>
      </x:c>
      <x:c r="K177" s="25" t="str">
        <x:v>מוכן לעבודה</x:v>
      </x:c>
    </x:row>
    <x:row r="178" ht="38" customHeight="1">
      <x:c r="A178" s="29" t="str">
        <x:v>255.5</x:v>
      </x:c>
      <x:c r="B178" s="28" t="n">
        <x:v>3035</x:v>
      </x:c>
      <x:c r="C178" s="17" t="str">
        <x:v>בי"ס אחמדיה</x:v>
      </x:c>
      <x:c r="D178" s="17" t="str">
        <x:v>גלאל אל דין 3</x:v>
      </x:c>
      <x:c r="E178" s="17" t="str">
        <x:v>גבוה מאוד</x:v>
      </x:c>
      <x:c r="F178" s="25" t="str">
        <x:v>מספר קלפי בסיסי ושם אתר זהים</x:v>
      </x:c>
      <x:c r="G178" s="25" t="str">
        <x:v>הודעת הבחירות הרשמית של חיפה (2024)</x:v>
      </x:c>
      <x:c r="H178" s="25" t="n">
        <x:v>5</x:v>
      </x:c>
      <x:c r="I178" s="25" t="str">
        <x:v>255.0</x:v>
      </x:c>
      <x:c r="J178" s="25" t="str">
        <x:v>בי"ס אחמדיה</x:v>
      </x:c>
      <x:c r="K178" s="25" t="str">
        <x:v>מוכן לעבודה</x:v>
      </x:c>
    </x:row>
    <x:row r="179" ht="38" customHeight="1">
      <x:c r="A179" s="29" t="str">
        <x:v>256</x:v>
      </x:c>
      <x:c r="B179" s="28" t="n">
        <x:v>3036</x:v>
      </x:c>
      <x:c r="C179" s="17" t="str">
        <x:v>בי"ס הרצל</x:v>
      </x:c>
      <x:c r="D179" s="17" t="str">
        <x:v>צדקיהו 6</x:v>
      </x:c>
      <x:c r="E179" s="17" t="str">
        <x:v>גבוה מאוד</x:v>
      </x:c>
      <x:c r="F179" s="25" t="str">
        <x:v>מספר קלפי בסיסי ושם אתר זהים</x:v>
      </x:c>
      <x:c r="G179" s="25" t="str">
        <x:v>הודעת הבחירות הרשמית של חיפה (2024)</x:v>
      </x:c>
      <x:c r="H179" s="25" t="n">
        <x:v>5</x:v>
      </x:c>
      <x:c r="I179" s="25" t="str">
        <x:v>256.0</x:v>
      </x:c>
      <x:c r="J179" s="25" t="str">
        <x:v>בי"ס הרצל</x:v>
      </x:c>
      <x:c r="K179" s="25" t="str">
        <x:v>מוכן לעבודה</x:v>
      </x:c>
    </x:row>
    <x:row r="180" ht="38" customHeight="1">
      <x:c r="A180" s="29" t="str">
        <x:v>257</x:v>
      </x:c>
      <x:c r="B180" s="28" t="n">
        <x:v>2966</x:v>
      </x:c>
      <x:c r="C180" s="17" t="str">
        <x:v>מתחם גני ילדים</x:v>
      </x:c>
      <x:c r="D180" s="17" t="str">
        <x:v>הרקפות 11</x:v>
      </x:c>
      <x:c r="E180" s="17" t="str">
        <x:v>גבוה מאוד</x:v>
      </x:c>
      <x:c r="F180" s="25" t="str">
        <x:v>מספר קלפי בסיסי ושם אתר זהים</x:v>
      </x:c>
      <x:c r="G180" s="25" t="str">
        <x:v>הודעת הבחירות הרשמית של חיפה (2024)</x:v>
      </x:c>
      <x:c r="H180" s="25" t="n">
        <x:v>5</x:v>
      </x:c>
      <x:c r="I180" s="25" t="str">
        <x:v>257.0</x:v>
      </x:c>
      <x:c r="J180" s="25" t="str">
        <x:v>מתחם גני ילדים</x:v>
      </x:c>
      <x:c r="K180" s="25" t="str">
        <x:v>מוכן לעבודה</x:v>
      </x:c>
    </x:row>
    <x:row r="181" ht="38" customHeight="1">
      <x:c r="A181" s="29" t="str">
        <x:v>259.1</x:v>
      </x:c>
      <x:c r="B181" s="28" t="n">
        <x:v>3037</x:v>
      </x:c>
      <x:c r="C181" s="17" t="str">
        <x:v>בית הכט</x:v>
      </x:c>
      <x:c r="D181" s="17" t="str">
        <x:v>שד הנשיא 142</x:v>
      </x:c>
      <x:c r="E181" s="17" t="str">
        <x:v>גבוה מאוד</x:v>
      </x:c>
      <x:c r="F181" s="25" t="str">
        <x:v>מספר קלפי בסיסי ושם אתר זהים</x:v>
      </x:c>
      <x:c r="G181" s="25" t="str">
        <x:v>הודעת הבחירות הרשמית של חיפה (2024)</x:v>
      </x:c>
      <x:c r="H181" s="25" t="n">
        <x:v>5</x:v>
      </x:c>
      <x:c r="I181" s="25" t="str">
        <x:v>259.0</x:v>
      </x:c>
      <x:c r="J181" s="25" t="str">
        <x:v>בית הכט</x:v>
      </x:c>
      <x:c r="K181" s="25" t="str">
        <x:v>מוכן לעבודה</x:v>
      </x:c>
    </x:row>
    <x:row r="182" ht="38" customHeight="1">
      <x:c r="A182" s="29" t="str">
        <x:v>259.2</x:v>
      </x:c>
      <x:c r="B182" s="28" t="n">
        <x:v>3038</x:v>
      </x:c>
      <x:c r="C182" s="17" t="str">
        <x:v>בית הכט</x:v>
      </x:c>
      <x:c r="D182" s="17" t="str">
        <x:v>שד הנשיא 142</x:v>
      </x:c>
      <x:c r="E182" s="17" t="str">
        <x:v>גבוה מאוד</x:v>
      </x:c>
      <x:c r="F182" s="25" t="str">
        <x:v>מספר קלפי בסיסי ושם אתר זהים</x:v>
      </x:c>
      <x:c r="G182" s="25" t="str">
        <x:v>הודעת הבחירות הרשמית של חיפה (2024)</x:v>
      </x:c>
      <x:c r="H182" s="25" t="n">
        <x:v>5</x:v>
      </x:c>
      <x:c r="I182" s="25" t="str">
        <x:v>259.0</x:v>
      </x:c>
      <x:c r="J182" s="25" t="str">
        <x:v>בית הכט</x:v>
      </x:c>
      <x:c r="K182" s="25" t="str">
        <x:v>מוכן לעבודה</x:v>
      </x:c>
    </x:row>
    <x:row r="183" ht="38" customHeight="1">
      <x:c r="A183" s="29" t="str">
        <x:v>259.3</x:v>
      </x:c>
      <x:c r="B183" s="28" t="n">
        <x:v>3039</x:v>
      </x:c>
      <x:c r="C183" s="17" t="str">
        <x:v>בית הכט</x:v>
      </x:c>
      <x:c r="D183" s="17" t="str">
        <x:v>שד הנשיא 142</x:v>
      </x:c>
      <x:c r="E183" s="17" t="str">
        <x:v>גבוה מאוד</x:v>
      </x:c>
      <x:c r="F183" s="25" t="str">
        <x:v>מספר קלפי בסיסי ושם אתר זהים</x:v>
      </x:c>
      <x:c r="G183" s="25" t="str">
        <x:v>הודעת הבחירות הרשמית של חיפה (2024)</x:v>
      </x:c>
      <x:c r="H183" s="25" t="n">
        <x:v>5</x:v>
      </x:c>
      <x:c r="I183" s="25" t="str">
        <x:v>259.0</x:v>
      </x:c>
      <x:c r="J183" s="25" t="str">
        <x:v>בית הכט</x:v>
      </x:c>
      <x:c r="K183" s="25" t="str">
        <x:v>מוכן לעבודה</x:v>
      </x:c>
    </x:row>
    <x:row r="184" ht="38" customHeight="1">
      <x:c r="A184" s="29" t="str">
        <x:v>259.4</x:v>
      </x:c>
      <x:c r="B184" s="28" t="n">
        <x:v>3040</x:v>
      </x:c>
      <x:c r="C184" s="17" t="str">
        <x:v>בית הכט</x:v>
      </x:c>
      <x:c r="D184" s="17" t="str">
        <x:v>שד הנשיא 142</x:v>
      </x:c>
      <x:c r="E184" s="17" t="str">
        <x:v>גבוה מאוד</x:v>
      </x:c>
      <x:c r="F184" s="25" t="str">
        <x:v>מספר קלפי בסיסי ושם אתר זהים</x:v>
      </x:c>
      <x:c r="G184" s="25" t="str">
        <x:v>הודעת הבחירות הרשמית של חיפה (2024)</x:v>
      </x:c>
      <x:c r="H184" s="25" t="n">
        <x:v>5</x:v>
      </x:c>
      <x:c r="I184" s="25" t="str">
        <x:v>259.0</x:v>
      </x:c>
      <x:c r="J184" s="25" t="str">
        <x:v>בית הכט</x:v>
      </x:c>
      <x:c r="K184" s="25" t="str">
        <x:v>מוכן לעבודה</x:v>
      </x:c>
    </x:row>
    <x:row r="185" ht="38" customHeight="1">
      <x:c r="A185" s="29" t="str">
        <x:v>260</x:v>
      </x:c>
      <x:c r="B185" s="28" t="n">
        <x:v>3041</x:v>
      </x:c>
      <x:c r="C185" s="17" t="str">
        <x:v>עירוני ה חטיבת בינים</x:v>
      </x:c>
      <x:c r="D185" s="17" t="str">
        <x:v>הטנא 2</x:v>
      </x:c>
      <x:c r="E185" s="17" t="str">
        <x:v>גבוה מאוד</x:v>
      </x:c>
      <x:c r="F185" s="25" t="str">
        <x:v>מספר קלפי בסיסי ושם אתר זהים</x:v>
      </x:c>
      <x:c r="G185" s="25" t="str">
        <x:v>הודעת הבחירות הרשמית של חיפה (2024)</x:v>
      </x:c>
      <x:c r="H185" s="25" t="n">
        <x:v>5</x:v>
      </x:c>
      <x:c r="I185" s="25" t="str">
        <x:v>260.0</x:v>
      </x:c>
      <x:c r="J185" s="25" t="str">
        <x:v>עירוני ה חטיבת בינים</x:v>
      </x:c>
      <x:c r="K185" s="25" t="str">
        <x:v>מוכן לעבודה</x:v>
      </x:c>
    </x:row>
    <x:row r="186" ht="38" customHeight="1">
      <x:c r="A186" s="29" t="str">
        <x:v>261</x:v>
      </x:c>
      <x:c r="B186" s="28" t="n">
        <x:v>2967</x:v>
      </x:c>
      <x:c r="C186" s="17" t="str">
        <x:v>בי"ס אבן גבירול</x:v>
      </x:c>
      <x:c r="D186" s="17" t="str">
        <x:v>בודנהיימר מקס ד"ר 7</x:v>
      </x:c>
      <x:c r="E186" s="17" t="str">
        <x:v>גבוה מאוד</x:v>
      </x:c>
      <x:c r="F186" s="25" t="str">
        <x:v>מספר קלפי בסיסי ושם אתר זהים</x:v>
      </x:c>
      <x:c r="G186" s="25" t="str">
        <x:v>הודעת הבחירות הרשמית של חיפה (2024)</x:v>
      </x:c>
      <x:c r="H186" s="25" t="n">
        <x:v>5</x:v>
      </x:c>
      <x:c r="I186" s="25" t="str">
        <x:v>261.0</x:v>
      </x:c>
      <x:c r="J186" s="25" t="str">
        <x:v>בי"ס אבן גבירול</x:v>
      </x:c>
      <x:c r="K186" s="25" t="str">
        <x:v>מוכן לעבודה</x:v>
      </x:c>
    </x:row>
    <x:row r="187" ht="38" customHeight="1">
      <x:c r="A187" s="29" t="str">
        <x:v>262</x:v>
      </x:c>
      <x:c r="B187" s="28" t="n">
        <x:v>3053</x:v>
      </x:c>
      <x:c r="C187" s="17" t="str">
        <x:v>בי"ס רוממה</x:v>
      </x:c>
      <x:c r="D187" s="17" t="str">
        <x:v>אורן 27</x:v>
      </x:c>
      <x:c r="E187" s="17" t="str">
        <x:v>גבוה מאוד</x:v>
      </x:c>
      <x:c r="F187" s="25" t="str">
        <x:v>מספר קלפי בסיסי ושם אתר זהים</x:v>
      </x:c>
      <x:c r="G187" s="25" t="str">
        <x:v>הודעת הבחירות הרשמית של חיפה (2024)</x:v>
      </x:c>
      <x:c r="H187" s="25" t="n">
        <x:v>5</x:v>
      </x:c>
      <x:c r="I187" s="25" t="str">
        <x:v>262.0</x:v>
      </x:c>
      <x:c r="J187" s="25" t="str">
        <x:v>בי"ס רוממה</x:v>
      </x:c>
      <x:c r="K187" s="25" t="str">
        <x:v>מוכן לעבודה</x:v>
      </x:c>
    </x:row>
    <x:row r="188" ht="38" customHeight="1">
      <x:c r="A188" s="29" t="str">
        <x:v>265.1</x:v>
      </x:c>
      <x:c r="B188" s="28" t="n">
        <x:v>2968</x:v>
      </x:c>
      <x:c r="C188" s="17" t="str">
        <x:v>בי"ס טשרניחובסקי</x:v>
      </x:c>
      <x:c r="D188" s="17" t="str">
        <x:v>טשרניחובסקי 34</x:v>
      </x:c>
      <x:c r="E188" s="17" t="str">
        <x:v>גבוה מאוד</x:v>
      </x:c>
      <x:c r="F188" s="25" t="str">
        <x:v>מספר קלפי בסיסי ושם אתר זהים</x:v>
      </x:c>
      <x:c r="G188" s="25" t="str">
        <x:v>הודעת הבחירות הרשמית של חיפה (2024)</x:v>
      </x:c>
      <x:c r="H188" s="25" t="n">
        <x:v>5</x:v>
      </x:c>
      <x:c r="I188" s="25" t="str">
        <x:v>265.0</x:v>
      </x:c>
      <x:c r="J188" s="25" t="str">
        <x:v>בי"ס טשרניחובסקי</x:v>
      </x:c>
      <x:c r="K188" s="25" t="str">
        <x:v>מוכן לעבודה</x:v>
      </x:c>
    </x:row>
    <x:row r="189" ht="38" customHeight="1">
      <x:c r="A189" s="29" t="str">
        <x:v>265.2</x:v>
      </x:c>
      <x:c r="B189" s="28" t="n">
        <x:v>2969</x:v>
      </x:c>
      <x:c r="C189" s="17" t="str">
        <x:v>בי"ס טשרניחובסקי</x:v>
      </x:c>
      <x:c r="D189" s="17" t="str">
        <x:v>טשרניחובסקי 34</x:v>
      </x:c>
      <x:c r="E189" s="17" t="str">
        <x:v>גבוה מאוד</x:v>
      </x:c>
      <x:c r="F189" s="25" t="str">
        <x:v>מספר קלפי בסיסי ושם אתר זהים</x:v>
      </x:c>
      <x:c r="G189" s="25" t="str">
        <x:v>הודעת הבחירות הרשמית של חיפה (2024)</x:v>
      </x:c>
      <x:c r="H189" s="25" t="n">
        <x:v>5</x:v>
      </x:c>
      <x:c r="I189" s="25" t="str">
        <x:v>265.0</x:v>
      </x:c>
      <x:c r="J189" s="25" t="str">
        <x:v>בי"ס טשרניחובסקי</x:v>
      </x:c>
      <x:c r="K189" s="25" t="str">
        <x:v>מוכן לעבודה</x:v>
      </x:c>
    </x:row>
    <x:row r="190" ht="38" customHeight="1">
      <x:c r="A190" s="29" t="str">
        <x:v>265.3</x:v>
      </x:c>
      <x:c r="B190" s="28" t="n">
        <x:v>2970</x:v>
      </x:c>
      <x:c r="C190" s="17" t="str">
        <x:v>בי"ס טשרניחובסקי</x:v>
      </x:c>
      <x:c r="D190" s="17" t="str">
        <x:v>טשרניחובסקי 34</x:v>
      </x:c>
      <x:c r="E190" s="17" t="str">
        <x:v>גבוה מאוד</x:v>
      </x:c>
      <x:c r="F190" s="25" t="str">
        <x:v>מספר קלפי בסיסי ושם אתר זהים</x:v>
      </x:c>
      <x:c r="G190" s="25" t="str">
        <x:v>הודעת הבחירות הרשמית של חיפה (2024)</x:v>
      </x:c>
      <x:c r="H190" s="25" t="n">
        <x:v>5</x:v>
      </x:c>
      <x:c r="I190" s="25" t="str">
        <x:v>265.0</x:v>
      </x:c>
      <x:c r="J190" s="25" t="str">
        <x:v>בי"ס טשרניחובסקי</x:v>
      </x:c>
      <x:c r="K190" s="25" t="str">
        <x:v>מוכן לעבודה</x:v>
      </x:c>
    </x:row>
    <x:row r="191" ht="38" customHeight="1">
      <x:c r="A191" s="29" t="str">
        <x:v>265.4</x:v>
      </x:c>
      <x:c r="B191" s="28" t="n">
        <x:v>2971</x:v>
      </x:c>
      <x:c r="C191" s="17" t="str">
        <x:v>בי"ס טשרניחובסקי</x:v>
      </x:c>
      <x:c r="D191" s="17" t="str">
        <x:v>טשרניחובסקי 34</x:v>
      </x:c>
      <x:c r="E191" s="17" t="str">
        <x:v>גבוה מאוד</x:v>
      </x:c>
      <x:c r="F191" s="25" t="str">
        <x:v>מספר קלפי בסיסי ושם אתר זהים</x:v>
      </x:c>
      <x:c r="G191" s="25" t="str">
        <x:v>הודעת הבחירות הרשמית של חיפה (2024)</x:v>
      </x:c>
      <x:c r="H191" s="25" t="n">
        <x:v>5</x:v>
      </x:c>
      <x:c r="I191" s="25" t="str">
        <x:v>265.0</x:v>
      </x:c>
      <x:c r="J191" s="25" t="str">
        <x:v>בי"ס טשרניחובסקי</x:v>
      </x:c>
      <x:c r="K191" s="25" t="str">
        <x:v>מוכן לעבודה</x:v>
      </x:c>
    </x:row>
    <x:row r="192" ht="38" customHeight="1">
      <x:c r="A192" s="29" t="str">
        <x:v>267</x:v>
      </x:c>
      <x:c r="B192" s="28" t="n">
        <x:v>2884</x:v>
      </x:c>
      <x:c r="C192" s="17" t="str">
        <x:v>בי"ס אורים</x:v>
      </x:c>
      <x:c r="D192" s="17" t="str">
        <x:v>מונטיפיורי 15</x:v>
      </x:c>
      <x:c r="E192" s="17" t="str">
        <x:v>גבוה מאוד</x:v>
      </x:c>
      <x:c r="F192" s="25" t="str">
        <x:v>מספר קלפי בסיסי ושם אתר זהים</x:v>
      </x:c>
      <x:c r="G192" s="25" t="str">
        <x:v>הודעת הבחירות הרשמית של חיפה (2024)</x:v>
      </x:c>
      <x:c r="H192" s="25" t="n">
        <x:v>6</x:v>
      </x:c>
      <x:c r="I192" s="25" t="str">
        <x:v>267.0</x:v>
      </x:c>
      <x:c r="J192" s="25" t="str">
        <x:v>בי"ס אורים</x:v>
      </x:c>
      <x:c r="K192" s="25" t="str">
        <x:v>מוכן לעבודה</x:v>
      </x:c>
    </x:row>
    <x:row r="193" ht="38" customHeight="1">
      <x:c r="A193" s="29" t="str">
        <x:v>268</x:v>
      </x:c>
      <x:c r="B193" s="28" t="n">
        <x:v>2885</x:v>
      </x:c>
      <x:c r="C193" s="17" t="str">
        <x:v>תיכון חוגים ע"ש רחל מתוקי</x:v>
      </x:c>
      <x:c r="D193" s="17" t="str">
        <x:v>בלום לאון 9</x:v>
      </x:c>
      <x:c r="E193" s="17" t="str">
        <x:v>גבוה מאוד</x:v>
      </x:c>
      <x:c r="F193" s="25" t="str">
        <x:v>מספר קלפי בסיסי ושם אתר זהים</x:v>
      </x:c>
      <x:c r="G193" s="25" t="str">
        <x:v>הודעת הבחירות הרשמית של חיפה (2024)</x:v>
      </x:c>
      <x:c r="H193" s="25" t="n">
        <x:v>6</x:v>
      </x:c>
      <x:c r="I193" s="25" t="str">
        <x:v>268.0</x:v>
      </x:c>
      <x:c r="J193" s="25" t="str">
        <x:v>תיכון חוגים ע"ש רחל מתוקי</x:v>
      </x:c>
      <x:c r="K193" s="25" t="str">
        <x:v>מוכן לעבודה</x:v>
      </x:c>
    </x:row>
    <x:row r="194" ht="38" customHeight="1">
      <x:c r="A194" s="29" t="str">
        <x:v>269</x:v>
      </x:c>
      <x:c r="B194" s="28" t="n">
        <x:v>3093</x:v>
      </x:c>
      <x:c r="C194" s="17" t="str">
        <x:v>שלוחת בי"ס אינשטיין</x:v>
      </x:c>
      <x:c r="D194" s="17" t="str">
        <x:v>אינשטיין אלברט 94</x:v>
      </x:c>
      <x:c r="E194" s="17" t="str">
        <x:v>גבוה מאוד</x:v>
      </x:c>
      <x:c r="F194" s="25" t="str">
        <x:v>מספר קלפי בסיסי ושם אתר זהים</x:v>
      </x:c>
      <x:c r="G194" s="25" t="str">
        <x:v>הודעת הבחירות הרשמית של חיפה (2024)</x:v>
      </x:c>
      <x:c r="H194" s="25" t="n">
        <x:v>6</x:v>
      </x:c>
      <x:c r="I194" s="25" t="str">
        <x:v>269.0</x:v>
      </x:c>
      <x:c r="J194" s="25" t="str">
        <x:v>שלוחת בי"ס אינשטיין</x:v>
      </x:c>
      <x:c r="K194" s="25" t="str">
        <x:v>מוכן לעבודה</x:v>
      </x:c>
    </x:row>
    <x:row r="195" ht="38" customHeight="1">
      <x:c r="A195" s="29" t="str">
        <x:v>272</x:v>
      </x:c>
      <x:c r="B195" s="28" t="n">
        <x:v>3001</x:v>
      </x:c>
      <x:c r="C195" s="17" t="str">
        <x:v>אשכול גני ילדים</x:v>
      </x:c>
      <x:c r="D195" s="17" t="str">
        <x:v>שונית 12</x:v>
      </x:c>
      <x:c r="E195" s="17" t="str">
        <x:v>גבוה מאוד</x:v>
      </x:c>
      <x:c r="F195" s="25" t="str">
        <x:v>מספר קלפי בסיסי ושם אתר זהים</x:v>
      </x:c>
      <x:c r="G195" s="25" t="str">
        <x:v>הודעת הבחירות הרשמית של חיפה (2024)</x:v>
      </x:c>
      <x:c r="H195" s="25" t="n">
        <x:v>6</x:v>
      </x:c>
      <x:c r="I195" s="25" t="str">
        <x:v>272.0</x:v>
      </x:c>
      <x:c r="J195" s="25" t="str">
        <x:v>אשכול גני ילדים</x:v>
      </x:c>
      <x:c r="K195" s="25" t="str">
        <x:v>מוכן לעבודה</x:v>
      </x:c>
    </x:row>
    <x:row r="196" ht="38" customHeight="1">
      <x:c r="A196" s="29" t="str">
        <x:v>273.1</x:v>
      </x:c>
      <x:c r="B196" s="28" t="n">
        <x:v>3054</x:v>
      </x:c>
      <x:c r="C196" s="17" t="str">
        <x:v>בי"ס אהוד</x:v>
      </x:c>
      <x:c r="D196" s="17" t="str">
        <x:v>אהוד 18</x:v>
      </x:c>
      <x:c r="E196" s="17" t="str">
        <x:v>גבוה מאוד</x:v>
      </x:c>
      <x:c r="F196" s="25" t="str">
        <x:v>מספר קלפי בסיסי ושם אתר זהים</x:v>
      </x:c>
      <x:c r="G196" s="25" t="str">
        <x:v>הודעת הבחירות הרשמית של חיפה (2024)</x:v>
      </x:c>
      <x:c r="H196" s="25" t="n">
        <x:v>6</x:v>
      </x:c>
      <x:c r="I196" s="25" t="str">
        <x:v>273.0</x:v>
      </x:c>
      <x:c r="J196" s="25" t="str">
        <x:v>בי"ס אהוד</x:v>
      </x:c>
      <x:c r="K196" s="25" t="str">
        <x:v>מוכן לעבודה</x:v>
      </x:c>
    </x:row>
    <x:row r="197" ht="38" customHeight="1">
      <x:c r="A197" s="29" t="str">
        <x:v>273.2</x:v>
      </x:c>
      <x:c r="B197" s="28" t="n">
        <x:v>3055</x:v>
      </x:c>
      <x:c r="C197" s="17" t="str">
        <x:v>בי"ס אהוד</x:v>
      </x:c>
      <x:c r="D197" s="17" t="str">
        <x:v>אהוד 18</x:v>
      </x:c>
      <x:c r="E197" s="17" t="str">
        <x:v>גבוה מאוד</x:v>
      </x:c>
      <x:c r="F197" s="25" t="str">
        <x:v>מספר קלפי בסיסי ושם אתר זהים</x:v>
      </x:c>
      <x:c r="G197" s="25" t="str">
        <x:v>הודעת הבחירות הרשמית של חיפה (2024)</x:v>
      </x:c>
      <x:c r="H197" s="25" t="n">
        <x:v>6</x:v>
      </x:c>
      <x:c r="I197" s="25" t="str">
        <x:v>273.0</x:v>
      </x:c>
      <x:c r="J197" s="25" t="str">
        <x:v>בי"ס אהוד</x:v>
      </x:c>
      <x:c r="K197" s="25" t="str">
        <x:v>מוכן לעבודה</x:v>
      </x:c>
    </x:row>
    <x:row r="198" ht="38" customHeight="1">
      <x:c r="A198" s="29" t="str">
        <x:v>273.3</x:v>
      </x:c>
      <x:c r="B198" s="28" t="n">
        <x:v>3056</x:v>
      </x:c>
      <x:c r="C198" s="17" t="str">
        <x:v>בי"ס אהוד</x:v>
      </x:c>
      <x:c r="D198" s="17" t="str">
        <x:v>אהוד 18</x:v>
      </x:c>
      <x:c r="E198" s="17" t="str">
        <x:v>גבוה מאוד</x:v>
      </x:c>
      <x:c r="F198" s="25" t="str">
        <x:v>מספר קלפי בסיסי ושם אתר זהים</x:v>
      </x:c>
      <x:c r="G198" s="25" t="str">
        <x:v>הודעת הבחירות הרשמית של חיפה (2024)</x:v>
      </x:c>
      <x:c r="H198" s="25" t="n">
        <x:v>6</x:v>
      </x:c>
      <x:c r="I198" s="25" t="str">
        <x:v>273.0</x:v>
      </x:c>
      <x:c r="J198" s="25" t="str">
        <x:v>בי"ס אהוד</x:v>
      </x:c>
      <x:c r="K198" s="25" t="str">
        <x:v>מוכן לעבודה</x:v>
      </x:c>
    </x:row>
    <x:row r="199" ht="38" customHeight="1">
      <x:c r="A199" s="29" t="str">
        <x:v>273.4</x:v>
      </x:c>
      <x:c r="B199" s="28" t="n">
        <x:v>3057</x:v>
      </x:c>
      <x:c r="C199" s="17" t="str">
        <x:v>בי"ס אהוד</x:v>
      </x:c>
      <x:c r="D199" s="17" t="str">
        <x:v>אהוד 18</x:v>
      </x:c>
      <x:c r="E199" s="17" t="str">
        <x:v>גבוה מאוד</x:v>
      </x:c>
      <x:c r="F199" s="25" t="str">
        <x:v>מספר קלפי בסיסי ושם אתר זהים</x:v>
      </x:c>
      <x:c r="G199" s="25" t="str">
        <x:v>הודעת הבחירות הרשמית של חיפה (2024)</x:v>
      </x:c>
      <x:c r="H199" s="25" t="n">
        <x:v>6</x:v>
      </x:c>
      <x:c r="I199" s="25" t="str">
        <x:v>273.0</x:v>
      </x:c>
      <x:c r="J199" s="25" t="str">
        <x:v>בי"ס אהוד</x:v>
      </x:c>
      <x:c r="K199" s="25" t="str">
        <x:v>מוכן לעבודה</x:v>
      </x:c>
    </x:row>
    <x:row r="200" ht="38" customHeight="1">
      <x:c r="A200" s="29" t="str">
        <x:v>273.5</x:v>
      </x:c>
      <x:c r="B200" s="28" t="n">
        <x:v>3058</x:v>
      </x:c>
      <x:c r="C200" s="17" t="str">
        <x:v>בי"ס אהוד</x:v>
      </x:c>
      <x:c r="D200" s="17" t="str">
        <x:v>אהוד 18</x:v>
      </x:c>
      <x:c r="E200" s="17" t="str">
        <x:v>גבוה מאוד</x:v>
      </x:c>
      <x:c r="F200" s="25" t="str">
        <x:v>מספר קלפי בסיסי ושם אתר זהים</x:v>
      </x:c>
      <x:c r="G200" s="25" t="str">
        <x:v>הודעת הבחירות הרשמית של חיפה (2024)</x:v>
      </x:c>
      <x:c r="H200" s="25" t="n">
        <x:v>6</x:v>
      </x:c>
      <x:c r="I200" s="25" t="str">
        <x:v>273.0</x:v>
      </x:c>
      <x:c r="J200" s="25" t="str">
        <x:v>בי"ס אהוד</x:v>
      </x:c>
      <x:c r="K200" s="25" t="str">
        <x:v>מוכן לעבודה</x:v>
      </x:c>
    </x:row>
    <x:row r="201" ht="38" customHeight="1">
      <x:c r="A201" s="29" t="str">
        <x:v>275.1</x:v>
      </x:c>
      <x:c r="B201" s="28" t="n">
        <x:v>2822</x:v>
      </x:c>
      <x:c r="C201" s="17" t="str">
        <x:v>בי"ס שיזף</x:v>
      </x:c>
      <x:c r="D201" s="17" t="str">
        <x:v>הבישוף חג'אר 1</x:v>
      </x:c>
      <x:c r="E201" s="17" t="str">
        <x:v>גבוה מאוד</x:v>
      </x:c>
      <x:c r="F201" s="25" t="str">
        <x:v>מספר קלפי בסיסי ושם אתר זהים</x:v>
      </x:c>
      <x:c r="G201" s="25" t="str">
        <x:v>הודעת הבחירות הרשמית של חיפה (2024)</x:v>
      </x:c>
      <x:c r="H201" s="25" t="n">
        <x:v>6</x:v>
      </x:c>
      <x:c r="I201" s="25" t="str">
        <x:v>275.0</x:v>
      </x:c>
      <x:c r="J201" s="25" t="str">
        <x:v>בי"ס שיזף</x:v>
      </x:c>
      <x:c r="K201" s="25" t="str">
        <x:v>מוכן לעבודה</x:v>
      </x:c>
    </x:row>
    <x:row r="202" ht="38" customHeight="1">
      <x:c r="A202" s="29" t="str">
        <x:v>275.2</x:v>
      </x:c>
      <x:c r="B202" s="28" t="n">
        <x:v>2823</x:v>
      </x:c>
      <x:c r="C202" s="17" t="str">
        <x:v>בי"ס שיזף</x:v>
      </x:c>
      <x:c r="D202" s="17" t="str">
        <x:v>הבישוף חג'אר 1</x:v>
      </x:c>
      <x:c r="E202" s="17" t="str">
        <x:v>גבוה מאוד</x:v>
      </x:c>
      <x:c r="F202" s="25" t="str">
        <x:v>מספר קלפי בסיסי ושם אתר זהים</x:v>
      </x:c>
      <x:c r="G202" s="25" t="str">
        <x:v>הודעת הבחירות הרשמית של חיפה (2024)</x:v>
      </x:c>
      <x:c r="H202" s="25" t="n">
        <x:v>6</x:v>
      </x:c>
      <x:c r="I202" s="25" t="str">
        <x:v>275.0</x:v>
      </x:c>
      <x:c r="J202" s="25" t="str">
        <x:v>בי"ס שיזף</x:v>
      </x:c>
      <x:c r="K202" s="25" t="str">
        <x:v>מוכן לעבודה</x:v>
      </x:c>
    </x:row>
    <x:row r="203" ht="38" customHeight="1">
      <x:c r="A203" s="29" t="str">
        <x:v>275.3</x:v>
      </x:c>
      <x:c r="B203" s="28" t="n">
        <x:v>2824</x:v>
      </x:c>
      <x:c r="C203" s="17" t="str">
        <x:v>בי"ס שיזף</x:v>
      </x:c>
      <x:c r="D203" s="17" t="str">
        <x:v>הבישוף חג'אר 1</x:v>
      </x:c>
      <x:c r="E203" s="17" t="str">
        <x:v>גבוה מאוד</x:v>
      </x:c>
      <x:c r="F203" s="25" t="str">
        <x:v>מספר קלפי בסיסי ושם אתר זהים</x:v>
      </x:c>
      <x:c r="G203" s="25" t="str">
        <x:v>הודעת הבחירות הרשמית של חיפה (2024)</x:v>
      </x:c>
      <x:c r="H203" s="25" t="n">
        <x:v>6</x:v>
      </x:c>
      <x:c r="I203" s="25" t="str">
        <x:v>275.0</x:v>
      </x:c>
      <x:c r="J203" s="25" t="str">
        <x:v>בי"ס שיזף</x:v>
      </x:c>
      <x:c r="K203" s="25" t="str">
        <x:v>מוכן לעבודה</x:v>
      </x:c>
    </x:row>
    <x:row r="204" ht="38" customHeight="1">
      <x:c r="A204" s="29" t="str">
        <x:v>275.4</x:v>
      </x:c>
      <x:c r="B204" s="28" t="n">
        <x:v>2825</x:v>
      </x:c>
      <x:c r="C204" s="17" t="str">
        <x:v>בי"ס שיזף</x:v>
      </x:c>
      <x:c r="D204" s="17" t="str">
        <x:v>הבישוף חג'אר 1</x:v>
      </x:c>
      <x:c r="E204" s="17" t="str">
        <x:v>גבוה מאוד</x:v>
      </x:c>
      <x:c r="F204" s="25" t="str">
        <x:v>מספר קלפי בסיסי ושם אתר זהים</x:v>
      </x:c>
      <x:c r="G204" s="25" t="str">
        <x:v>הודעת הבחירות הרשמית של חיפה (2024)</x:v>
      </x:c>
      <x:c r="H204" s="25" t="n">
        <x:v>6</x:v>
      </x:c>
      <x:c r="I204" s="25" t="str">
        <x:v>275.0</x:v>
      </x:c>
      <x:c r="J204" s="25" t="str">
        <x:v>בי"ס שיזף</x:v>
      </x:c>
      <x:c r="K204" s="25" t="str">
        <x:v>מוכן לעבודה</x:v>
      </x:c>
    </x:row>
    <x:row r="205" ht="38" customHeight="1">
      <x:c r="A205" s="29" t="str">
        <x:v>275.5</x:v>
      </x:c>
      <x:c r="B205" s="28" t="n">
        <x:v>2826</x:v>
      </x:c>
      <x:c r="C205" s="17" t="str">
        <x:v>בי"ס שיזף</x:v>
      </x:c>
      <x:c r="D205" s="17" t="str">
        <x:v>הבישוף חג'אר 1</x:v>
      </x:c>
      <x:c r="E205" s="17" t="str">
        <x:v>גבוה מאוד</x:v>
      </x:c>
      <x:c r="F205" s="25" t="str">
        <x:v>מספר קלפי בסיסי ושם אתר זהים</x:v>
      </x:c>
      <x:c r="G205" s="25" t="str">
        <x:v>הודעת הבחירות הרשמית של חיפה (2024)</x:v>
      </x:c>
      <x:c r="H205" s="25" t="n">
        <x:v>6</x:v>
      </x:c>
      <x:c r="I205" s="25" t="str">
        <x:v>275.0</x:v>
      </x:c>
      <x:c r="J205" s="25" t="str">
        <x:v>בי"ס שיזף</x:v>
      </x:c>
      <x:c r="K205" s="25" t="str">
        <x:v>מוכן לעבודה</x:v>
      </x:c>
    </x:row>
    <x:row r="206" ht="38" customHeight="1">
      <x:c r="A206" s="29" t="str">
        <x:v>277</x:v>
      </x:c>
      <x:c r="B206" s="28" t="n">
        <x:v>2827</x:v>
      </x:c>
      <x:c r="C206" s="17" t="str">
        <x:v>מרכז "ערבי יהודי" תיאטרון</x:v>
      </x:c>
      <x:c r="D206" s="17" t="str">
        <x:v>שד הציונות 33</x:v>
      </x:c>
      <x:c r="E206" s="17" t="str">
        <x:v>גבוה מאוד</x:v>
      </x:c>
      <x:c r="F206" s="25" t="str">
        <x:v>מספר קלפי בסיסי ושם אתר זהים</x:v>
      </x:c>
      <x:c r="G206" s="25" t="str">
        <x:v>הודעת הבחירות הרשמית של חיפה (2024)</x:v>
      </x:c>
      <x:c r="H206" s="25" t="n">
        <x:v>6</x:v>
      </x:c>
      <x:c r="I206" s="25" t="str">
        <x:v>277.0</x:v>
      </x:c>
      <x:c r="J206" s="25" t="str">
        <x:v>מרכז "ערבי יהודי" תיאטרון</x:v>
      </x:c>
      <x:c r="K206" s="25" t="str">
        <x:v>מוכן לעבודה</x:v>
      </x:c>
    </x:row>
    <x:row r="207" ht="38" customHeight="1">
      <x:c r="A207" s="29" t="str">
        <x:v>279</x:v>
      </x:c>
      <x:c r="B207" s="28" t="n">
        <x:v>2828</x:v>
      </x:c>
      <x:c r="C207" s="17" t="str">
        <x:v>מועדון הנוער הנוצרי</x:v>
      </x:c>
      <x:c r="D207" s="17" t="str">
        <x:v>שומאכר גוטליב 4</x:v>
      </x:c>
      <x:c r="E207" s="17" t="str">
        <x:v>גבוה מאוד</x:v>
      </x:c>
      <x:c r="F207" s="25" t="str">
        <x:v>מספר קלפי בסיסי ושם אתר זהים</x:v>
      </x:c>
      <x:c r="G207" s="25" t="str">
        <x:v>הודעת הבחירות הרשמית של חיפה (2024)</x:v>
      </x:c>
      <x:c r="H207" s="25" t="n">
        <x:v>6</x:v>
      </x:c>
      <x:c r="I207" s="25" t="str">
        <x:v>279.0</x:v>
      </x:c>
      <x:c r="J207" s="25" t="str">
        <x:v>מועדון הנוער הנוצרי</x:v>
      </x:c>
      <x:c r="K207" s="25" t="str">
        <x:v>מוכן לעבודה</x:v>
      </x:c>
    </x:row>
    <x:row r="208" ht="38" customHeight="1">
      <x:c r="A208" s="29" t="str">
        <x:v>280</x:v>
      </x:c>
      <x:c r="B208" s="28" t="n">
        <x:v>2829</x:v>
      </x:c>
      <x:c r="C208" s="17" t="str">
        <x:v>בית המהנדס</x:v>
      </x:c>
      <x:c r="D208" s="17" t="str">
        <x:v>שבתאי לוי 24</x:v>
      </x:c>
      <x:c r="E208" s="17" t="str">
        <x:v>גבוה מאוד</x:v>
      </x:c>
      <x:c r="F208" s="25" t="str">
        <x:v>מספר קלפי בסיסי ושם אתר זהים</x:v>
      </x:c>
      <x:c r="G208" s="25" t="str">
        <x:v>הודעת הבחירות הרשמית של חיפה (2024)</x:v>
      </x:c>
      <x:c r="H208" s="25" t="n">
        <x:v>6</x:v>
      </x:c>
      <x:c r="I208" s="25" t="str">
        <x:v>280.0</x:v>
      </x:c>
      <x:c r="J208" s="25" t="str">
        <x:v>בית המהנדס</x:v>
      </x:c>
      <x:c r="K208" s="25" t="str">
        <x:v>מוכן לעבודה</x:v>
      </x:c>
    </x:row>
    <x:row r="209" ht="38" customHeight="1">
      <x:c r="A209" s="29" t="str">
        <x:v>281</x:v>
      </x:c>
      <x:c r="B209" s="28" t="n">
        <x:v>2830</x:v>
      </x:c>
      <x:c r="C209" s="17" t="str">
        <x:v>בית המהנדס</x:v>
      </x:c>
      <x:c r="D209" s="17" t="str">
        <x:v>שבתאי לוי 24</x:v>
      </x:c>
      <x:c r="E209" s="17" t="str">
        <x:v>גבוה מאוד</x:v>
      </x:c>
      <x:c r="F209" s="25" t="str">
        <x:v>מספר קלפי בסיסי ושם אתר זהים</x:v>
      </x:c>
      <x:c r="G209" s="25" t="str">
        <x:v>הודעת הבחירות הרשמית של חיפה (2024)</x:v>
      </x:c>
      <x:c r="H209" s="25" t="n">
        <x:v>6</x:v>
      </x:c>
      <x:c r="I209" s="25" t="str">
        <x:v>281.0</x:v>
      </x:c>
      <x:c r="J209" s="25" t="str">
        <x:v>בית המהנדס</x:v>
      </x:c>
      <x:c r="K209" s="25" t="str">
        <x:v>מוכן לעבודה</x:v>
      </x:c>
    </x:row>
    <x:row r="210" ht="38" customHeight="1">
      <x:c r="A210" s="29" t="str">
        <x:v>282</x:v>
      </x:c>
      <x:c r="B210" s="28" t="n">
        <x:v>2972</x:v>
      </x:c>
      <x:c r="C210" s="17" t="str">
        <x:v>מתנ"ס לאו בק שלוחת בית אל</x:v>
      </x:c>
      <x:c r="D210" s="17" t="str">
        <x:v>בית אל 3</x:v>
      </x:c>
      <x:c r="E210" s="17" t="str">
        <x:v>גבוה מאוד</x:v>
      </x:c>
      <x:c r="F210" s="25" t="str">
        <x:v>מספר קלפי בסיסי ושם אתר זהים</x:v>
      </x:c>
      <x:c r="G210" s="25" t="str">
        <x:v>הודעת הבחירות הרשמית של חיפה (2024)</x:v>
      </x:c>
      <x:c r="H210" s="25" t="n">
        <x:v>6</x:v>
      </x:c>
      <x:c r="I210" s="25" t="str">
        <x:v>282.0</x:v>
      </x:c>
      <x:c r="J210" s="25" t="str">
        <x:v>מתנ"ס לאו בק שלוחת בית אל</x:v>
      </x:c>
      <x:c r="K210" s="25" t="str">
        <x:v>מוכן לעבודה</x:v>
      </x:c>
    </x:row>
    <x:row r="211" ht="38" customHeight="1">
      <x:c r="A211" s="29" t="str">
        <x:v>283.1</x:v>
      </x:c>
      <x:c r="B211" s="28" t="n">
        <x:v>2886</x:v>
      </x:c>
      <x:c r="C211" s="17" t="str">
        <x:v>בי"ס ליאו בק</x:v>
      </x:c>
      <x:c r="D211" s="17" t="str">
        <x:v>שד גולומב אליהו 4</x:v>
      </x:c>
      <x:c r="E211" s="17" t="str">
        <x:v>גבוה מאוד</x:v>
      </x:c>
      <x:c r="F211" s="25" t="str">
        <x:v>מספר קלפי בסיסי ושם אתר זהים</x:v>
      </x:c>
      <x:c r="G211" s="25" t="str">
        <x:v>הודעת הבחירות הרשמית של חיפה (2024)</x:v>
      </x:c>
      <x:c r="H211" s="25" t="n">
        <x:v>6</x:v>
      </x:c>
      <x:c r="I211" s="25" t="str">
        <x:v>283.0</x:v>
      </x:c>
      <x:c r="J211" s="25" t="str">
        <x:v>בי"ס ליאו בק</x:v>
      </x:c>
      <x:c r="K211" s="25" t="str">
        <x:v>מוכן לעבודה</x:v>
      </x:c>
    </x:row>
    <x:row r="212" ht="38" customHeight="1">
      <x:c r="A212" s="29" t="str">
        <x:v>283.2</x:v>
      </x:c>
      <x:c r="B212" s="28" t="n">
        <x:v>2887</x:v>
      </x:c>
      <x:c r="C212" s="17" t="str">
        <x:v>בי"ס ליאו בק</x:v>
      </x:c>
      <x:c r="D212" s="17" t="str">
        <x:v>שד גולומב אליהו 4</x:v>
      </x:c>
      <x:c r="E212" s="17" t="str">
        <x:v>גבוה מאוד</x:v>
      </x:c>
      <x:c r="F212" s="25" t="str">
        <x:v>מספר קלפי בסיסי ושם אתר זהים</x:v>
      </x:c>
      <x:c r="G212" s="25" t="str">
        <x:v>הודעת הבחירות הרשמית של חיפה (2024)</x:v>
      </x:c>
      <x:c r="H212" s="25" t="n">
        <x:v>6</x:v>
      </x:c>
      <x:c r="I212" s="25" t="str">
        <x:v>283.0</x:v>
      </x:c>
      <x:c r="J212" s="25" t="str">
        <x:v>בי"ס ליאו בק</x:v>
      </x:c>
      <x:c r="K212" s="25" t="str">
        <x:v>מוכן לעבודה</x:v>
      </x:c>
    </x:row>
    <x:row r="213" ht="38" customHeight="1">
      <x:c r="A213" s="29" t="str">
        <x:v>283.3</x:v>
      </x:c>
      <x:c r="B213" s="28" t="n">
        <x:v>2888</x:v>
      </x:c>
      <x:c r="C213" s="17" t="str">
        <x:v>בי"ס ליאו בק</x:v>
      </x:c>
      <x:c r="D213" s="17" t="str">
        <x:v>שד גולומב אליהו 4</x:v>
      </x:c>
      <x:c r="E213" s="17" t="str">
        <x:v>גבוה מאוד</x:v>
      </x:c>
      <x:c r="F213" s="25" t="str">
        <x:v>מספר קלפי בסיסי ושם אתר זהים</x:v>
      </x:c>
      <x:c r="G213" s="25" t="str">
        <x:v>הודעת הבחירות הרשמית של חיפה (2024)</x:v>
      </x:c>
      <x:c r="H213" s="25" t="n">
        <x:v>6</x:v>
      </x:c>
      <x:c r="I213" s="25" t="str">
        <x:v>283.0</x:v>
      </x:c>
      <x:c r="J213" s="25" t="str">
        <x:v>בי"ס ליאו בק</x:v>
      </x:c>
      <x:c r="K213" s="25" t="str">
        <x:v>מוכן לעבודה</x:v>
      </x:c>
    </x:row>
    <x:row r="214" ht="38" customHeight="1">
      <x:c r="A214" s="29" t="str">
        <x:v>284</x:v>
      </x:c>
      <x:c r="B214" s="28" t="n">
        <x:v>2889</x:v>
      </x:c>
      <x:c r="C214" s="17" t="str">
        <x:v>בי"ס אורים</x:v>
      </x:c>
      <x:c r="D214" s="17" t="str">
        <x:v>מונטיפיורי 15</x:v>
      </x:c>
      <x:c r="E214" s="17" t="str">
        <x:v>גבוה מאוד</x:v>
      </x:c>
      <x:c r="F214" s="25" t="str">
        <x:v>מספר קלפי בסיסי ושם אתר זהים</x:v>
      </x:c>
      <x:c r="G214" s="25" t="str">
        <x:v>הודעת הבחירות הרשמית של חיפה (2024)</x:v>
      </x:c>
      <x:c r="H214" s="25" t="n">
        <x:v>6</x:v>
      </x:c>
      <x:c r="I214" s="25" t="str">
        <x:v>284.0</x:v>
      </x:c>
      <x:c r="J214" s="25" t="str">
        <x:v>בי"ס אורים</x:v>
      </x:c>
      <x:c r="K214" s="25" t="str">
        <x:v>מוכן לעבודה</x:v>
      </x:c>
    </x:row>
    <x:row r="215" ht="38" customHeight="1">
      <x:c r="A215" s="29" t="str">
        <x:v>287.1</x:v>
      </x:c>
      <x:c r="B215" s="28" t="n">
        <x:v>2890</x:v>
      </x:c>
      <x:c r="C215" s="17" t="str">
        <x:v>בי"ס למחוננים</x:v>
      </x:c>
      <x:c r="D215" s="17" t="str">
        <x:v>מסדה 8</x:v>
      </x:c>
      <x:c r="E215" s="17" t="str">
        <x:v>גבוה מאוד</x:v>
      </x:c>
      <x:c r="F215" s="25" t="str">
        <x:v>מספר קלפי בסיסי ושם אתר זהים</x:v>
      </x:c>
      <x:c r="G215" s="25" t="str">
        <x:v>הודעת הבחירות הרשמית של חיפה (2024)</x:v>
      </x:c>
      <x:c r="H215" s="25" t="n">
        <x:v>6</x:v>
      </x:c>
      <x:c r="I215" s="25" t="str">
        <x:v>287.0</x:v>
      </x:c>
      <x:c r="J215" s="25" t="str">
        <x:v>בי"ס למחוננים</x:v>
      </x:c>
      <x:c r="K215" s="25" t="str">
        <x:v>מוכן לעבודה</x:v>
      </x:c>
    </x:row>
    <x:row r="216" ht="38" customHeight="1">
      <x:c r="A216" s="29" t="str">
        <x:v>287.2</x:v>
      </x:c>
      <x:c r="B216" s="28" t="n">
        <x:v>2891</x:v>
      </x:c>
      <x:c r="C216" s="17" t="str">
        <x:v>בי"ס למחוננים</x:v>
      </x:c>
      <x:c r="D216" s="17" t="str">
        <x:v>מסדה 8</x:v>
      </x:c>
      <x:c r="E216" s="17" t="str">
        <x:v>גבוה מאוד</x:v>
      </x:c>
      <x:c r="F216" s="25" t="str">
        <x:v>מספר קלפי בסיסי ושם אתר זהים</x:v>
      </x:c>
      <x:c r="G216" s="25" t="str">
        <x:v>הודעת הבחירות הרשמית של חיפה (2024)</x:v>
      </x:c>
      <x:c r="H216" s="25" t="n">
        <x:v>6</x:v>
      </x:c>
      <x:c r="I216" s="25" t="str">
        <x:v>287.0</x:v>
      </x:c>
      <x:c r="J216" s="25" t="str">
        <x:v>בי"ס למחוננים</x:v>
      </x:c>
      <x:c r="K216" s="25" t="str">
        <x:v>מוכן לעבודה</x:v>
      </x:c>
    </x:row>
    <x:row r="217" ht="38" customHeight="1">
      <x:c r="A217" s="29" t="str">
        <x:v>287.3</x:v>
      </x:c>
      <x:c r="B217" s="28" t="n">
        <x:v>2892</x:v>
      </x:c>
      <x:c r="C217" s="17" t="str">
        <x:v>בי"ס למחוננים</x:v>
      </x:c>
      <x:c r="D217" s="17" t="str">
        <x:v>מסדה 8</x:v>
      </x:c>
      <x:c r="E217" s="17" t="str">
        <x:v>גבוה מאוד</x:v>
      </x:c>
      <x:c r="F217" s="25" t="str">
        <x:v>מספר קלפי בסיסי ושם אתר זהים</x:v>
      </x:c>
      <x:c r="G217" s="25" t="str">
        <x:v>הודעת הבחירות הרשמית של חיפה (2024)</x:v>
      </x:c>
      <x:c r="H217" s="25" t="n">
        <x:v>6</x:v>
      </x:c>
      <x:c r="I217" s="25" t="str">
        <x:v>287.0</x:v>
      </x:c>
      <x:c r="J217" s="25" t="str">
        <x:v>בי"ס למחוננים</x:v>
      </x:c>
      <x:c r="K217" s="25" t="str">
        <x:v>מוכן לעבודה</x:v>
      </x:c>
    </x:row>
    <x:row r="218" ht="38" customHeight="1">
      <x:c r="A218" s="29" t="str">
        <x:v>287.4</x:v>
      </x:c>
      <x:c r="B218" s="28" t="n">
        <x:v>2893</x:v>
      </x:c>
      <x:c r="C218" s="17" t="str">
        <x:v>בי"ס למחוננים</x:v>
      </x:c>
      <x:c r="D218" s="17" t="str">
        <x:v>מסדה 8</x:v>
      </x:c>
      <x:c r="E218" s="17" t="str">
        <x:v>גבוה מאוד</x:v>
      </x:c>
      <x:c r="F218" s="25" t="str">
        <x:v>מספר קלפי בסיסי ושם אתר זהים</x:v>
      </x:c>
      <x:c r="G218" s="25" t="str">
        <x:v>הודעת הבחירות הרשמית של חיפה (2024)</x:v>
      </x:c>
      <x:c r="H218" s="25" t="n">
        <x:v>6</x:v>
      </x:c>
      <x:c r="I218" s="25" t="str">
        <x:v>287.0</x:v>
      </x:c>
      <x:c r="J218" s="25" t="str">
        <x:v>בי"ס למחוננים</x:v>
      </x:c>
      <x:c r="K218" s="25" t="str">
        <x:v>מוכן לעבודה</x:v>
      </x:c>
    </x:row>
    <x:row r="219" ht="38" customHeight="1">
      <x:c r="A219" s="29" t="str">
        <x:v>287.5</x:v>
      </x:c>
      <x:c r="B219" s="28" t="n">
        <x:v>2894</x:v>
      </x:c>
      <x:c r="C219" s="17" t="str">
        <x:v>בי"ס למחוננים</x:v>
      </x:c>
      <x:c r="D219" s="17" t="str">
        <x:v>מסדה 8</x:v>
      </x:c>
      <x:c r="E219" s="17" t="str">
        <x:v>גבוה מאוד</x:v>
      </x:c>
      <x:c r="F219" s="25" t="str">
        <x:v>מספר קלפי בסיסי ושם אתר זהים</x:v>
      </x:c>
      <x:c r="G219" s="25" t="str">
        <x:v>הודעת הבחירות הרשמית של חיפה (2024)</x:v>
      </x:c>
      <x:c r="H219" s="25" t="n">
        <x:v>6</x:v>
      </x:c>
      <x:c r="I219" s="25" t="str">
        <x:v>287.0</x:v>
      </x:c>
      <x:c r="J219" s="25" t="str">
        <x:v>בי"ס למחוננים</x:v>
      </x:c>
      <x:c r="K219" s="25" t="str">
        <x:v>מוכן לעבודה</x:v>
      </x:c>
    </x:row>
    <x:row r="220" ht="38" customHeight="1">
      <x:c r="A220" s="29" t="str">
        <x:v>290</x:v>
      </x:c>
      <x:c r="B220" s="28" t="n">
        <x:v>2831</x:v>
      </x:c>
      <x:c r="C220" s="17" t="str">
        <x:v>מתנ"ס הדר ע"ש גולד ושנפלד</x:v>
      </x:c>
      <x:c r="D220" s="17" t="str">
        <x:v>טבריה 15</x:v>
      </x:c>
      <x:c r="E220" s="17" t="str">
        <x:v>גבוה מאוד</x:v>
      </x:c>
      <x:c r="F220" s="25" t="str">
        <x:v>מספר קלפי בסיסי ושם אתר זהים</x:v>
      </x:c>
      <x:c r="G220" s="25" t="str">
        <x:v>הודעת הבחירות הרשמית של חיפה (2024)</x:v>
      </x:c>
      <x:c r="H220" s="25" t="n">
        <x:v>6</x:v>
      </x:c>
      <x:c r="I220" s="25" t="str">
        <x:v>290.0</x:v>
      </x:c>
      <x:c r="J220" s="25" t="str">
        <x:v>מתנ"ס הדר ע"ש גולד ושנפלד</x:v>
      </x:c>
      <x:c r="K220" s="25" t="str">
        <x:v>מוכן לעבודה</x:v>
      </x:c>
    </x:row>
    <x:row r="221" ht="38" customHeight="1">
      <x:c r="A221" s="29" t="str">
        <x:v>291</x:v>
      </x:c>
      <x:c r="B221" s="28" t="n">
        <x:v>2832</x:v>
      </x:c>
      <x:c r="C221" s="17" t="str">
        <x:v>מתנ"ס הדר ע"ש גולד ושנפלד</x:v>
      </x:c>
      <x:c r="D221" s="17" t="str">
        <x:v>טבריה 15</x:v>
      </x:c>
      <x:c r="E221" s="17" t="str">
        <x:v>גבוה מאוד</x:v>
      </x:c>
      <x:c r="F221" s="25" t="str">
        <x:v>מספר קלפי בסיסי ושם אתר זהים</x:v>
      </x:c>
      <x:c r="G221" s="25" t="str">
        <x:v>הודעת הבחירות הרשמית של חיפה (2024)</x:v>
      </x:c>
      <x:c r="H221" s="25" t="n">
        <x:v>6</x:v>
      </x:c>
      <x:c r="I221" s="25" t="str">
        <x:v>291.0</x:v>
      </x:c>
      <x:c r="J221" s="25" t="str">
        <x:v>מתנ"ס הדר ע"ש גולד ושנפלד</x:v>
      </x:c>
      <x:c r="K221" s="25" t="str">
        <x:v>מוכן לעבודה</x:v>
      </x:c>
    </x:row>
    <x:row r="222" ht="38" customHeight="1">
      <x:c r="A222" s="29" t="str">
        <x:v>297</x:v>
      </x:c>
      <x:c r="B222" s="28" t="n">
        <x:v>2833</x:v>
      </x:c>
      <x:c r="C222" s="17" t="str">
        <x:v>מרכז "ערבי יהודי" תיאטרון</x:v>
      </x:c>
      <x:c r="D222" s="17" t="str">
        <x:v>שד הציונות 33</x:v>
      </x:c>
      <x:c r="E222" s="17" t="str">
        <x:v>גבוה מאוד</x:v>
      </x:c>
      <x:c r="F222" s="25" t="str">
        <x:v>מספר קלפי בסיסי ושם אתר זהים</x:v>
      </x:c>
      <x:c r="G222" s="25" t="str">
        <x:v>הודעת הבחירות הרשמית של חיפה (2024)</x:v>
      </x:c>
      <x:c r="H222" s="25" t="n">
        <x:v>6</x:v>
      </x:c>
      <x:c r="I222" s="25" t="str">
        <x:v>297.0</x:v>
      </x:c>
      <x:c r="J222" s="25" t="str">
        <x:v>מרכז "ערבי יהודי" תיאטרון</x:v>
      </x:c>
      <x:c r="K222" s="25" t="str">
        <x:v>מוכן לעבודה</x:v>
      </x:c>
    </x:row>
    <x:row r="223" ht="38" customHeight="1">
      <x:c r="A223" s="29" t="str">
        <x:v>298.1</x:v>
      </x:c>
      <x:c r="B223" s="28" t="n">
        <x:v>2834</x:v>
      </x:c>
      <x:c r="C223" s="17" t="str">
        <x:v>עיריית חיפה - אגף הביטחון</x:v>
      </x:c>
      <x:c r="D223" s="17" t="str">
        <x:v>שפרעם 10</x:v>
      </x:c>
      <x:c r="E223" s="17" t="str">
        <x:v>גבוה מאוד</x:v>
      </x:c>
      <x:c r="F223" s="25" t="str">
        <x:v>מספר קלפי בסיסי ושם אתר זהים</x:v>
      </x:c>
      <x:c r="G223" s="25" t="str">
        <x:v>הודעת הבחירות הרשמית של חיפה (2024)</x:v>
      </x:c>
      <x:c r="H223" s="25" t="n">
        <x:v>6</x:v>
      </x:c>
      <x:c r="I223" s="25" t="str">
        <x:v>298.1</x:v>
      </x:c>
      <x:c r="J223" s="25" t="str">
        <x:v>עיריית חיפה -אגף הביטחון</x:v>
      </x:c>
      <x:c r="K223" s="25" t="str">
        <x:v>מוכן לעבודה</x:v>
      </x:c>
    </x:row>
    <x:row r="224" ht="38" customHeight="1">
      <x:c r="A224" s="29" t="str">
        <x:v>298.2</x:v>
      </x:c>
      <x:c r="B224" s="28" t="n">
        <x:v>2835</x:v>
      </x:c>
      <x:c r="C224" s="17" t="str">
        <x:v>עיריית חיפה - אגף הביטחון</x:v>
      </x:c>
      <x:c r="D224" s="17" t="str">
        <x:v>שפרעם 10</x:v>
      </x:c>
      <x:c r="E224" s="17" t="str">
        <x:v>גבוה מאוד</x:v>
      </x:c>
      <x:c r="F224" s="25" t="str">
        <x:v>מספר קלפי בסיסי ושם אתר זהים</x:v>
      </x:c>
      <x:c r="G224" s="25" t="str">
        <x:v>הודעת הבחירות הרשמית של חיפה (2024)</x:v>
      </x:c>
      <x:c r="H224" s="25" t="n">
        <x:v>6</x:v>
      </x:c>
      <x:c r="I224" s="25" t="str">
        <x:v>298.2</x:v>
      </x:c>
      <x:c r="J224" s="25" t="str">
        <x:v>עיריית חיפה -אגף הביטחון</x:v>
      </x:c>
      <x:c r="K224" s="25" t="str">
        <x:v>מוכן לעבודה</x:v>
      </x:c>
    </x:row>
    <x:row r="225" ht="38" customHeight="1">
      <x:c r="A225" s="29" t="str">
        <x:v>299</x:v>
      </x:c>
      <x:c r="B225" s="28" t="n">
        <x:v>2836</x:v>
      </x:c>
      <x:c r="C225" s="17" t="str">
        <x:v>מרכז "ערבי יהודי" תיאטרון</x:v>
      </x:c>
      <x:c r="D225" s="17" t="str">
        <x:v>שד הציונות 33</x:v>
      </x:c>
      <x:c r="E225" s="17" t="str">
        <x:v>גבוה מאוד</x:v>
      </x:c>
      <x:c r="F225" s="25" t="str">
        <x:v>מספר קלפי בסיסי ושם אתר זהים</x:v>
      </x:c>
      <x:c r="G225" s="25" t="str">
        <x:v>הודעת הבחירות הרשמית של חיפה (2024)</x:v>
      </x:c>
      <x:c r="H225" s="25" t="n">
        <x:v>6</x:v>
      </x:c>
      <x:c r="I225" s="25" t="str">
        <x:v>299.0</x:v>
      </x:c>
      <x:c r="J225" s="25" t="str">
        <x:v>מרכז "ערבי יהודי" תיאטרון</x:v>
      </x:c>
      <x:c r="K225" s="25" t="str">
        <x:v>מוכן לעבודה</x:v>
      </x:c>
    </x:row>
    <x:row r="226" ht="38" customHeight="1">
      <x:c r="A226" s="29" t="str">
        <x:v>300</x:v>
      </x:c>
      <x:c r="B226" s="28" t="n">
        <x:v>3002</x:v>
      </x:c>
      <x:c r="C226" s="17" t="str">
        <x:v>אשכול גני ילדים</x:v>
      </x:c>
      <x:c r="D226" s="17" t="str">
        <x:v>שונית 12</x:v>
      </x:c>
      <x:c r="E226" s="17" t="str">
        <x:v>גבוה מאוד</x:v>
      </x:c>
      <x:c r="F226" s="25" t="str">
        <x:v>מספר קלפי בסיסי ושם אתר זהים</x:v>
      </x:c>
      <x:c r="G226" s="25" t="str">
        <x:v>הודעת הבחירות הרשמית של חיפה (2024)</x:v>
      </x:c>
      <x:c r="H226" s="25" t="n">
        <x:v>6</x:v>
      </x:c>
      <x:c r="I226" s="25" t="str">
        <x:v>300.0</x:v>
      </x:c>
      <x:c r="J226" s="25" t="str">
        <x:v>אשכול גני ילדים</x:v>
      </x:c>
      <x:c r="K226" s="25" t="str">
        <x:v>מוכן לעבודה</x:v>
      </x:c>
    </x:row>
    <x:row r="227" ht="38" customHeight="1">
      <x:c r="A227" s="29" t="str">
        <x:v>301</x:v>
      </x:c>
      <x:c r="B227" s="28" t="n">
        <x:v>2837</x:v>
      </x:c>
      <x:c r="C227" s="17" t="str">
        <x:v>בית ארדשטיין</x:v>
      </x:c>
      <x:c r="D227" s="17" t="str">
        <x:v>פרץ י .ל20,.</x:v>
      </x:c>
      <x:c r="E227" s="17" t="str">
        <x:v>גבוה מאוד</x:v>
      </x:c>
      <x:c r="F227" s="25" t="str">
        <x:v>מספר קלפי בסיסי ושם אתר זהים</x:v>
      </x:c>
      <x:c r="G227" s="25" t="str">
        <x:v>הודעת הבחירות הרשמית של חיפה (2024)</x:v>
      </x:c>
      <x:c r="H227" s="25" t="n">
        <x:v>6</x:v>
      </x:c>
      <x:c r="I227" s="25" t="str">
        <x:v>301.0</x:v>
      </x:c>
      <x:c r="J227" s="25" t="str">
        <x:v>בית ארדשטיין</x:v>
      </x:c>
      <x:c r="K227" s="25" t="str">
        <x:v>מוכן לעבודה</x:v>
      </x:c>
    </x:row>
    <x:row r="228" ht="38" customHeight="1">
      <x:c r="A228" s="29" t="str">
        <x:v>302</x:v>
      </x:c>
      <x:c r="B228" s="28" t="n">
        <x:v>3042</x:v>
      </x:c>
      <x:c r="C228" s="17" t="str">
        <x:v>גן שקמה</x:v>
      </x:c>
      <x:c r="D228" s="17" t="str">
        <x:v>הלילך 26</x:v>
      </x:c>
      <x:c r="E228" s="17" t="str">
        <x:v>גבוה מאוד</x:v>
      </x:c>
      <x:c r="F228" s="25" t="str">
        <x:v>מספר קלפי בסיסי ושם אתר זהים</x:v>
      </x:c>
      <x:c r="G228" s="25" t="str">
        <x:v>הודעת הבחירות הרשמית של חיפה (2024)</x:v>
      </x:c>
      <x:c r="H228" s="25" t="n">
        <x:v>6</x:v>
      </x:c>
      <x:c r="I228" s="25" t="str">
        <x:v>302.0</x:v>
      </x:c>
      <x:c r="J228" s="25" t="str">
        <x:v>גן שקמה</x:v>
      </x:c>
      <x:c r="K228" s="25" t="str">
        <x:v>מוכן לעבודה</x:v>
      </x:c>
    </x:row>
    <x:row r="229" ht="38" customHeight="1">
      <x:c r="A229" s="29" t="str">
        <x:v>304.1</x:v>
      </x:c>
      <x:c r="B229" s="28" t="n">
        <x:v>2858</x:v>
      </x:c>
      <x:c r="C229" s="17" t="str">
        <x:v>ערית חיפה אגף האכיפה והגביה</x:v>
      </x:c>
      <x:c r="D229" s="17" t="str">
        <x:v>ברוואלד 5</x:v>
      </x:c>
      <x:c r="E229" s="17" t="str">
        <x:v>גבוה מאוד</x:v>
      </x:c>
      <x:c r="F229" s="25" t="str">
        <x:v>מספר קלפי בסיסי ושם אתר זהים</x:v>
      </x:c>
      <x:c r="G229" s="25" t="str">
        <x:v>הודעת הבחירות הרשמית של חיפה (2024)</x:v>
      </x:c>
      <x:c r="H229" s="25" t="n">
        <x:v>6</x:v>
      </x:c>
      <x:c r="I229" s="25" t="str">
        <x:v>304.0</x:v>
      </x:c>
      <x:c r="J229" s="25" t="str">
        <x:v>ערית חיפה אגף האכיפה והגביה</x:v>
      </x:c>
      <x:c r="K229" s="25" t="str">
        <x:v>מוכן לעבודה</x:v>
      </x:c>
    </x:row>
    <x:row r="230" ht="38" customHeight="1">
      <x:c r="A230" s="29" t="str">
        <x:v>304.2</x:v>
      </x:c>
      <x:c r="B230" s="28" t="n">
        <x:v>2859</x:v>
      </x:c>
      <x:c r="C230" s="17" t="str">
        <x:v>ערית חיפה אגף האכיפה והגביה</x:v>
      </x:c>
      <x:c r="D230" s="17" t="str">
        <x:v>ברוואלד 5</x:v>
      </x:c>
      <x:c r="E230" s="17" t="str">
        <x:v>גבוה מאוד</x:v>
      </x:c>
      <x:c r="F230" s="25" t="str">
        <x:v>מספר קלפי בסיסי ושם אתר זהים</x:v>
      </x:c>
      <x:c r="G230" s="25" t="str">
        <x:v>הודעת הבחירות הרשמית של חיפה (2024)</x:v>
      </x:c>
      <x:c r="H230" s="25" t="n">
        <x:v>6</x:v>
      </x:c>
      <x:c r="I230" s="25" t="str">
        <x:v>304.0</x:v>
      </x:c>
      <x:c r="J230" s="25" t="str">
        <x:v>ערית חיפה אגף האכיפה והגביה</x:v>
      </x:c>
      <x:c r="K230" s="25" t="str">
        <x:v>מוכן לעבודה</x:v>
      </x:c>
    </x:row>
    <x:row r="231" ht="38" customHeight="1">
      <x:c r="A231" s="29" t="str">
        <x:v>306</x:v>
      </x:c>
      <x:c r="B231" s="28" t="n">
        <x:v>2842</x:v>
      </x:c>
      <x:c r="C231" s="17" t="str">
        <x:v>מועדונית יודפת</x:v>
      </x:c>
      <x:c r="D231" s="17" t="str">
        <x:v>אימבר נפתלי 1</x:v>
      </x:c>
      <x:c r="E231" s="17" t="str">
        <x:v>גבוה מאוד</x:v>
      </x:c>
      <x:c r="F231" s="25" t="str">
        <x:v>מספר קלפי בסיסי ושם אתר זהים</x:v>
      </x:c>
      <x:c r="G231" s="25" t="str">
        <x:v>הודעת הבחירות הרשמית של חיפה (2024)</x:v>
      </x:c>
      <x:c r="H231" s="25" t="n">
        <x:v>6</x:v>
      </x:c>
      <x:c r="I231" s="25" t="str">
        <x:v>306.0</x:v>
      </x:c>
      <x:c r="J231" s="25" t="str">
        <x:v>מועדונית יודפת</x:v>
      </x:c>
      <x:c r="K231" s="25" t="str">
        <x:v>מוכן לעבודה</x:v>
      </x:c>
    </x:row>
    <x:row r="232" ht="38" customHeight="1">
      <x:c r="A232" s="29" t="str">
        <x:v>318.1</x:v>
      </x:c>
      <x:c r="B232" s="28" t="n">
        <x:v>2860</x:v>
      </x:c>
      <x:c r="C232" s="17" t="str">
        <x:v>ספריה עירונית "פבזנר"</x:v>
      </x:c>
      <x:c r="D232" s="17" t="str">
        <x:v>פבזנר 54</x:v>
      </x:c>
      <x:c r="E232" s="17" t="str">
        <x:v>גבוה מאוד</x:v>
      </x:c>
      <x:c r="F232" s="25" t="str">
        <x:v>מספר קלפי בסיסי ושם אתר זהים</x:v>
      </x:c>
      <x:c r="G232" s="25" t="str">
        <x:v>הודעת הבחירות הרשמית של חיפה (2024)</x:v>
      </x:c>
      <x:c r="H232" s="25" t="n">
        <x:v>7</x:v>
      </x:c>
      <x:c r="I232" s="25" t="str">
        <x:v>318.0</x:v>
      </x:c>
      <x:c r="J232" s="25" t="str">
        <x:v>ספריה עירונית "פבזנר"</x:v>
      </x:c>
      <x:c r="K232" s="25" t="str">
        <x:v>מוכן לעבודה</x:v>
      </x:c>
    </x:row>
    <x:row r="233" ht="38" customHeight="1">
      <x:c r="A233" s="29" t="str">
        <x:v>318.2</x:v>
      </x:c>
      <x:c r="B233" s="28" t="n">
        <x:v>2861</x:v>
      </x:c>
      <x:c r="C233" s="17" t="str">
        <x:v>ספריה עירונית "פבזנר"</x:v>
      </x:c>
      <x:c r="D233" s="17" t="str">
        <x:v>פבזנר 54</x:v>
      </x:c>
      <x:c r="E233" s="17" t="str">
        <x:v>גבוה מאוד</x:v>
      </x:c>
      <x:c r="F233" s="25" t="str">
        <x:v>מספר קלפי בסיסי ושם אתר זהים</x:v>
      </x:c>
      <x:c r="G233" s="25" t="str">
        <x:v>הודעת הבחירות הרשמית של חיפה (2024)</x:v>
      </x:c>
      <x:c r="H233" s="25" t="n">
        <x:v>7</x:v>
      </x:c>
      <x:c r="I233" s="25" t="str">
        <x:v>318.0</x:v>
      </x:c>
      <x:c r="J233" s="25" t="str">
        <x:v>ספריה עירונית "פבזנר"</x:v>
      </x:c>
      <x:c r="K233" s="25" t="str">
        <x:v>מוכן לעבודה</x:v>
      </x:c>
    </x:row>
    <x:row r="234" ht="38" customHeight="1">
      <x:c r="A234" s="29" t="str">
        <x:v>318.3</x:v>
      </x:c>
      <x:c r="B234" s="28" t="n">
        <x:v>2862</x:v>
      </x:c>
      <x:c r="C234" s="17" t="str">
        <x:v>בית ההגנה "צוות"</x:v>
      </x:c>
      <x:c r="D234" s="17" t="str">
        <x:v>פבזנר 33</x:v>
      </x:c>
      <x:c r="E234" s="17" t="str">
        <x:v>בינוני-גבוה</x:v>
      </x:c>
      <x:c r="F234" s="25" t="str">
        <x:v>שם אתר זהה במאגר קלפיות ממשלתי היסטורי</x:v>
      </x:c>
      <x:c r="G234" s="25" t="str">
        <x:v>מאגר הקלפיות הממשלתי (2016)</x:v>
      </x:c>
      <x:c r="H234" s="25" t="str"/>
      <x:c r="I234" s="25" t="str"/>
      <x:c r="J234" s="25" t="str">
        <x:v>בית ההגנה "צוות"</x:v>
      </x:c>
      <x:c r="K234" s="25" t="str">
        <x:v>בדיקה ממוקדת</x:v>
      </x:c>
    </x:row>
    <x:row r="235" ht="38" customHeight="1">
      <x:c r="A235" s="29" t="str">
        <x:v>319</x:v>
      </x:c>
      <x:c r="B235" s="28" t="n">
        <x:v>2895</x:v>
      </x:c>
      <x:c r="C235" s="17" t="str">
        <x:v>בי"ס בית יעקב לבנות</x:v>
      </x:c>
      <x:c r="D235" s="17" t="str">
        <x:v>המימוני 2</x:v>
      </x:c>
      <x:c r="E235" s="17" t="str">
        <x:v>גבוה מאוד</x:v>
      </x:c>
      <x:c r="F235" s="25" t="str">
        <x:v>מספר קלפי בסיסי ושם אתר זהים</x:v>
      </x:c>
      <x:c r="G235" s="25" t="str">
        <x:v>הודעת הבחירות הרשמית של חיפה (2024)</x:v>
      </x:c>
      <x:c r="H235" s="25" t="n">
        <x:v>7</x:v>
      </x:c>
      <x:c r="I235" s="25" t="str">
        <x:v>319.0</x:v>
      </x:c>
      <x:c r="J235" s="25" t="str">
        <x:v>בי"ס בית יעקב לבנות</x:v>
      </x:c>
      <x:c r="K235" s="25" t="str">
        <x:v>מוכן לעבודה</x:v>
      </x:c>
    </x:row>
    <x:row r="236" ht="38" customHeight="1">
      <x:c r="A236" s="29" t="str">
        <x:v>320.1</x:v>
      </x:c>
      <x:c r="B236" s="28" t="n">
        <x:v>2863</x:v>
      </x:c>
      <x:c r="C236" s="17" t="str">
        <x:v>ת.דתי לבנות בית יעקב</x:v>
      </x:c>
      <x:c r="D236" s="17" t="str">
        <x:v>בצלאל 5</x:v>
      </x:c>
      <x:c r="E236" s="17" t="str">
        <x:v>גבוה מאוד</x:v>
      </x:c>
      <x:c r="F236" s="25" t="str">
        <x:v>מספר קלפי בסיסי ושם אתר זהים</x:v>
      </x:c>
      <x:c r="G236" s="25" t="str">
        <x:v>הודעת הבחירות הרשמית של חיפה (2024)</x:v>
      </x:c>
      <x:c r="H236" s="25" t="n">
        <x:v>7</x:v>
      </x:c>
      <x:c r="I236" s="25" t="str">
        <x:v>320.0</x:v>
      </x:c>
      <x:c r="J236" s="25" t="str">
        <x:v>ת.דתי לבנות בית יעקב</x:v>
      </x:c>
      <x:c r="K236" s="25" t="str">
        <x:v>מוכן לעבודה</x:v>
      </x:c>
    </x:row>
    <x:row r="237" ht="38" customHeight="1">
      <x:c r="A237" s="29" t="str">
        <x:v>320.2</x:v>
      </x:c>
      <x:c r="B237" s="28" t="n">
        <x:v>2864</x:v>
      </x:c>
      <x:c r="C237" s="17" t="str">
        <x:v>ת.דתי לבנות בית יעקב</x:v>
      </x:c>
      <x:c r="D237" s="17" t="str">
        <x:v>בצלאל 5</x:v>
      </x:c>
      <x:c r="E237" s="17" t="str">
        <x:v>גבוה מאוד</x:v>
      </x:c>
      <x:c r="F237" s="25" t="str">
        <x:v>מספר קלפי בסיסי ושם אתר זהים</x:v>
      </x:c>
      <x:c r="G237" s="25" t="str">
        <x:v>הודעת הבחירות הרשמית של חיפה (2024)</x:v>
      </x:c>
      <x:c r="H237" s="25" t="n">
        <x:v>7</x:v>
      </x:c>
      <x:c r="I237" s="25" t="str">
        <x:v>320.0</x:v>
      </x:c>
      <x:c r="J237" s="25" t="str">
        <x:v>ת.דתי לבנות בית יעקב</x:v>
      </x:c>
      <x:c r="K237" s="25" t="str">
        <x:v>מוכן לעבודה</x:v>
      </x:c>
    </x:row>
    <x:row r="238" ht="38" customHeight="1">
      <x:c r="A238" s="29" t="str">
        <x:v>320.3</x:v>
      </x:c>
      <x:c r="B238" s="28" t="n">
        <x:v>2865</x:v>
      </x:c>
      <x:c r="C238" s="17" t="str">
        <x:v>ת.דתי לבנות בית יעקב</x:v>
      </x:c>
      <x:c r="D238" s="17" t="str">
        <x:v>בצלאל 5</x:v>
      </x:c>
      <x:c r="E238" s="17" t="str">
        <x:v>גבוה מאוד</x:v>
      </x:c>
      <x:c r="F238" s="25" t="str">
        <x:v>מספר קלפי בסיסי ושם אתר זהים</x:v>
      </x:c>
      <x:c r="G238" s="25" t="str">
        <x:v>הודעת הבחירות הרשמית של חיפה (2024)</x:v>
      </x:c>
      <x:c r="H238" s="25" t="n">
        <x:v>7</x:v>
      </x:c>
      <x:c r="I238" s="25" t="str">
        <x:v>320.0</x:v>
      </x:c>
      <x:c r="J238" s="25" t="str">
        <x:v>ת.דתי לבנות בית יעקב</x:v>
      </x:c>
      <x:c r="K238" s="25" t="str">
        <x:v>מוכן לעבודה</x:v>
      </x:c>
    </x:row>
    <x:row r="239" ht="38" customHeight="1">
      <x:c r="A239" s="29" t="str">
        <x:v>320.4</x:v>
      </x:c>
      <x:c r="B239" s="28" t="n">
        <x:v>2866</x:v>
      </x:c>
      <x:c r="C239" s="17" t="str">
        <x:v>ת.דתי לבנות בית יעקב</x:v>
      </x:c>
      <x:c r="D239" s="17" t="str">
        <x:v>בצלאל 5</x:v>
      </x:c>
      <x:c r="E239" s="17" t="str">
        <x:v>גבוה מאוד</x:v>
      </x:c>
      <x:c r="F239" s="25" t="str">
        <x:v>מספר קלפי בסיסי ושם אתר זהים</x:v>
      </x:c>
      <x:c r="G239" s="25" t="str">
        <x:v>הודעת הבחירות הרשמית של חיפה (2024)</x:v>
      </x:c>
      <x:c r="H239" s="25" t="n">
        <x:v>7</x:v>
      </x:c>
      <x:c r="I239" s="25" t="str">
        <x:v>320.0</x:v>
      </x:c>
      <x:c r="J239" s="25" t="str">
        <x:v>ת.דתי לבנות בית יעקב</x:v>
      </x:c>
      <x:c r="K239" s="25" t="str">
        <x:v>מוכן לעבודה</x:v>
      </x:c>
    </x:row>
    <x:row r="240" ht="38" customHeight="1">
      <x:c r="A240" s="29" t="str">
        <x:v>320.5</x:v>
      </x:c>
      <x:c r="B240" s="28" t="n">
        <x:v>2867</x:v>
      </x:c>
      <x:c r="C240" s="17" t="str">
        <x:v>ת.דתי לבנות בית יעקב</x:v>
      </x:c>
      <x:c r="D240" s="17" t="str">
        <x:v>בצלאל 5</x:v>
      </x:c>
      <x:c r="E240" s="17" t="str">
        <x:v>גבוה מאוד</x:v>
      </x:c>
      <x:c r="F240" s="25" t="str">
        <x:v>מספר קלפי בסיסי ושם אתר זהים</x:v>
      </x:c>
      <x:c r="G240" s="25" t="str">
        <x:v>הודעת הבחירות הרשמית של חיפה (2024)</x:v>
      </x:c>
      <x:c r="H240" s="25" t="n">
        <x:v>7</x:v>
      </x:c>
      <x:c r="I240" s="25" t="str">
        <x:v>320.0</x:v>
      </x:c>
      <x:c r="J240" s="25" t="str">
        <x:v>ת.דתי לבנות בית יעקב</x:v>
      </x:c>
      <x:c r="K240" s="25" t="str">
        <x:v>מוכן לעבודה</x:v>
      </x:c>
    </x:row>
    <x:row r="241" ht="38" customHeight="1">
      <x:c r="A241" s="29" t="str">
        <x:v>320.6</x:v>
      </x:c>
      <x:c r="B241" s="28" t="n">
        <x:v>2868</x:v>
      </x:c>
      <x:c r="C241" s="17" t="str">
        <x:v>ת.דתי לבנות בית יעקב</x:v>
      </x:c>
      <x:c r="D241" s="17" t="str">
        <x:v>בצלאל 5</x:v>
      </x:c>
      <x:c r="E241" s="17" t="str">
        <x:v>גבוה מאוד</x:v>
      </x:c>
      <x:c r="F241" s="25" t="str">
        <x:v>מספר קלפי בסיסי ושם אתר זהים</x:v>
      </x:c>
      <x:c r="G241" s="25" t="str">
        <x:v>הודעת הבחירות הרשמית של חיפה (2024)</x:v>
      </x:c>
      <x:c r="H241" s="25" t="n">
        <x:v>7</x:v>
      </x:c>
      <x:c r="I241" s="25" t="str">
        <x:v>320.0</x:v>
      </x:c>
      <x:c r="J241" s="25" t="str">
        <x:v>ת.דתי לבנות בית יעקב</x:v>
      </x:c>
      <x:c r="K241" s="25" t="str">
        <x:v>מוכן לעבודה</x:v>
      </x:c>
    </x:row>
    <x:row r="242" ht="38" customHeight="1">
      <x:c r="A242" s="29" t="str">
        <x:v>322</x:v>
      </x:c>
      <x:c r="B242" s="28" t="n">
        <x:v>3043</x:v>
      </x:c>
      <x:c r="C242" s="17" t="str">
        <x:v>עירוני ה חטיבת בינים</x:v>
      </x:c>
      <x:c r="D242" s="17" t="str">
        <x:v>הטנא 2</x:v>
      </x:c>
      <x:c r="E242" s="17" t="str">
        <x:v>גבוה</x:v>
      </x:c>
      <x:c r="F242" s="25" t="str">
        <x:v>שם אתר ייחודי זהה; מספר הקלפי השתנה או פוצל</x:v>
      </x:c>
      <x:c r="G242" s="25" t="str">
        <x:v>הודעת הבחירות הרשמית של חיפה (2024)</x:v>
      </x:c>
      <x:c r="H242" s="25" t="n">
        <x:v>5</x:v>
      </x:c>
      <x:c r="I242" s="25" t="str">
        <x:v>260.0</x:v>
      </x:c>
      <x:c r="J242" s="25" t="str">
        <x:v>עירוני ה חטיבת בינים</x:v>
      </x:c>
      <x:c r="K242" s="25" t="str">
        <x:v>מוכן לעבודה</x:v>
      </x:c>
    </x:row>
    <x:row r="243" ht="38" customHeight="1">
      <x:c r="A243" s="29" t="str">
        <x:v>325</x:v>
      </x:c>
      <x:c r="B243" s="28" t="n">
        <x:v>2896</x:v>
      </x:c>
      <x:c r="C243" s="17" t="str">
        <x:v>בי"ס בית יעקב לבנות</x:v>
      </x:c>
      <x:c r="D243" s="17" t="str">
        <x:v>המימוני 2</x:v>
      </x:c>
      <x:c r="E243" s="17" t="str">
        <x:v>גבוה מאוד</x:v>
      </x:c>
      <x:c r="F243" s="25" t="str">
        <x:v>מספר קלפי בסיסי ושם אתר זהים</x:v>
      </x:c>
      <x:c r="G243" s="25" t="str">
        <x:v>הודעת הבחירות הרשמית של חיפה (2024)</x:v>
      </x:c>
      <x:c r="H243" s="25" t="n">
        <x:v>7</x:v>
      </x:c>
      <x:c r="I243" s="25" t="str">
        <x:v>325.0</x:v>
      </x:c>
      <x:c r="J243" s="25" t="str">
        <x:v>בי"ס בית יעקב לבנות</x:v>
      </x:c>
      <x:c r="K243" s="25" t="str">
        <x:v>מוכן לעבודה</x:v>
      </x:c>
    </x:row>
    <x:row r="244" ht="38" customHeight="1">
      <x:c r="A244" s="29" t="str">
        <x:v>327</x:v>
      </x:c>
      <x:c r="B244" s="28" t="n">
        <x:v>2869</x:v>
      </x:c>
      <x:c r="C244" s="17" t="str">
        <x:v>מתנ"ס הדר</x:v>
      </x:c>
      <x:c r="D244" s="17" t="str">
        <x:v>בית"ר 8</x:v>
      </x:c>
      <x:c r="E244" s="17" t="str">
        <x:v>גבוה מאוד</x:v>
      </x:c>
      <x:c r="F244" s="25" t="str">
        <x:v>מספר קלפי בסיסי ושם אתר זהים</x:v>
      </x:c>
      <x:c r="G244" s="25" t="str">
        <x:v>הודעת הבחירות הרשמית של חיפה (2024)</x:v>
      </x:c>
      <x:c r="H244" s="25" t="n">
        <x:v>7</x:v>
      </x:c>
      <x:c r="I244" s="25" t="str">
        <x:v>327.0</x:v>
      </x:c>
      <x:c r="J244" s="25" t="str">
        <x:v>מתנ"ס הדר</x:v>
      </x:c>
      <x:c r="K244" s="25" t="str">
        <x:v>מוכן לעבודה</x:v>
      </x:c>
    </x:row>
    <x:row r="245" ht="38" customHeight="1">
      <x:c r="A245" s="29" t="str">
        <x:v>328</x:v>
      </x:c>
      <x:c r="B245" s="28" t="n">
        <x:v>2870</x:v>
      </x:c>
      <x:c r="C245" s="17" t="str">
        <x:v>מתנ"ס הדר</x:v>
      </x:c>
      <x:c r="D245" s="17" t="str">
        <x:v>בית"ר 8</x:v>
      </x:c>
      <x:c r="E245" s="17" t="str">
        <x:v>גבוה מאוד</x:v>
      </x:c>
      <x:c r="F245" s="25" t="str">
        <x:v>מספר קלפי בסיסי ושם אתר זהים</x:v>
      </x:c>
      <x:c r="G245" s="25" t="str">
        <x:v>הודעת הבחירות הרשמית של חיפה (2024)</x:v>
      </x:c>
      <x:c r="H245" s="25" t="n">
        <x:v>7</x:v>
      </x:c>
      <x:c r="I245" s="25" t="str">
        <x:v>328.0</x:v>
      </x:c>
      <x:c r="J245" s="25" t="str">
        <x:v>מתנ"ס הדר</x:v>
      </x:c>
      <x:c r="K245" s="25" t="str">
        <x:v>מוכן לעבודה</x:v>
      </x:c>
    </x:row>
    <x:row r="246" ht="38" customHeight="1">
      <x:c r="A246" s="29" t="str">
        <x:v>334</x:v>
      </x:c>
      <x:c r="B246" s="28" t="n">
        <x:v>2973</x:v>
      </x:c>
      <x:c r="C246" s="17" t="str">
        <x:v>בי"ס אילנשיל אופקים</x:v>
      </x:c>
      <x:c r="D246" s="17" t="str">
        <x:v>דרך הים 44</x:v>
      </x:c>
      <x:c r="E246" s="17" t="str">
        <x:v>גבוה מאוד</x:v>
      </x:c>
      <x:c r="F246" s="25" t="str">
        <x:v>מספר קלפי בסיסי ושם אתר זהים</x:v>
      </x:c>
      <x:c r="G246" s="25" t="str">
        <x:v>הודעת הבחירות הרשמית של חיפה (2024)</x:v>
      </x:c>
      <x:c r="H246" s="25" t="n">
        <x:v>7</x:v>
      </x:c>
      <x:c r="I246" s="25" t="str">
        <x:v>334.0</x:v>
      </x:c>
      <x:c r="J246" s="25" t="str">
        <x:v>בי"ס אילנשיל אופקים</x:v>
      </x:c>
      <x:c r="K246" s="25" t="str">
        <x:v>מוכן לעבודה</x:v>
      </x:c>
    </x:row>
    <x:row r="247" ht="38" customHeight="1">
      <x:c r="A247" s="29" t="str">
        <x:v>335.1</x:v>
      </x:c>
      <x:c r="B247" s="28" t="n">
        <x:v>2843</x:v>
      </x:c>
      <x:c r="C247" s="17" t="str">
        <x:v>מרכז קהילתי "עציון"</x:v>
      </x:c>
      <x:c r="D247" s="17" t="str">
        <x:v>יל"ג 7</x:v>
      </x:c>
      <x:c r="E247" s="17" t="str">
        <x:v>גבוה מאוד</x:v>
      </x:c>
      <x:c r="F247" s="25" t="str">
        <x:v>מספר קלפי בסיסי ושם אתר זהים</x:v>
      </x:c>
      <x:c r="G247" s="25" t="str">
        <x:v>הודעת הבחירות הרשמית של חיפה (2024)</x:v>
      </x:c>
      <x:c r="H247" s="25" t="n">
        <x:v>7</x:v>
      </x:c>
      <x:c r="I247" s="25" t="str">
        <x:v>335.0</x:v>
      </x:c>
      <x:c r="J247" s="25" t="str">
        <x:v>מרכז קהילתי "עציון"</x:v>
      </x:c>
      <x:c r="K247" s="25" t="str">
        <x:v>מוכן לעבודה</x:v>
      </x:c>
    </x:row>
    <x:row r="248" ht="38" customHeight="1">
      <x:c r="A248" s="29" t="str">
        <x:v>335.2</x:v>
      </x:c>
      <x:c r="B248" s="28" t="n">
        <x:v>2844</x:v>
      </x:c>
      <x:c r="C248" s="17" t="str">
        <x:v>מרכז קהילתי "עציון"</x:v>
      </x:c>
      <x:c r="D248" s="17" t="str">
        <x:v>יל"ג 7</x:v>
      </x:c>
      <x:c r="E248" s="17" t="str">
        <x:v>גבוה מאוד</x:v>
      </x:c>
      <x:c r="F248" s="25" t="str">
        <x:v>מספר קלפי בסיסי ושם אתר זהים</x:v>
      </x:c>
      <x:c r="G248" s="25" t="str">
        <x:v>הודעת הבחירות הרשמית של חיפה (2024)</x:v>
      </x:c>
      <x:c r="H248" s="25" t="n">
        <x:v>7</x:v>
      </x:c>
      <x:c r="I248" s="25" t="str">
        <x:v>335.0</x:v>
      </x:c>
      <x:c r="J248" s="25" t="str">
        <x:v>מרכז קהילתי "עציון"</x:v>
      </x:c>
      <x:c r="K248" s="25" t="str">
        <x:v>מוכן לעבודה</x:v>
      </x:c>
    </x:row>
    <x:row r="249" ht="38" customHeight="1">
      <x:c r="A249" s="29" t="str">
        <x:v>337.1</x:v>
      </x:c>
      <x:c r="B249" s="28" t="n">
        <x:v>2897</x:v>
      </x:c>
      <x:c r="C249" s="17" t="str">
        <x:v>מתנ"ס הדר-ביתנו</x:v>
      </x:c>
      <x:c r="D249" s="17" t="str">
        <x:v>ירושלים 29</x:v>
      </x:c>
      <x:c r="E249" s="17" t="str">
        <x:v>גבוה מאוד</x:v>
      </x:c>
      <x:c r="F249" s="25" t="str">
        <x:v>מספר קלפי בסיסי ושם אתר זהים</x:v>
      </x:c>
      <x:c r="G249" s="25" t="str">
        <x:v>הודעת הבחירות הרשמית של חיפה (2024)</x:v>
      </x:c>
      <x:c r="H249" s="25" t="n">
        <x:v>7</x:v>
      </x:c>
      <x:c r="I249" s="25" t="str">
        <x:v>337.0</x:v>
      </x:c>
      <x:c r="J249" s="25" t="str">
        <x:v>מתנ"ס הדר-ביתנו</x:v>
      </x:c>
      <x:c r="K249" s="25" t="str">
        <x:v>מוכן לעבודה</x:v>
      </x:c>
    </x:row>
    <x:row r="250" ht="38" customHeight="1">
      <x:c r="A250" s="29" t="str">
        <x:v>337.2</x:v>
      </x:c>
      <x:c r="B250" s="28" t="n">
        <x:v>2898</x:v>
      </x:c>
      <x:c r="C250" s="17" t="str">
        <x:v>מתנ"ס הדר-ביתנו</x:v>
      </x:c>
      <x:c r="D250" s="17" t="str">
        <x:v>ירושלים 29</x:v>
      </x:c>
      <x:c r="E250" s="17" t="str">
        <x:v>גבוה מאוד</x:v>
      </x:c>
      <x:c r="F250" s="25" t="str">
        <x:v>מספר קלפי בסיסי ושם אתר זהים</x:v>
      </x:c>
      <x:c r="G250" s="25" t="str">
        <x:v>הודעת הבחירות הרשמית של חיפה (2024)</x:v>
      </x:c>
      <x:c r="H250" s="25" t="n">
        <x:v>7</x:v>
      </x:c>
      <x:c r="I250" s="25" t="str">
        <x:v>337.0</x:v>
      </x:c>
      <x:c r="J250" s="25" t="str">
        <x:v>מתנ"ס הדר-ביתנו</x:v>
      </x:c>
      <x:c r="K250" s="25" t="str">
        <x:v>מוכן לעבודה</x:v>
      </x:c>
    </x:row>
    <x:row r="251" ht="38" customHeight="1">
      <x:c r="A251" s="29" t="str">
        <x:v>337.3</x:v>
      </x:c>
      <x:c r="B251" s="28" t="n">
        <x:v>2899</x:v>
      </x:c>
      <x:c r="C251" s="17" t="str">
        <x:v>מתנ"ס הדר-ביתנו</x:v>
      </x:c>
      <x:c r="D251" s="17" t="str">
        <x:v>ירושלים 29</x:v>
      </x:c>
      <x:c r="E251" s="17" t="str">
        <x:v>גבוה מאוד</x:v>
      </x:c>
      <x:c r="F251" s="25" t="str">
        <x:v>מספר קלפי בסיסי ושם אתר זהים</x:v>
      </x:c>
      <x:c r="G251" s="25" t="str">
        <x:v>הודעת הבחירות הרשמית של חיפה (2024)</x:v>
      </x:c>
      <x:c r="H251" s="25" t="n">
        <x:v>7</x:v>
      </x:c>
      <x:c r="I251" s="25" t="str">
        <x:v>337.0</x:v>
      </x:c>
      <x:c r="J251" s="25" t="str">
        <x:v>מתנ"ס הדר-ביתנו</x:v>
      </x:c>
      <x:c r="K251" s="25" t="str">
        <x:v>מוכן לעבודה</x:v>
      </x:c>
    </x:row>
    <x:row r="252" ht="38" customHeight="1">
      <x:c r="A252" s="29" t="str">
        <x:v>339</x:v>
      </x:c>
      <x:c r="B252" s="28" t="n">
        <x:v>2845</x:v>
      </x:c>
      <x:c r="C252" s="17" t="str">
        <x:v>מרכז הנוער בית מגנצא</x:v>
      </x:c>
      <x:c r="D252" s="17" t="str">
        <x:v>חטיבת כרמלי 42א</x:v>
      </x:c>
      <x:c r="E252" s="17" t="str">
        <x:v>גבוה מאוד</x:v>
      </x:c>
      <x:c r="F252" s="25" t="str">
        <x:v>מספר קלפי בסיסי ושם אתר זהים</x:v>
      </x:c>
      <x:c r="G252" s="25" t="str">
        <x:v>הודעת הבחירות הרשמית של חיפה (2024)</x:v>
      </x:c>
      <x:c r="H252" s="25" t="n">
        <x:v>7</x:v>
      </x:c>
      <x:c r="I252" s="25" t="str">
        <x:v>339.0</x:v>
      </x:c>
      <x:c r="J252" s="25" t="str">
        <x:v>מרכז הנוער בית מגנצא</x:v>
      </x:c>
      <x:c r="K252" s="25" t="str">
        <x:v>מוכן לעבודה</x:v>
      </x:c>
    </x:row>
    <x:row r="253" ht="38" customHeight="1">
      <x:c r="A253" s="29" t="str">
        <x:v>343.1</x:v>
      </x:c>
      <x:c r="B253" s="28" t="n">
        <x:v>2871</x:v>
      </x:c>
      <x:c r="C253" s="17" t="str">
        <x:v>תלמוד תורה תורת אמת</x:v>
      </x:c>
      <x:c r="D253" s="17" t="str">
        <x:v>בן בבא 4</x:v>
      </x:c>
      <x:c r="E253" s="17" t="str">
        <x:v>גבוה מאוד</x:v>
      </x:c>
      <x:c r="F253" s="25" t="str">
        <x:v>מספר קלפי בסיסי ושם אתר זהים</x:v>
      </x:c>
      <x:c r="G253" s="25" t="str">
        <x:v>הודעת הבחירות הרשמית של חיפה (2024)</x:v>
      </x:c>
      <x:c r="H253" s="25" t="n">
        <x:v>7</x:v>
      </x:c>
      <x:c r="I253" s="25" t="str">
        <x:v>343.0</x:v>
      </x:c>
      <x:c r="J253" s="25" t="str">
        <x:v>תלמוד תורה תורת אמת</x:v>
      </x:c>
      <x:c r="K253" s="25" t="str">
        <x:v>מוכן לעבודה</x:v>
      </x:c>
    </x:row>
    <x:row r="254" ht="38" customHeight="1">
      <x:c r="A254" s="29" t="str">
        <x:v>343.2</x:v>
      </x:c>
      <x:c r="B254" s="28" t="n">
        <x:v>2872</x:v>
      </x:c>
      <x:c r="C254" s="17" t="str">
        <x:v>תלמוד תורה תורת אמת</x:v>
      </x:c>
      <x:c r="D254" s="17" t="str">
        <x:v>בן בבא 4</x:v>
      </x:c>
      <x:c r="E254" s="17" t="str">
        <x:v>גבוה מאוד</x:v>
      </x:c>
      <x:c r="F254" s="25" t="str">
        <x:v>מספר קלפי בסיסי ושם אתר זהים</x:v>
      </x:c>
      <x:c r="G254" s="25" t="str">
        <x:v>הודעת הבחירות הרשמית של חיפה (2024)</x:v>
      </x:c>
      <x:c r="H254" s="25" t="n">
        <x:v>7</x:v>
      </x:c>
      <x:c r="I254" s="25" t="str">
        <x:v>343.0</x:v>
      </x:c>
      <x:c r="J254" s="25" t="str">
        <x:v>תלמוד תורה תורת אמת</x:v>
      </x:c>
      <x:c r="K254" s="25" t="str">
        <x:v>מוכן לעבודה</x:v>
      </x:c>
    </x:row>
    <x:row r="255" ht="38" customHeight="1">
      <x:c r="A255" s="29" t="str">
        <x:v>343.3</x:v>
      </x:c>
      <x:c r="B255" s="28" t="n">
        <x:v>2873</x:v>
      </x:c>
      <x:c r="C255" s="17" t="str">
        <x:v>תלמוד תורה תורת אמת</x:v>
      </x:c>
      <x:c r="D255" s="17" t="str">
        <x:v>בן בבא 4</x:v>
      </x:c>
      <x:c r="E255" s="17" t="str">
        <x:v>גבוה מאוד</x:v>
      </x:c>
      <x:c r="F255" s="25" t="str">
        <x:v>מספר קלפי בסיסי ושם אתר זהים</x:v>
      </x:c>
      <x:c r="G255" s="25" t="str">
        <x:v>הודעת הבחירות הרשמית של חיפה (2024)</x:v>
      </x:c>
      <x:c r="H255" s="25" t="n">
        <x:v>7</x:v>
      </x:c>
      <x:c r="I255" s="25" t="str">
        <x:v>343.0</x:v>
      </x:c>
      <x:c r="J255" s="25" t="str">
        <x:v>תלמוד תורה תורת אמת</x:v>
      </x:c>
      <x:c r="K255" s="25" t="str">
        <x:v>מוכן לעבודה</x:v>
      </x:c>
    </x:row>
    <x:row r="256" ht="38" customHeight="1">
      <x:c r="A256" s="29" t="str">
        <x:v>343.4</x:v>
      </x:c>
      <x:c r="B256" s="28" t="n">
        <x:v>2874</x:v>
      </x:c>
      <x:c r="C256" s="17" t="str">
        <x:v>תלמוד תורה תורת אמת</x:v>
      </x:c>
      <x:c r="D256" s="17" t="str">
        <x:v>בן בבא 4</x:v>
      </x:c>
      <x:c r="E256" s="17" t="str">
        <x:v>גבוה מאוד</x:v>
      </x:c>
      <x:c r="F256" s="25" t="str">
        <x:v>מספר קלפי בסיסי ושם אתר זהים</x:v>
      </x:c>
      <x:c r="G256" s="25" t="str">
        <x:v>הודעת הבחירות הרשמית של חיפה (2024)</x:v>
      </x:c>
      <x:c r="H256" s="25" t="n">
        <x:v>7</x:v>
      </x:c>
      <x:c r="I256" s="25" t="str">
        <x:v>343.0</x:v>
      </x:c>
      <x:c r="J256" s="25" t="str">
        <x:v>תלמוד תורה תורת אמת</x:v>
      </x:c>
      <x:c r="K256" s="25" t="str">
        <x:v>מוכן לעבודה</x:v>
      </x:c>
    </x:row>
    <x:row r="257" ht="38" customHeight="1">
      <x:c r="A257" s="29" t="str">
        <x:v>343.5</x:v>
      </x:c>
      <x:c r="B257" s="28" t="n">
        <x:v>2875</x:v>
      </x:c>
      <x:c r="C257" s="17" t="str">
        <x:v>תלמוד תורה תורת אמת</x:v>
      </x:c>
      <x:c r="D257" s="17" t="str">
        <x:v>בן בבא 4</x:v>
      </x:c>
      <x:c r="E257" s="17" t="str">
        <x:v>גבוה מאוד</x:v>
      </x:c>
      <x:c r="F257" s="25" t="str">
        <x:v>מספר קלפי בסיסי ושם אתר זהים</x:v>
      </x:c>
      <x:c r="G257" s="25" t="str">
        <x:v>הודעת הבחירות הרשמית של חיפה (2024)</x:v>
      </x:c>
      <x:c r="H257" s="25" t="n">
        <x:v>7</x:v>
      </x:c>
      <x:c r="I257" s="25" t="str">
        <x:v>343.0</x:v>
      </x:c>
      <x:c r="J257" s="25" t="str">
        <x:v>תלמוד תורה תורת אמת</x:v>
      </x:c>
      <x:c r="K257" s="25" t="str">
        <x:v>מוכן לעבודה</x:v>
      </x:c>
    </x:row>
    <x:row r="258" ht="38" customHeight="1">
      <x:c r="A258" s="29" t="str">
        <x:v>344.1</x:v>
      </x:c>
      <x:c r="B258" s="28" t="n">
        <x:v>2876</x:v>
      </x:c>
      <x:c r="C258" s="17" t="str">
        <x:v>בי"ס הריאלי</x:v>
      </x:c>
      <x:c r="D258" s="17" t="str">
        <x:v>שמריהו לוין 15</x:v>
      </x:c>
      <x:c r="E258" s="17" t="str">
        <x:v>גבוה מאוד</x:v>
      </x:c>
      <x:c r="F258" s="25" t="str">
        <x:v>מספר קלפי בסיסי ושם אתר זהים</x:v>
      </x:c>
      <x:c r="G258" s="25" t="str">
        <x:v>הודעת הבחירות הרשמית של חיפה (2024)</x:v>
      </x:c>
      <x:c r="H258" s="25" t="n">
        <x:v>7</x:v>
      </x:c>
      <x:c r="I258" s="25" t="str">
        <x:v>344.0</x:v>
      </x:c>
      <x:c r="J258" s="25" t="str">
        <x:v>בי"ס הריאלי</x:v>
      </x:c>
      <x:c r="K258" s="25" t="str">
        <x:v>מוכן לעבודה</x:v>
      </x:c>
    </x:row>
    <x:row r="259" ht="38" customHeight="1">
      <x:c r="A259" s="29" t="str">
        <x:v>344.2</x:v>
      </x:c>
      <x:c r="B259" s="28" t="n">
        <x:v>2877</x:v>
      </x:c>
      <x:c r="C259" s="17" t="str">
        <x:v>בי"ס הריאלי</x:v>
      </x:c>
      <x:c r="D259" s="17" t="str">
        <x:v>שמריהו לוין 15</x:v>
      </x:c>
      <x:c r="E259" s="17" t="str">
        <x:v>גבוה מאוד</x:v>
      </x:c>
      <x:c r="F259" s="25" t="str">
        <x:v>מספר קלפי בסיסי ושם אתר זהים</x:v>
      </x:c>
      <x:c r="G259" s="25" t="str">
        <x:v>הודעת הבחירות הרשמית של חיפה (2024)</x:v>
      </x:c>
      <x:c r="H259" s="25" t="n">
        <x:v>7</x:v>
      </x:c>
      <x:c r="I259" s="25" t="str">
        <x:v>344.0</x:v>
      </x:c>
      <x:c r="J259" s="25" t="str">
        <x:v>בי"ס הריאלי</x:v>
      </x:c>
      <x:c r="K259" s="25" t="str">
        <x:v>מוכן לעבודה</x:v>
      </x:c>
    </x:row>
    <x:row r="260" ht="38" customHeight="1">
      <x:c r="A260" s="29" t="str">
        <x:v>344.3</x:v>
      </x:c>
      <x:c r="B260" s="28" t="n">
        <x:v>2878</x:v>
      </x:c>
      <x:c r="C260" s="17" t="str">
        <x:v>בי"ס הריאלי</x:v>
      </x:c>
      <x:c r="D260" s="17" t="str">
        <x:v>שמריהו לוין 15</x:v>
      </x:c>
      <x:c r="E260" s="17" t="str">
        <x:v>גבוה מאוד</x:v>
      </x:c>
      <x:c r="F260" s="25" t="str">
        <x:v>מספר קלפי בסיסי ושם אתר זהים</x:v>
      </x:c>
      <x:c r="G260" s="25" t="str">
        <x:v>הודעת הבחירות הרשמית של חיפה (2024)</x:v>
      </x:c>
      <x:c r="H260" s="25" t="n">
        <x:v>7</x:v>
      </x:c>
      <x:c r="I260" s="25" t="str">
        <x:v>344.0</x:v>
      </x:c>
      <x:c r="J260" s="25" t="str">
        <x:v>בי"ס הריאלי</x:v>
      </x:c>
      <x:c r="K260" s="25" t="str">
        <x:v>מוכן לעבודה</x:v>
      </x:c>
    </x:row>
    <x:row r="261" ht="38" customHeight="1">
      <x:c r="A261" s="29" t="str">
        <x:v>344.4</x:v>
      </x:c>
      <x:c r="B261" s="28" t="n">
        <x:v>2879</x:v>
      </x:c>
      <x:c r="C261" s="17" t="str">
        <x:v>בי"ס הריאלי</x:v>
      </x:c>
      <x:c r="D261" s="17" t="str">
        <x:v>שמריהו לוין 15</x:v>
      </x:c>
      <x:c r="E261" s="17" t="str">
        <x:v>גבוה מאוד</x:v>
      </x:c>
      <x:c r="F261" s="25" t="str">
        <x:v>מספר קלפי בסיסי ושם אתר זהים</x:v>
      </x:c>
      <x:c r="G261" s="25" t="str">
        <x:v>הודעת הבחירות הרשמית של חיפה (2024)</x:v>
      </x:c>
      <x:c r="H261" s="25" t="n">
        <x:v>7</x:v>
      </x:c>
      <x:c r="I261" s="25" t="str">
        <x:v>344.0</x:v>
      </x:c>
      <x:c r="J261" s="25" t="str">
        <x:v>בי"ס הריאלי</x:v>
      </x:c>
      <x:c r="K261" s="25" t="str">
        <x:v>מוכן לעבודה</x:v>
      </x:c>
    </x:row>
    <x:row r="262" ht="38" customHeight="1">
      <x:c r="A262" s="29" t="str">
        <x:v>344.5</x:v>
      </x:c>
      <x:c r="B262" s="28" t="n">
        <x:v>2880</x:v>
      </x:c>
      <x:c r="C262" s="17" t="str">
        <x:v>בי"ס הריאלי</x:v>
      </x:c>
      <x:c r="D262" s="17" t="str">
        <x:v>שמריהו לוין 15</x:v>
      </x:c>
      <x:c r="E262" s="17" t="str">
        <x:v>גבוה מאוד</x:v>
      </x:c>
      <x:c r="F262" s="25" t="str">
        <x:v>מספר קלפי בסיסי ושם אתר זהים</x:v>
      </x:c>
      <x:c r="G262" s="25" t="str">
        <x:v>הודעת הבחירות הרשמית של חיפה (2024)</x:v>
      </x:c>
      <x:c r="H262" s="25" t="n">
        <x:v>7</x:v>
      </x:c>
      <x:c r="I262" s="25" t="str">
        <x:v>344.0</x:v>
      </x:c>
      <x:c r="J262" s="25" t="str">
        <x:v>בי"ס הריאלי</x:v>
      </x:c>
      <x:c r="K262" s="25" t="str">
        <x:v>מוכן לעבודה</x:v>
      </x:c>
    </x:row>
    <x:row r="263" ht="38" customHeight="1">
      <x:c r="A263" s="29" t="str">
        <x:v>344.6</x:v>
      </x:c>
      <x:c r="B263" s="28" t="n">
        <x:v>2881</x:v>
      </x:c>
      <x:c r="C263" s="17" t="str">
        <x:v>בי"ס הריאלי</x:v>
      </x:c>
      <x:c r="D263" s="17" t="str">
        <x:v>שמריהו לוין 15</x:v>
      </x:c>
      <x:c r="E263" s="17" t="str">
        <x:v>גבוה מאוד</x:v>
      </x:c>
      <x:c r="F263" s="25" t="str">
        <x:v>מספר קלפי בסיסי ושם אתר זהים</x:v>
      </x:c>
      <x:c r="G263" s="25" t="str">
        <x:v>הודעת הבחירות הרשמית של חיפה (2024)</x:v>
      </x:c>
      <x:c r="H263" s="25" t="n">
        <x:v>7</x:v>
      </x:c>
      <x:c r="I263" s="25" t="str">
        <x:v>344.0</x:v>
      </x:c>
      <x:c r="J263" s="25" t="str">
        <x:v>בי"ס הריאלי</x:v>
      </x:c>
      <x:c r="K263" s="25" t="str">
        <x:v>מוכן לעבודה</x:v>
      </x:c>
    </x:row>
    <x:row r="264" ht="38" customHeight="1">
      <x:c r="A264" s="29" t="str">
        <x:v>345.1</x:v>
      </x:c>
      <x:c r="B264" s="28" t="n">
        <x:v>2900</x:v>
      </x:c>
      <x:c r="C264" s="17" t="str">
        <x:v>בי"ס תיכון לאומנויות רעות</x:v>
      </x:c>
      <x:c r="D264" s="17" t="str">
        <x:v>סנש חנה 12</x:v>
      </x:c>
      <x:c r="E264" s="17" t="str">
        <x:v>גבוה מאוד</x:v>
      </x:c>
      <x:c r="F264" s="25" t="str">
        <x:v>מספר קלפי בסיסי ושם אתר זהים</x:v>
      </x:c>
      <x:c r="G264" s="25" t="str">
        <x:v>הודעת הבחירות הרשמית של חיפה (2024)</x:v>
      </x:c>
      <x:c r="H264" s="25" t="n">
        <x:v>7</x:v>
      </x:c>
      <x:c r="I264" s="25" t="str">
        <x:v>345.0</x:v>
      </x:c>
      <x:c r="J264" s="25" t="str">
        <x:v>בי"ס תיכון לאומנויות רעות</x:v>
      </x:c>
      <x:c r="K264" s="25" t="str">
        <x:v>מוכן לעבודה</x:v>
      </x:c>
    </x:row>
    <x:row r="265" ht="38" customHeight="1">
      <x:c r="A265" s="29" t="str">
        <x:v>345.2</x:v>
      </x:c>
      <x:c r="B265" s="28" t="n">
        <x:v>2901</x:v>
      </x:c>
      <x:c r="C265" s="17" t="str">
        <x:v>בי"ס תיכון לאומנויות רעות</x:v>
      </x:c>
      <x:c r="D265" s="17" t="str">
        <x:v>סנש חנה 12</x:v>
      </x:c>
      <x:c r="E265" s="17" t="str">
        <x:v>גבוה מאוד</x:v>
      </x:c>
      <x:c r="F265" s="25" t="str">
        <x:v>מספר קלפי בסיסי ושם אתר זהים</x:v>
      </x:c>
      <x:c r="G265" s="25" t="str">
        <x:v>הודעת הבחירות הרשמית של חיפה (2024)</x:v>
      </x:c>
      <x:c r="H265" s="25" t="n">
        <x:v>7</x:v>
      </x:c>
      <x:c r="I265" s="25" t="str">
        <x:v>345.0</x:v>
      </x:c>
      <x:c r="J265" s="25" t="str">
        <x:v>בי"ס תיכון לאומנויות רעות</x:v>
      </x:c>
      <x:c r="K265" s="25" t="str">
        <x:v>מוכן לעבודה</x:v>
      </x:c>
    </x:row>
    <x:row r="266" ht="38" customHeight="1">
      <x:c r="A266" s="29" t="str">
        <x:v>345.3</x:v>
      </x:c>
      <x:c r="B266" s="28" t="n">
        <x:v>2902</x:v>
      </x:c>
      <x:c r="C266" s="17" t="str">
        <x:v>בי"ס תיכון לאומנויות רעות</x:v>
      </x:c>
      <x:c r="D266" s="17" t="str">
        <x:v>סנש חנה 12</x:v>
      </x:c>
      <x:c r="E266" s="17" t="str">
        <x:v>גבוה מאוד</x:v>
      </x:c>
      <x:c r="F266" s="25" t="str">
        <x:v>מספר קלפי בסיסי ושם אתר זהים</x:v>
      </x:c>
      <x:c r="G266" s="25" t="str">
        <x:v>הודעת הבחירות הרשמית של חיפה (2024)</x:v>
      </x:c>
      <x:c r="H266" s="25" t="n">
        <x:v>7</x:v>
      </x:c>
      <x:c r="I266" s="25" t="str">
        <x:v>345.0</x:v>
      </x:c>
      <x:c r="J266" s="25" t="str">
        <x:v>בי"ס תיכון לאומנויות רעות</x:v>
      </x:c>
      <x:c r="K266" s="25" t="str">
        <x:v>מוכן לעבודה</x:v>
      </x:c>
    </x:row>
    <x:row r="267" ht="38" customHeight="1">
      <x:c r="A267" s="29" t="str">
        <x:v>346.1</x:v>
      </x:c>
      <x:c r="B267" s="28" t="n">
        <x:v>3156</x:v>
      </x:c>
      <x:c r="C267" s="17" t="str">
        <x:v>בי"ס יזרעאליה</x:v>
      </x:c>
      <x:c r="D267" s="17" t="str">
        <x:v>צ'רניאבסקי אהרון 20</x:v>
      </x:c>
      <x:c r="E267" s="17" t="str">
        <x:v>גבוה מאוד</x:v>
      </x:c>
      <x:c r="F267" s="25" t="str">
        <x:v>מספר קלפי בסיסי ושם אתר זהים</x:v>
      </x:c>
      <x:c r="G267" s="25" t="str">
        <x:v>הודעת הבחירות הרשמית של חיפה (2024)</x:v>
      </x:c>
      <x:c r="H267" s="25" t="n">
        <x:v>7</x:v>
      </x:c>
      <x:c r="I267" s="25" t="str">
        <x:v>346.0</x:v>
      </x:c>
      <x:c r="J267" s="25" t="str">
        <x:v>בי"ס יזרעאליה</x:v>
      </x:c>
      <x:c r="K267" s="25" t="str">
        <x:v>מוכן לעבודה</x:v>
      </x:c>
    </x:row>
    <x:row r="268" ht="38" customHeight="1">
      <x:c r="A268" s="29" t="str">
        <x:v>346.2</x:v>
      </x:c>
      <x:c r="B268" s="28" t="n">
        <x:v>3157</x:v>
      </x:c>
      <x:c r="C268" s="17" t="str">
        <x:v>בי"ס יזרעאליה</x:v>
      </x:c>
      <x:c r="D268" s="17" t="str">
        <x:v>צ'רניאבסקי אהרון 20</x:v>
      </x:c>
      <x:c r="E268" s="17" t="str">
        <x:v>גבוה מאוד</x:v>
      </x:c>
      <x:c r="F268" s="25" t="str">
        <x:v>מספר קלפי בסיסי ושם אתר זהים</x:v>
      </x:c>
      <x:c r="G268" s="25" t="str">
        <x:v>הודעת הבחירות הרשמית של חיפה (2024)</x:v>
      </x:c>
      <x:c r="H268" s="25" t="n">
        <x:v>7</x:v>
      </x:c>
      <x:c r="I268" s="25" t="str">
        <x:v>346.0</x:v>
      </x:c>
      <x:c r="J268" s="25" t="str">
        <x:v>בי"ס יזרעאליה</x:v>
      </x:c>
      <x:c r="K268" s="25" t="str">
        <x:v>מוכן לעבודה</x:v>
      </x:c>
    </x:row>
    <x:row r="269" ht="38" customHeight="1">
      <x:c r="A269" s="29" t="str">
        <x:v>346.3</x:v>
      </x:c>
      <x:c r="B269" s="28" t="n">
        <x:v>3158</x:v>
      </x:c>
      <x:c r="C269" s="17" t="str">
        <x:v>בי"ס יזרעאליה</x:v>
      </x:c>
      <x:c r="D269" s="17" t="str">
        <x:v>צ'רניאבסקי אהרון 20</x:v>
      </x:c>
      <x:c r="E269" s="17" t="str">
        <x:v>גבוה מאוד</x:v>
      </x:c>
      <x:c r="F269" s="25" t="str">
        <x:v>מספר קלפי בסיסי ושם אתר זהים</x:v>
      </x:c>
      <x:c r="G269" s="25" t="str">
        <x:v>הודעת הבחירות הרשמית של חיפה (2024)</x:v>
      </x:c>
      <x:c r="H269" s="25" t="n">
        <x:v>7</x:v>
      </x:c>
      <x:c r="I269" s="25" t="str">
        <x:v>346.0</x:v>
      </x:c>
      <x:c r="J269" s="25" t="str">
        <x:v>בי"ס יזרעאליה</x:v>
      </x:c>
      <x:c r="K269" s="25" t="str">
        <x:v>מוכן לעבודה</x:v>
      </x:c>
    </x:row>
    <x:row r="270" ht="38" customHeight="1">
      <x:c r="A270" s="29" t="str">
        <x:v>346.4</x:v>
      </x:c>
      <x:c r="B270" s="28" t="n">
        <x:v>3159</x:v>
      </x:c>
      <x:c r="C270" s="17" t="str">
        <x:v>בי"ס יזרעאליה</x:v>
      </x:c>
      <x:c r="D270" s="17" t="str">
        <x:v>צ'רניאבסקי אהרון 20</x:v>
      </x:c>
      <x:c r="E270" s="17" t="str">
        <x:v>גבוה מאוד</x:v>
      </x:c>
      <x:c r="F270" s="25" t="str">
        <x:v>מספר קלפי בסיסי ושם אתר זהים</x:v>
      </x:c>
      <x:c r="G270" s="25" t="str">
        <x:v>הודעת הבחירות הרשמית של חיפה (2024)</x:v>
      </x:c>
      <x:c r="H270" s="25" t="n">
        <x:v>7</x:v>
      </x:c>
      <x:c r="I270" s="25" t="str">
        <x:v>346.0</x:v>
      </x:c>
      <x:c r="J270" s="25" t="str">
        <x:v>בי"ס יזרעאליה</x:v>
      </x:c>
      <x:c r="K270" s="25" t="str">
        <x:v>מוכן לעבודה</x:v>
      </x:c>
    </x:row>
    <x:row r="271" ht="38" customHeight="1">
      <x:c r="A271" s="29" t="str">
        <x:v>346.5</x:v>
      </x:c>
      <x:c r="B271" s="28" t="n">
        <x:v>3160</x:v>
      </x:c>
      <x:c r="C271" s="17" t="str">
        <x:v>בי"ס יזרעאליה</x:v>
      </x:c>
      <x:c r="D271" s="17" t="str">
        <x:v>צ'רניאבסקי אהרון 20</x:v>
      </x:c>
      <x:c r="E271" s="17" t="str">
        <x:v>גבוה מאוד</x:v>
      </x:c>
      <x:c r="F271" s="25" t="str">
        <x:v>מספר קלפי בסיסי ושם אתר זהים</x:v>
      </x:c>
      <x:c r="G271" s="25" t="str">
        <x:v>הודעת הבחירות הרשמית של חיפה (2024)</x:v>
      </x:c>
      <x:c r="H271" s="25" t="n">
        <x:v>7</x:v>
      </x:c>
      <x:c r="I271" s="25" t="str">
        <x:v>346.0</x:v>
      </x:c>
      <x:c r="J271" s="25" t="str">
        <x:v>בי"ס יזרעאליה</x:v>
      </x:c>
      <x:c r="K271" s="25" t="str">
        <x:v>מוכן לעבודה</x:v>
      </x:c>
    </x:row>
    <x:row r="272" ht="38" customHeight="1">
      <x:c r="A272" s="29" t="str">
        <x:v>347</x:v>
      </x:c>
      <x:c r="B272" s="28" t="n">
        <x:v>2903</x:v>
      </x:c>
      <x:c r="C272" s="17" t="str">
        <x:v>תיכון חוגים ע"ש רחל מתוקי</x:v>
      </x:c>
      <x:c r="D272" s="17" t="str">
        <x:v>בלום לאון 9</x:v>
      </x:c>
      <x:c r="E272" s="17" t="str">
        <x:v>גבוה מאוד</x:v>
      </x:c>
      <x:c r="F272" s="25" t="str">
        <x:v>מספר קלפי בסיסי ושם אתר זהים</x:v>
      </x:c>
      <x:c r="G272" s="25" t="str">
        <x:v>הודעת הבחירות הרשמית של חיפה (2024)</x:v>
      </x:c>
      <x:c r="H272" s="25" t="n">
        <x:v>7</x:v>
      </x:c>
      <x:c r="I272" s="25" t="str">
        <x:v>347.0</x:v>
      </x:c>
      <x:c r="J272" s="25" t="str">
        <x:v>תיכון חוגים ע"ש רחל מתוקי</x:v>
      </x:c>
      <x:c r="K272" s="25" t="str">
        <x:v>מוכן לעבודה</x:v>
      </x:c>
    </x:row>
    <x:row r="273" ht="38" customHeight="1">
      <x:c r="A273" s="29" t="str">
        <x:v>348</x:v>
      </x:c>
      <x:c r="B273" s="28" t="n">
        <x:v>2904</x:v>
      </x:c>
      <x:c r="C273" s="17" t="str">
        <x:v>תיכון חוגים ע"ש רחל מתוקי</x:v>
      </x:c>
      <x:c r="D273" s="17" t="str">
        <x:v>בלום לאון 9</x:v>
      </x:c>
      <x:c r="E273" s="17" t="str">
        <x:v>גבוה מאוד</x:v>
      </x:c>
      <x:c r="F273" s="25" t="str">
        <x:v>מספר קלפי בסיסי ושם אתר זהים</x:v>
      </x:c>
      <x:c r="G273" s="25" t="str">
        <x:v>הודעת הבחירות הרשמית של חיפה (2024)</x:v>
      </x:c>
      <x:c r="H273" s="25" t="n">
        <x:v>7</x:v>
      </x:c>
      <x:c r="I273" s="25" t="str">
        <x:v>348.0</x:v>
      </x:c>
      <x:c r="J273" s="25" t="str">
        <x:v>תיכון חוגים ע"ש רחל מתוקי</x:v>
      </x:c>
      <x:c r="K273" s="25" t="str">
        <x:v>מוכן לעבודה</x:v>
      </x:c>
    </x:row>
    <x:row r="274" ht="38" customHeight="1">
      <x:c r="A274" s="29" t="str">
        <x:v>350.1</x:v>
      </x:c>
      <x:c r="B274" s="28" t="n">
        <x:v>3131</x:v>
      </x:c>
      <x:c r="C274" s="17" t="str">
        <x:v>עירוני ג חטיבת בינים בנין מצדה</x:v>
      </x:c>
      <x:c r="D274" s="17" t="str">
        <x:v>מימון הרב 23</x:v>
      </x:c>
      <x:c r="E274" s="17" t="str">
        <x:v>גבוה מאוד</x:v>
      </x:c>
      <x:c r="F274" s="25" t="str">
        <x:v>מספר קלפי בסיסי ושם אתר זהים</x:v>
      </x:c>
      <x:c r="G274" s="25" t="str">
        <x:v>הודעת הבחירות הרשמית של חיפה (2024)</x:v>
      </x:c>
      <x:c r="H274" s="25" t="n">
        <x:v>7</x:v>
      </x:c>
      <x:c r="I274" s="25" t="str">
        <x:v>350.0</x:v>
      </x:c>
      <x:c r="J274" s="25" t="str">
        <x:v>עירוני ג חטיבת בינים בנין מצדה</x:v>
      </x:c>
      <x:c r="K274" s="25" t="str">
        <x:v>מוכן לעבודה</x:v>
      </x:c>
    </x:row>
    <x:row r="275" ht="38" customHeight="1">
      <x:c r="A275" s="29" t="str">
        <x:v>350.2</x:v>
      </x:c>
      <x:c r="B275" s="28" t="n">
        <x:v>3132</x:v>
      </x:c>
      <x:c r="C275" s="17" t="str">
        <x:v>עירוני ג חטיבת בינים בנין מצדה</x:v>
      </x:c>
      <x:c r="D275" s="17" t="str">
        <x:v>מימון הרב 23</x:v>
      </x:c>
      <x:c r="E275" s="17" t="str">
        <x:v>גבוה מאוד</x:v>
      </x:c>
      <x:c r="F275" s="25" t="str">
        <x:v>מספר קלפי בסיסי ושם אתר זהים</x:v>
      </x:c>
      <x:c r="G275" s="25" t="str">
        <x:v>הודעת הבחירות הרשמית של חיפה (2024)</x:v>
      </x:c>
      <x:c r="H275" s="25" t="n">
        <x:v>7</x:v>
      </x:c>
      <x:c r="I275" s="25" t="str">
        <x:v>350.0</x:v>
      </x:c>
      <x:c r="J275" s="25" t="str">
        <x:v>עירוני ג חטיבת בינים בנין מצדה</x:v>
      </x:c>
      <x:c r="K275" s="25" t="str">
        <x:v>מוכן לעבודה</x:v>
      </x:c>
    </x:row>
    <x:row r="276" ht="38" customHeight="1">
      <x:c r="A276" s="29" t="str">
        <x:v>350.3</x:v>
      </x:c>
      <x:c r="B276" s="28" t="n">
        <x:v>3133</x:v>
      </x:c>
      <x:c r="C276" s="17" t="str">
        <x:v>עירוני ג חטיבת בינים בנין מצדה</x:v>
      </x:c>
      <x:c r="D276" s="17" t="str">
        <x:v>מימון הרב 23</x:v>
      </x:c>
      <x:c r="E276" s="17" t="str">
        <x:v>גבוה מאוד</x:v>
      </x:c>
      <x:c r="F276" s="25" t="str">
        <x:v>מספר קלפי בסיסי ושם אתר זהים</x:v>
      </x:c>
      <x:c r="G276" s="25" t="str">
        <x:v>הודעת הבחירות הרשמית של חיפה (2024)</x:v>
      </x:c>
      <x:c r="H276" s="25" t="n">
        <x:v>7</x:v>
      </x:c>
      <x:c r="I276" s="25" t="str">
        <x:v>350.0</x:v>
      </x:c>
      <x:c r="J276" s="25" t="str">
        <x:v>עירוני ג חטיבת בינים בנין מצדה</x:v>
      </x:c>
      <x:c r="K276" s="25" t="str">
        <x:v>מוכן לעבודה</x:v>
      </x:c>
    </x:row>
    <x:row r="277" ht="38" customHeight="1">
      <x:c r="A277" s="29" t="str">
        <x:v>350.4</x:v>
      </x:c>
      <x:c r="B277" s="28" t="n">
        <x:v>3134</x:v>
      </x:c>
      <x:c r="C277" s="17" t="str">
        <x:v>עירוני ג חטיבת בינים בנין מצדה</x:v>
      </x:c>
      <x:c r="D277" s="17" t="str">
        <x:v>מימון הרב 23</x:v>
      </x:c>
      <x:c r="E277" s="17" t="str">
        <x:v>גבוה מאוד</x:v>
      </x:c>
      <x:c r="F277" s="25" t="str">
        <x:v>מספר קלפי בסיסי ושם אתר זהים</x:v>
      </x:c>
      <x:c r="G277" s="25" t="str">
        <x:v>הודעת הבחירות הרשמית של חיפה (2024)</x:v>
      </x:c>
      <x:c r="H277" s="25" t="n">
        <x:v>7</x:v>
      </x:c>
      <x:c r="I277" s="25" t="str">
        <x:v>350.0</x:v>
      </x:c>
      <x:c r="J277" s="25" t="str">
        <x:v>עירוני ג חטיבת בינים בנין מצדה</x:v>
      </x:c>
      <x:c r="K277" s="25" t="str">
        <x:v>מוכן לעבודה</x:v>
      </x:c>
    </x:row>
    <x:row r="278" ht="38" customHeight="1">
      <x:c r="A278" s="29" t="str">
        <x:v>351.1</x:v>
      </x:c>
      <x:c r="B278" s="28" t="n">
        <x:v>3161</x:v>
      </x:c>
      <x:c r="C278" s="17" t="str">
        <x:v>בי"ס תיכון עירוני ו</x:v>
      </x:c>
      <x:c r="D278" s="17" t="str">
        <x:v>דרך יד לבנים 97</x:v>
      </x:c>
      <x:c r="E278" s="17" t="str">
        <x:v>גבוה מאוד</x:v>
      </x:c>
      <x:c r="F278" s="25" t="str">
        <x:v>מספר קלפי בסיסי ושם אתר זהים</x:v>
      </x:c>
      <x:c r="G278" s="25" t="str">
        <x:v>הודעת הבחירות הרשמית של חיפה (2024)</x:v>
      </x:c>
      <x:c r="H278" s="25" t="n">
        <x:v>7</x:v>
      </x:c>
      <x:c r="I278" s="25" t="str">
        <x:v>351.0</x:v>
      </x:c>
      <x:c r="J278" s="25" t="str">
        <x:v>בי"ס תיכון עירוני ו</x:v>
      </x:c>
      <x:c r="K278" s="25" t="str">
        <x:v>מוכן לעבודה</x:v>
      </x:c>
    </x:row>
    <x:row r="279" ht="38" customHeight="1">
      <x:c r="A279" s="29" t="str">
        <x:v>351.2</x:v>
      </x:c>
      <x:c r="B279" s="28" t="n">
        <x:v>3162</x:v>
      </x:c>
      <x:c r="C279" s="17" t="str">
        <x:v>בי"ס תיכון עירוני ו</x:v>
      </x:c>
      <x:c r="D279" s="17" t="str">
        <x:v>דרך יד לבנים 97</x:v>
      </x:c>
      <x:c r="E279" s="17" t="str">
        <x:v>גבוה מאוד</x:v>
      </x:c>
      <x:c r="F279" s="25" t="str">
        <x:v>מספר קלפי בסיסי ושם אתר זהים</x:v>
      </x:c>
      <x:c r="G279" s="25" t="str">
        <x:v>הודעת הבחירות הרשמית של חיפה (2024)</x:v>
      </x:c>
      <x:c r="H279" s="25" t="n">
        <x:v>7</x:v>
      </x:c>
      <x:c r="I279" s="25" t="str">
        <x:v>351.0</x:v>
      </x:c>
      <x:c r="J279" s="25" t="str">
        <x:v>בי"ס תיכון עירוני ו</x:v>
      </x:c>
      <x:c r="K279" s="25" t="str">
        <x:v>מוכן לעבודה</x:v>
      </x:c>
    </x:row>
    <x:row r="280" ht="38" customHeight="1">
      <x:c r="A280" s="29" t="str">
        <x:v>351.3</x:v>
      </x:c>
      <x:c r="B280" s="28" t="n">
        <x:v>3163</x:v>
      </x:c>
      <x:c r="C280" s="17" t="str">
        <x:v>בי"ס תיכון עירוני ו</x:v>
      </x:c>
      <x:c r="D280" s="17" t="str">
        <x:v>דרך יד לבנים 97</x:v>
      </x:c>
      <x:c r="E280" s="17" t="str">
        <x:v>גבוה מאוד</x:v>
      </x:c>
      <x:c r="F280" s="25" t="str">
        <x:v>מספר קלפי בסיסי ושם אתר זהים</x:v>
      </x:c>
      <x:c r="G280" s="25" t="str">
        <x:v>הודעת הבחירות הרשמית של חיפה (2024)</x:v>
      </x:c>
      <x:c r="H280" s="25" t="n">
        <x:v>7</x:v>
      </x:c>
      <x:c r="I280" s="25" t="str">
        <x:v>351.0</x:v>
      </x:c>
      <x:c r="J280" s="25" t="str">
        <x:v>בי"ס תיכון עירוני ו</x:v>
      </x:c>
      <x:c r="K280" s="25" t="str">
        <x:v>מוכן לעבודה</x:v>
      </x:c>
    </x:row>
    <x:row r="281" ht="38" customHeight="1">
      <x:c r="A281" s="29" t="str">
        <x:v>351.4</x:v>
      </x:c>
      <x:c r="B281" s="28" t="n">
        <x:v>3164</x:v>
      </x:c>
      <x:c r="C281" s="17" t="str">
        <x:v>בי"ס תיכון עירוני ו</x:v>
      </x:c>
      <x:c r="D281" s="17" t="str">
        <x:v>דרך יד לבנים 97</x:v>
      </x:c>
      <x:c r="E281" s="17" t="str">
        <x:v>גבוה מאוד</x:v>
      </x:c>
      <x:c r="F281" s="25" t="str">
        <x:v>מספר קלפי בסיסי ושם אתר זהים</x:v>
      </x:c>
      <x:c r="G281" s="25" t="str">
        <x:v>הודעת הבחירות הרשמית של חיפה (2024)</x:v>
      </x:c>
      <x:c r="H281" s="25" t="n">
        <x:v>7</x:v>
      </x:c>
      <x:c r="I281" s="25" t="str">
        <x:v>351.0</x:v>
      </x:c>
      <x:c r="J281" s="25" t="str">
        <x:v>בי"ס תיכון עירוני ו</x:v>
      </x:c>
      <x:c r="K281" s="25" t="str">
        <x:v>מוכן לעבודה</x:v>
      </x:c>
    </x:row>
    <x:row r="282" ht="38" customHeight="1">
      <x:c r="A282" s="29" t="str">
        <x:v>351.5</x:v>
      </x:c>
      <x:c r="B282" s="28" t="n">
        <x:v>3165</x:v>
      </x:c>
      <x:c r="C282" s="17" t="str">
        <x:v>בי"ס תיכון עירוני ו</x:v>
      </x:c>
      <x:c r="D282" s="17" t="str">
        <x:v>דרך יד לבנים 97</x:v>
      </x:c>
      <x:c r="E282" s="17" t="str">
        <x:v>גבוה מאוד</x:v>
      </x:c>
      <x:c r="F282" s="25" t="str">
        <x:v>מספר קלפי בסיסי ושם אתר זהים</x:v>
      </x:c>
      <x:c r="G282" s="25" t="str">
        <x:v>הודעת הבחירות הרשמית של חיפה (2024)</x:v>
      </x:c>
      <x:c r="H282" s="25" t="n">
        <x:v>7</x:v>
      </x:c>
      <x:c r="I282" s="25" t="str">
        <x:v>351.0</x:v>
      </x:c>
      <x:c r="J282" s="25" t="str">
        <x:v>בי"ס תיכון עירוני ו</x:v>
      </x:c>
      <x:c r="K282" s="25" t="str">
        <x:v>מוכן לעבודה</x:v>
      </x:c>
    </x:row>
    <x:row r="283" ht="38" customHeight="1">
      <x:c r="A283" s="29" t="str">
        <x:v>354.1</x:v>
      </x:c>
      <x:c r="B283" s="28" t="n">
        <x:v>2905</x:v>
      </x:c>
      <x:c r="C283" s="17" t="str">
        <x:v>אולפנת צביה</x:v>
      </x:c>
      <x:c r="D283" s="17" t="str">
        <x:v>רבי עקיבא 40</x:v>
      </x:c>
      <x:c r="E283" s="17" t="str">
        <x:v>גבוה מאוד</x:v>
      </x:c>
      <x:c r="F283" s="25" t="str">
        <x:v>מספר קלפי בסיסי ושם אתר זהים</x:v>
      </x:c>
      <x:c r="G283" s="25" t="str">
        <x:v>הודעת הבחירות הרשמית של חיפה (2024)</x:v>
      </x:c>
      <x:c r="H283" s="25" t="n">
        <x:v>8</x:v>
      </x:c>
      <x:c r="I283" s="25" t="str">
        <x:v>354.0</x:v>
      </x:c>
      <x:c r="J283" s="25" t="str">
        <x:v>אולפנת צביה</x:v>
      </x:c>
      <x:c r="K283" s="25" t="str">
        <x:v>מוכן לעבודה</x:v>
      </x:c>
    </x:row>
    <x:row r="284" ht="38" customHeight="1">
      <x:c r="A284" s="29" t="str">
        <x:v>354.2</x:v>
      </x:c>
      <x:c r="B284" s="28" t="n">
        <x:v>2906</x:v>
      </x:c>
      <x:c r="C284" s="17" t="str">
        <x:v>אולפנת צביה</x:v>
      </x:c>
      <x:c r="D284" s="17" t="str">
        <x:v>רבי עקיבא 40</x:v>
      </x:c>
      <x:c r="E284" s="17" t="str">
        <x:v>גבוה מאוד</x:v>
      </x:c>
      <x:c r="F284" s="25" t="str">
        <x:v>מספר קלפי בסיסי ושם אתר זהים</x:v>
      </x:c>
      <x:c r="G284" s="25" t="str">
        <x:v>הודעת הבחירות הרשמית של חיפה (2024)</x:v>
      </x:c>
      <x:c r="H284" s="25" t="n">
        <x:v>8</x:v>
      </x:c>
      <x:c r="I284" s="25" t="str">
        <x:v>354.0</x:v>
      </x:c>
      <x:c r="J284" s="25" t="str">
        <x:v>אולפנת צביה</x:v>
      </x:c>
      <x:c r="K284" s="25" t="str">
        <x:v>מוכן לעבודה</x:v>
      </x:c>
    </x:row>
    <x:row r="285" ht="38" customHeight="1">
      <x:c r="A285" s="29" t="str">
        <x:v>354.3</x:v>
      </x:c>
      <x:c r="B285" s="28" t="n">
        <x:v>2907</x:v>
      </x:c>
      <x:c r="C285" s="17" t="str">
        <x:v>אולפנת צביה</x:v>
      </x:c>
      <x:c r="D285" s="17" t="str">
        <x:v>רבי עקיבא 40</x:v>
      </x:c>
      <x:c r="E285" s="17" t="str">
        <x:v>גבוה מאוד</x:v>
      </x:c>
      <x:c r="F285" s="25" t="str">
        <x:v>מספר קלפי בסיסי ושם אתר זהים</x:v>
      </x:c>
      <x:c r="G285" s="25" t="str">
        <x:v>הודעת הבחירות הרשמית של חיפה (2024)</x:v>
      </x:c>
      <x:c r="H285" s="25" t="n">
        <x:v>8</x:v>
      </x:c>
      <x:c r="I285" s="25" t="str">
        <x:v>354.0</x:v>
      </x:c>
      <x:c r="J285" s="25" t="str">
        <x:v>אולפנת צביה</x:v>
      </x:c>
      <x:c r="K285" s="25" t="str">
        <x:v>מוכן לעבודה</x:v>
      </x:c>
    </x:row>
    <x:row r="286" ht="38" customHeight="1">
      <x:c r="A286" s="29" t="str">
        <x:v>355.1</x:v>
      </x:c>
      <x:c r="B286" s="28" t="n">
        <x:v>3135</x:v>
      </x:c>
      <x:c r="C286" s="17" t="str">
        <x:v>בי"ס רמב"ם</x:v>
      </x:c>
      <x:c r="D286" s="17" t="str">
        <x:v>ציון 7</x:v>
      </x:c>
      <x:c r="E286" s="17" t="str">
        <x:v>גבוה מאוד</x:v>
      </x:c>
      <x:c r="F286" s="25" t="str">
        <x:v>מספר קלפי בסיסי ושם אתר זהים</x:v>
      </x:c>
      <x:c r="G286" s="25" t="str">
        <x:v>הודעת הבחירות הרשמית של חיפה (2024)</x:v>
      </x:c>
      <x:c r="H286" s="25" t="n">
        <x:v>8</x:v>
      </x:c>
      <x:c r="I286" s="25" t="str">
        <x:v>355.0</x:v>
      </x:c>
      <x:c r="J286" s="25" t="str">
        <x:v>בי"ס רמב"ם</x:v>
      </x:c>
      <x:c r="K286" s="25" t="str">
        <x:v>מוכן לעבודה</x:v>
      </x:c>
    </x:row>
    <x:row r="287" ht="38" customHeight="1">
      <x:c r="A287" s="29" t="str">
        <x:v>355.2</x:v>
      </x:c>
      <x:c r="B287" s="28" t="n">
        <x:v>3136</x:v>
      </x:c>
      <x:c r="C287" s="17" t="str">
        <x:v>בי"ס רמב"ם</x:v>
      </x:c>
      <x:c r="D287" s="17" t="str">
        <x:v>ציון 7</x:v>
      </x:c>
      <x:c r="E287" s="17" t="str">
        <x:v>גבוה מאוד</x:v>
      </x:c>
      <x:c r="F287" s="25" t="str">
        <x:v>מספר קלפי בסיסי ושם אתר זהים</x:v>
      </x:c>
      <x:c r="G287" s="25" t="str">
        <x:v>הודעת הבחירות הרשמית של חיפה (2024)</x:v>
      </x:c>
      <x:c r="H287" s="25" t="n">
        <x:v>8</x:v>
      </x:c>
      <x:c r="I287" s="25" t="str">
        <x:v>355.0</x:v>
      </x:c>
      <x:c r="J287" s="25" t="str">
        <x:v>בי"ס רמב"ם</x:v>
      </x:c>
      <x:c r="K287" s="25" t="str">
        <x:v>מוכן לעבודה</x:v>
      </x:c>
    </x:row>
    <x:row r="288" ht="38" customHeight="1">
      <x:c r="A288" s="29" t="str">
        <x:v>355.3</x:v>
      </x:c>
      <x:c r="B288" s="28" t="n">
        <x:v>3137</x:v>
      </x:c>
      <x:c r="C288" s="17" t="str">
        <x:v>בי"ס רמב"ם</x:v>
      </x:c>
      <x:c r="D288" s="17" t="str">
        <x:v>ציון 7</x:v>
      </x:c>
      <x:c r="E288" s="17" t="str">
        <x:v>גבוה מאוד</x:v>
      </x:c>
      <x:c r="F288" s="25" t="str">
        <x:v>מספר קלפי בסיסי ושם אתר זהים</x:v>
      </x:c>
      <x:c r="G288" s="25" t="str">
        <x:v>הודעת הבחירות הרשמית של חיפה (2024)</x:v>
      </x:c>
      <x:c r="H288" s="25" t="n">
        <x:v>8</x:v>
      </x:c>
      <x:c r="I288" s="25" t="str">
        <x:v>355.0</x:v>
      </x:c>
      <x:c r="J288" s="25" t="str">
        <x:v>בי"ס רמב"ם</x:v>
      </x:c>
      <x:c r="K288" s="25" t="str">
        <x:v>מוכן לעבודה</x:v>
      </x:c>
    </x:row>
    <x:row r="289" ht="38" customHeight="1">
      <x:c r="A289" s="29" t="str">
        <x:v>355.4</x:v>
      </x:c>
      <x:c r="B289" s="28" t="n">
        <x:v>3138</x:v>
      </x:c>
      <x:c r="C289" s="17" t="str">
        <x:v>בי"ס רמב"ם</x:v>
      </x:c>
      <x:c r="D289" s="17" t="str">
        <x:v>ציון 7</x:v>
      </x:c>
      <x:c r="E289" s="17" t="str">
        <x:v>גבוה מאוד</x:v>
      </x:c>
      <x:c r="F289" s="25" t="str">
        <x:v>מספר קלפי בסיסי ושם אתר זהים</x:v>
      </x:c>
      <x:c r="G289" s="25" t="str">
        <x:v>הודעת הבחירות הרשמית של חיפה (2024)</x:v>
      </x:c>
      <x:c r="H289" s="25" t="n">
        <x:v>8</x:v>
      </x:c>
      <x:c r="I289" s="25" t="str">
        <x:v>355.0</x:v>
      </x:c>
      <x:c r="J289" s="25" t="str">
        <x:v>בי"ס רמב"ם</x:v>
      </x:c>
      <x:c r="K289" s="25" t="str">
        <x:v>מוכן לעבודה</x:v>
      </x:c>
    </x:row>
    <x:row r="290" ht="38" customHeight="1">
      <x:c r="A290" s="29" t="str">
        <x:v>355.5</x:v>
      </x:c>
      <x:c r="B290" s="28" t="n">
        <x:v>3139</x:v>
      </x:c>
      <x:c r="C290" s="17" t="str">
        <x:v>בי"ס רמב"ם</x:v>
      </x:c>
      <x:c r="D290" s="17" t="str">
        <x:v>ציון 7</x:v>
      </x:c>
      <x:c r="E290" s="17" t="str">
        <x:v>גבוה מאוד</x:v>
      </x:c>
      <x:c r="F290" s="25" t="str">
        <x:v>מספר קלפי בסיסי ושם אתר זהים</x:v>
      </x:c>
      <x:c r="G290" s="25" t="str">
        <x:v>הודעת הבחירות הרשמית של חיפה (2024)</x:v>
      </x:c>
      <x:c r="H290" s="25" t="n">
        <x:v>8</x:v>
      </x:c>
      <x:c r="I290" s="25" t="str">
        <x:v>355.0</x:v>
      </x:c>
      <x:c r="J290" s="25" t="str">
        <x:v>בי"ס רמב"ם</x:v>
      </x:c>
      <x:c r="K290" s="25" t="str">
        <x:v>מוכן לעבודה</x:v>
      </x:c>
    </x:row>
    <x:row r="291" ht="38" customHeight="1">
      <x:c r="A291" s="29" t="str">
        <x:v>355.6</x:v>
      </x:c>
      <x:c r="B291" s="28" t="n">
        <x:v>3140</x:v>
      </x:c>
      <x:c r="C291" s="17" t="str">
        <x:v>בי"ס רמב"ם</x:v>
      </x:c>
      <x:c r="D291" s="17" t="str">
        <x:v>ציון 7</x:v>
      </x:c>
      <x:c r="E291" s="17" t="str">
        <x:v>גבוה מאוד</x:v>
      </x:c>
      <x:c r="F291" s="25" t="str">
        <x:v>מספר קלפי בסיסי ושם אתר זהים</x:v>
      </x:c>
      <x:c r="G291" s="25" t="str">
        <x:v>הודעת הבחירות הרשמית של חיפה (2024)</x:v>
      </x:c>
      <x:c r="H291" s="25" t="n">
        <x:v>8</x:v>
      </x:c>
      <x:c r="I291" s="25" t="str">
        <x:v>355.0</x:v>
      </x:c>
      <x:c r="J291" s="25" t="str">
        <x:v>בי"ס רמב"ם</x:v>
      </x:c>
      <x:c r="K291" s="25" t="str">
        <x:v>מוכן לעבודה</x:v>
      </x:c>
    </x:row>
    <x:row r="292" ht="38" customHeight="1">
      <x:c r="A292" s="29" t="str">
        <x:v>355.7</x:v>
      </x:c>
      <x:c r="B292" s="28" t="n">
        <x:v>3141</x:v>
      </x:c>
      <x:c r="C292" s="17" t="str">
        <x:v>בי"ס רמב"ם</x:v>
      </x:c>
      <x:c r="D292" s="17" t="str">
        <x:v>ציון 7</x:v>
      </x:c>
      <x:c r="E292" s="17" t="str">
        <x:v>גבוה מאוד</x:v>
      </x:c>
      <x:c r="F292" s="25" t="str">
        <x:v>מספר קלפי בסיסי ושם אתר זהים</x:v>
      </x:c>
      <x:c r="G292" s="25" t="str">
        <x:v>הודעת הבחירות הרשמית של חיפה (2024)</x:v>
      </x:c>
      <x:c r="H292" s="25" t="n">
        <x:v>8</x:v>
      </x:c>
      <x:c r="I292" s="25" t="str">
        <x:v>355.0</x:v>
      </x:c>
      <x:c r="J292" s="25" t="str">
        <x:v>בי"ס רמב"ם</x:v>
      </x:c>
      <x:c r="K292" s="25" t="str">
        <x:v>מוכן לעבודה</x:v>
      </x:c>
    </x:row>
    <x:row r="293" ht="38" customHeight="1">
      <x:c r="A293" s="29" t="str">
        <x:v>359</x:v>
      </x:c>
      <x:c r="B293" s="28" t="n">
        <x:v>3094</x:v>
      </x:c>
      <x:c r="C293" s="17" t="str">
        <x:v>שלוחת בי"ס אינשטיין</x:v>
      </x:c>
      <x:c r="D293" s="17" t="str">
        <x:v>אינשטיין אלברט 94</x:v>
      </x:c>
      <x:c r="E293" s="17" t="str">
        <x:v>גבוה מאוד</x:v>
      </x:c>
      <x:c r="F293" s="25" t="str">
        <x:v>מספר קלפי בסיסי ושם אתר זהים</x:v>
      </x:c>
      <x:c r="G293" s="25" t="str">
        <x:v>הודעת הבחירות הרשמית של חיפה (2024)</x:v>
      </x:c>
      <x:c r="H293" s="25" t="n">
        <x:v>8</x:v>
      </x:c>
      <x:c r="I293" s="25" t="str">
        <x:v>359.0</x:v>
      </x:c>
      <x:c r="J293" s="25" t="str">
        <x:v>שלוחת בי"ס אינשטיין</x:v>
      </x:c>
      <x:c r="K293" s="25" t="str">
        <x:v>מוכן לעבודה</x:v>
      </x:c>
    </x:row>
    <x:row r="294" ht="38" customHeight="1">
      <x:c r="A294" s="29" t="str">
        <x:v>360.1</x:v>
      </x:c>
      <x:c r="B294" s="28" t="n">
        <x:v>3142</x:v>
      </x:c>
      <x:c r="C294" s="17" t="str">
        <x:v>גן ילדים אודם</x:v>
      </x:c>
      <x:c r="D294" s="17" t="str">
        <x:v>לוין גוטל 22</x:v>
      </x:c>
      <x:c r="E294" s="17" t="str">
        <x:v>גבוה מאוד</x:v>
      </x:c>
      <x:c r="F294" s="25" t="str">
        <x:v>מספר קלפי בסיסי ושם אתר זהים</x:v>
      </x:c>
      <x:c r="G294" s="25" t="str">
        <x:v>הודעת הבחירות הרשמית של חיפה (2024)</x:v>
      </x:c>
      <x:c r="H294" s="25" t="n">
        <x:v>8</x:v>
      </x:c>
      <x:c r="I294" s="25" t="str">
        <x:v>360.0</x:v>
      </x:c>
      <x:c r="J294" s="25" t="str">
        <x:v>גן ילדים אודם</x:v>
      </x:c>
      <x:c r="K294" s="25" t="str">
        <x:v>מוכן לעבודה</x:v>
      </x:c>
    </x:row>
    <x:row r="295" ht="38" customHeight="1">
      <x:c r="A295" s="29" t="str">
        <x:v>361</x:v>
      </x:c>
      <x:c r="B295" s="28" t="n">
        <x:v>3143</x:v>
      </x:c>
      <x:c r="C295" s="17" t="str">
        <x:v>מרכז קהילתי רמת ספיר</x:v>
      </x:c>
      <x:c r="D295" s="17" t="str">
        <x:v>לוין גוטל 22א</x:v>
      </x:c>
      <x:c r="E295" s="17" t="str">
        <x:v>גבוה מאוד</x:v>
      </x:c>
      <x:c r="F295" s="25" t="str">
        <x:v>מספר קלפי בסיסי ושם אתר זהים</x:v>
      </x:c>
      <x:c r="G295" s="25" t="str">
        <x:v>הודעת הבחירות הרשמית של חיפה (2024)</x:v>
      </x:c>
      <x:c r="H295" s="25" t="n">
        <x:v>8</x:v>
      </x:c>
      <x:c r="I295" s="25" t="str">
        <x:v>361.0</x:v>
      </x:c>
      <x:c r="J295" s="25" t="str">
        <x:v>מרכז קהילתי רמת ספיר</x:v>
      </x:c>
      <x:c r="K295" s="25" t="str">
        <x:v>מוכן לעבודה</x:v>
      </x:c>
    </x:row>
    <x:row r="296" ht="38" customHeight="1">
      <x:c r="A296" s="29" t="str">
        <x:v>362</x:v>
      </x:c>
      <x:c r="B296" s="28" t="n">
        <x:v>3144</x:v>
      </x:c>
      <x:c r="C296" s="17" t="str">
        <x:v>מרכז קהילתי רמת ספיר</x:v>
      </x:c>
      <x:c r="D296" s="17" t="str">
        <x:v>לוין גוטל 22א</x:v>
      </x:c>
      <x:c r="E296" s="17" t="str">
        <x:v>גבוה מאוד</x:v>
      </x:c>
      <x:c r="F296" s="25" t="str">
        <x:v>מספר קלפי בסיסי ושם אתר זהים</x:v>
      </x:c>
      <x:c r="G296" s="25" t="str">
        <x:v>הודעת הבחירות הרשמית של חיפה (2024)</x:v>
      </x:c>
      <x:c r="H296" s="25" t="n">
        <x:v>8</x:v>
      </x:c>
      <x:c r="I296" s="25" t="str">
        <x:v>362.0</x:v>
      </x:c>
      <x:c r="J296" s="25" t="str">
        <x:v>מרכז קהילתי רמת ספיר</x:v>
      </x:c>
      <x:c r="K296" s="25" t="str">
        <x:v>מוכן לעבודה</x:v>
      </x:c>
    </x:row>
    <x:row r="297" ht="38" customHeight="1">
      <x:c r="A297" s="29" t="str">
        <x:v>363</x:v>
      </x:c>
      <x:c r="B297" s="28" t="n">
        <x:v>3095</x:v>
      </x:c>
      <x:c r="C297" s="17" t="str">
        <x:v>שלוחת בי"ס אינשטיין</x:v>
      </x:c>
      <x:c r="D297" s="17" t="str">
        <x:v>אינשטיין אלברט 94</x:v>
      </x:c>
      <x:c r="E297" s="17" t="str">
        <x:v>גבוה מאוד</x:v>
      </x:c>
      <x:c r="F297" s="25" t="str">
        <x:v>מספר קלפי בסיסי ושם אתר זהים</x:v>
      </x:c>
      <x:c r="G297" s="25" t="str">
        <x:v>הודעת הבחירות הרשמית של חיפה (2024)</x:v>
      </x:c>
      <x:c r="H297" s="25" t="n">
        <x:v>8</x:v>
      </x:c>
      <x:c r="I297" s="25" t="str">
        <x:v>363.0</x:v>
      </x:c>
      <x:c r="J297" s="25" t="str">
        <x:v>שלוחת בי"ס אינשטיין</x:v>
      </x:c>
      <x:c r="K297" s="25" t="str">
        <x:v>מוכן לעבודה</x:v>
      </x:c>
    </x:row>
    <x:row r="298" ht="38" customHeight="1">
      <x:c r="A298" s="29" t="str">
        <x:v>364</x:v>
      </x:c>
      <x:c r="B298" s="28" t="n">
        <x:v>3059</x:v>
      </x:c>
      <x:c r="C298" s="17" t="str">
        <x:v>בי"ס רוממה</x:v>
      </x:c>
      <x:c r="D298" s="17" t="str">
        <x:v>אורן 27</x:v>
      </x:c>
      <x:c r="E298" s="17" t="str">
        <x:v>גבוה מאוד</x:v>
      </x:c>
      <x:c r="F298" s="25" t="str">
        <x:v>מספר קלפי בסיסי ושם אתר זהים</x:v>
      </x:c>
      <x:c r="G298" s="25" t="str">
        <x:v>הודעת הבחירות הרשמית של חיפה (2024)</x:v>
      </x:c>
      <x:c r="H298" s="25" t="n">
        <x:v>8</x:v>
      </x:c>
      <x:c r="I298" s="25" t="str">
        <x:v>364.0</x:v>
      </x:c>
      <x:c r="J298" s="25" t="str">
        <x:v>בי"ס רוממה</x:v>
      </x:c>
      <x:c r="K298" s="25" t="str">
        <x:v>מוכן לעבודה</x:v>
      </x:c>
    </x:row>
    <x:row r="299" ht="38" customHeight="1">
      <x:c r="A299" s="29" t="str">
        <x:v>365</x:v>
      </x:c>
      <x:c r="B299" s="28" t="n">
        <x:v>3060</x:v>
      </x:c>
      <x:c r="C299" s="17" t="str">
        <x:v>אולם ספורט ביה"ס רוממה</x:v>
      </x:c>
      <x:c r="D299" s="17" t="str">
        <x:v>אורן 27</x:v>
      </x:c>
      <x:c r="E299" s="17" t="str">
        <x:v>גבוה מאוד</x:v>
      </x:c>
      <x:c r="F299" s="25" t="str">
        <x:v>מספר קלפי בסיסי ושם אתר זהים</x:v>
      </x:c>
      <x:c r="G299" s="25" t="str">
        <x:v>הודעת הבחירות הרשמית של חיפה (2024)</x:v>
      </x:c>
      <x:c r="H299" s="25" t="n">
        <x:v>8</x:v>
      </x:c>
      <x:c r="I299" s="25" t="str">
        <x:v>365.0</x:v>
      </x:c>
      <x:c r="J299" s="25" t="str">
        <x:v>אולם ספורט ביה"ס רוממה</x:v>
      </x:c>
      <x:c r="K299" s="25" t="str">
        <x:v>מוכן לעבודה</x:v>
      </x:c>
    </x:row>
    <x:row r="300" ht="38" customHeight="1">
      <x:c r="A300" s="29" t="str">
        <x:v>368</x:v>
      </x:c>
      <x:c r="B300" s="28" t="n">
        <x:v>3115</x:v>
      </x:c>
      <x:c r="C300" s="17" t="str">
        <x:v>בי"ס עירוני כי"ח</x:v>
      </x:c>
      <x:c r="D300" s="17" t="str">
        <x:v>בירם ד"ר 35</x:v>
      </x:c>
      <x:c r="E300" s="17" t="str">
        <x:v>גבוה מאוד</x:v>
      </x:c>
      <x:c r="F300" s="25" t="str">
        <x:v>מספר קלפי בסיסי ושם אתר זהים</x:v>
      </x:c>
      <x:c r="G300" s="25" t="str">
        <x:v>הודעת הבחירות הרשמית של חיפה (2024)</x:v>
      </x:c>
      <x:c r="H300" s="25" t="n">
        <x:v>8</x:v>
      </x:c>
      <x:c r="I300" s="25" t="str">
        <x:v>368.0</x:v>
      </x:c>
      <x:c r="J300" s="25" t="str">
        <x:v>בי"ס עירוני כי"ח</x:v>
      </x:c>
      <x:c r="K300" s="25" t="str">
        <x:v>מוכן לעבודה</x:v>
      </x:c>
    </x:row>
    <x:row r="301" ht="38" customHeight="1">
      <x:c r="A301" s="29" t="str">
        <x:v>369</x:v>
      </x:c>
      <x:c r="B301" s="28" t="n">
        <x:v>3116</x:v>
      </x:c>
      <x:c r="C301" s="17" t="str">
        <x:v>ישיבה תיכונית עירונית "יבנה"</x:v>
      </x:c>
      <x:c r="D301" s="17" t="str">
        <x:v>אלתר אליעזר 34</x:v>
      </x:c>
      <x:c r="E301" s="17" t="str">
        <x:v>גבוה מאוד</x:v>
      </x:c>
      <x:c r="F301" s="25" t="str">
        <x:v>מספר קלפי בסיסי ושם אתר זהים</x:v>
      </x:c>
      <x:c r="G301" s="25" t="str">
        <x:v>הודעת הבחירות הרשמית של חיפה (2024)</x:v>
      </x:c>
      <x:c r="H301" s="25" t="n">
        <x:v>8</x:v>
      </x:c>
      <x:c r="I301" s="25" t="str">
        <x:v>369.0</x:v>
      </x:c>
      <x:c r="J301" s="25" t="str">
        <x:v>ישיבה תיכונית עירונית "יבנה"</x:v>
      </x:c>
      <x:c r="K301" s="25" t="str">
        <x:v>מוכן לעבודה</x:v>
      </x:c>
    </x:row>
    <x:row r="302" ht="38" customHeight="1">
      <x:c r="A302" s="29" t="str">
        <x:v>370</x:v>
      </x:c>
      <x:c r="B302" s="28" t="n">
        <x:v>3117</x:v>
      </x:c>
      <x:c r="C302" s="17" t="str">
        <x:v>ישיבה תיכונית עירונית "יבנה"</x:v>
      </x:c>
      <x:c r="D302" s="17" t="str">
        <x:v>אלתר אליעזר 34</x:v>
      </x:c>
      <x:c r="E302" s="17" t="str">
        <x:v>גבוה מאוד</x:v>
      </x:c>
      <x:c r="F302" s="25" t="str">
        <x:v>מספר קלפי בסיסי ושם אתר זהים</x:v>
      </x:c>
      <x:c r="G302" s="25" t="str">
        <x:v>הודעת הבחירות הרשמית של חיפה (2024)</x:v>
      </x:c>
      <x:c r="H302" s="25" t="n">
        <x:v>8</x:v>
      </x:c>
      <x:c r="I302" s="25" t="str">
        <x:v>370.0</x:v>
      </x:c>
      <x:c r="J302" s="25" t="str">
        <x:v>ישיבה תיכונית עירונית "יבנה"</x:v>
      </x:c>
      <x:c r="K302" s="25" t="str">
        <x:v>מוכן לעבודה</x:v>
      </x:c>
    </x:row>
    <x:row r="303" ht="38" customHeight="1">
      <x:c r="A303" s="29" t="str">
        <x:v>371</x:v>
      </x:c>
      <x:c r="B303" s="28" t="n">
        <x:v>3118</x:v>
      </x:c>
      <x:c r="C303" s="17" t="str">
        <x:v>בי"ס עירוני כי"ח</x:v>
      </x:c>
      <x:c r="D303" s="17" t="str">
        <x:v>בירם ד"ר 35</x:v>
      </x:c>
      <x:c r="E303" s="17" t="str">
        <x:v>גבוה מאוד</x:v>
      </x:c>
      <x:c r="F303" s="25" t="str">
        <x:v>מספר קלפי בסיסי ושם אתר זהים</x:v>
      </x:c>
      <x:c r="G303" s="25" t="str">
        <x:v>הודעת הבחירות הרשמית של חיפה (2024)</x:v>
      </x:c>
      <x:c r="H303" s="25" t="n">
        <x:v>8</x:v>
      </x:c>
      <x:c r="I303" s="25" t="str">
        <x:v>371.0</x:v>
      </x:c>
      <x:c r="J303" s="25" t="str">
        <x:v>בי"ס עירוני כי"ח</x:v>
      </x:c>
      <x:c r="K303" s="25" t="str">
        <x:v>מוכן לעבודה</x:v>
      </x:c>
    </x:row>
    <x:row r="304" ht="38" customHeight="1">
      <x:c r="A304" s="29" t="str">
        <x:v>372</x:v>
      </x:c>
      <x:c r="B304" s="28" t="n">
        <x:v>3119</x:v>
      </x:c>
      <x:c r="C304" s="17" t="str">
        <x:v>בי"ס יגאל אלון</x:v>
      </x:c>
      <x:c r="D304" s="17" t="str">
        <x:v>יגאל אלון 8</x:v>
      </x:c>
      <x:c r="E304" s="17" t="str">
        <x:v>גבוה מאוד</x:v>
      </x:c>
      <x:c r="F304" s="25" t="str">
        <x:v>מספר קלפי בסיסי ושם אתר זהים</x:v>
      </x:c>
      <x:c r="G304" s="25" t="str">
        <x:v>הודעת הבחירות הרשמית של חיפה (2024)</x:v>
      </x:c>
      <x:c r="H304" s="25" t="n">
        <x:v>8</x:v>
      </x:c>
      <x:c r="I304" s="25" t="str">
        <x:v>372.0</x:v>
      </x:c>
      <x:c r="J304" s="25" t="str">
        <x:v>בי"ס יגאל אלון</x:v>
      </x:c>
      <x:c r="K304" s="25" t="str">
        <x:v>מוכן לעבודה</x:v>
      </x:c>
    </x:row>
    <x:row r="305" ht="38" customHeight="1">
      <x:c r="A305" s="29" t="str">
        <x:v>375</x:v>
      </x:c>
      <x:c r="B305" s="28" t="n">
        <x:v>2846</x:v>
      </x:c>
      <x:c r="C305" s="17" t="str">
        <x:v>מרכז קהילתי</x:v>
      </x:c>
      <x:c r="D305" s="17" t="str">
        <x:v>הירדן 23</x:v>
      </x:c>
      <x:c r="E305" s="17" t="str">
        <x:v>גבוה</x:v>
      </x:c>
      <x:c r="F305" s="25" t="str">
        <x:v>שם כללי הוכרע לפי מספר הקלפי הבסיסי</x:v>
      </x:c>
      <x:c r="G305" s="25" t="str">
        <x:v>הודעת הבחירות הרשמית של חיפה (2024)</x:v>
      </x:c>
      <x:c r="H305" s="25" t="n">
        <x:v>8</x:v>
      </x:c>
      <x:c r="I305" s="25" t="str">
        <x:v>375.0</x:v>
      </x:c>
      <x:c r="J305" s="25" t="str">
        <x:v>מרכז קהילתי</x:v>
      </x:c>
      <x:c r="K305" s="25" t="str">
        <x:v>מוכן לעבודה</x:v>
      </x:c>
    </x:row>
    <x:row r="306" ht="38" customHeight="1">
      <x:c r="A306" s="29" t="str">
        <x:v>377</x:v>
      </x:c>
      <x:c r="B306" s="28" t="n">
        <x:v>2847</x:v>
      </x:c>
      <x:c r="C306" s="17" t="str">
        <x:v>המכללה להכשרת מורים</x:v>
      </x:c>
      <x:c r="D306" s="17" t="str">
        <x:v>החשמל 22</x:v>
      </x:c>
      <x:c r="E306" s="17" t="str">
        <x:v>גבוה מאוד</x:v>
      </x:c>
      <x:c r="F306" s="25" t="str">
        <x:v>מספר קלפי בסיסי ושם אתר זהים</x:v>
      </x:c>
      <x:c r="G306" s="25" t="str">
        <x:v>הודעת הבחירות הרשמית של חיפה (2024)</x:v>
      </x:c>
      <x:c r="H306" s="25" t="n">
        <x:v>8</x:v>
      </x:c>
      <x:c r="I306" s="25" t="str">
        <x:v>377.0</x:v>
      </x:c>
      <x:c r="J306" s="25" t="str">
        <x:v>המכללה להכשרת מורים</x:v>
      </x:c>
      <x:c r="K306" s="25" t="str">
        <x:v>מוכן לעבודה</x:v>
      </x:c>
    </x:row>
    <x:row r="307" ht="38" customHeight="1">
      <x:c r="A307" s="29" t="str">
        <x:v>379</x:v>
      </x:c>
      <x:c r="B307" s="28" t="n">
        <x:v>2848</x:v>
      </x:c>
      <x:c r="C307" s="17" t="str">
        <x:v>מרכז הנוער בית מגנצא</x:v>
      </x:c>
      <x:c r="D307" s="17" t="str">
        <x:v>חטיבת כרמלי 42א</x:v>
      </x:c>
      <x:c r="E307" s="17" t="str">
        <x:v>גבוה מאוד</x:v>
      </x:c>
      <x:c r="F307" s="25" t="str">
        <x:v>מספר קלפי בסיסי ושם אתר זהים</x:v>
      </x:c>
      <x:c r="G307" s="25" t="str">
        <x:v>הודעת הבחירות הרשמית של חיפה (2024)</x:v>
      </x:c>
      <x:c r="H307" s="25" t="n">
        <x:v>8</x:v>
      </x:c>
      <x:c r="I307" s="25" t="str">
        <x:v>379.0</x:v>
      </x:c>
      <x:c r="J307" s="25" t="str">
        <x:v>מרכז הנוער בית מגנצא</x:v>
      </x:c>
      <x:c r="K307" s="25" t="str">
        <x:v>מוכן לעבודה</x:v>
      </x:c>
    </x:row>
    <x:row r="308" ht="38" customHeight="1">
      <x:c r="A308" s="29" t="str">
        <x:v>380.1</x:v>
      </x:c>
      <x:c r="B308" s="28" t="n">
        <x:v>3166</x:v>
      </x:c>
      <x:c r="C308" s="17" t="str">
        <x:v>מתנ"ס נווה יוסף (אגף חדש)</x:v>
      </x:c>
      <x:c r="D308" s="17" t="str">
        <x:v>משאש הרב 1</x:v>
      </x:c>
      <x:c r="E308" s="17" t="str">
        <x:v>גבוה מאוד</x:v>
      </x:c>
      <x:c r="F308" s="25" t="str">
        <x:v>מספר קלפי בסיסי ושם אתר זהים</x:v>
      </x:c>
      <x:c r="G308" s="25" t="str">
        <x:v>הודעת הבחירות הרשמית של חיפה (2024)</x:v>
      </x:c>
      <x:c r="H308" s="25" t="n">
        <x:v>8</x:v>
      </x:c>
      <x:c r="I308" s="25" t="str">
        <x:v>380.0</x:v>
      </x:c>
      <x:c r="J308" s="25" t="str">
        <x:v>מתנ"ס נווה יוסף (אגף חדש)</x:v>
      </x:c>
      <x:c r="K308" s="25" t="str">
        <x:v>מוכן לעבודה</x:v>
      </x:c>
    </x:row>
    <x:row r="309" ht="38" customHeight="1">
      <x:c r="A309" s="29" t="str">
        <x:v>380.2</x:v>
      </x:c>
      <x:c r="B309" s="28" t="n">
        <x:v>3167</x:v>
      </x:c>
      <x:c r="C309" s="17" t="str">
        <x:v>מתנ"ס נווה יוסף (אגף חדש)</x:v>
      </x:c>
      <x:c r="D309" s="17" t="str">
        <x:v>משאש הרב 1</x:v>
      </x:c>
      <x:c r="E309" s="17" t="str">
        <x:v>גבוה מאוד</x:v>
      </x:c>
      <x:c r="F309" s="25" t="str">
        <x:v>מספר קלפי בסיסי ושם אתר זהים</x:v>
      </x:c>
      <x:c r="G309" s="25" t="str">
        <x:v>הודעת הבחירות הרשמית של חיפה (2024)</x:v>
      </x:c>
      <x:c r="H309" s="25" t="n">
        <x:v>8</x:v>
      </x:c>
      <x:c r="I309" s="25" t="str">
        <x:v>380.0</x:v>
      </x:c>
      <x:c r="J309" s="25" t="str">
        <x:v>מתנ"ס נווה יוסף (אגף חדש)</x:v>
      </x:c>
      <x:c r="K309" s="25" t="str">
        <x:v>מוכן לעבודה</x:v>
      </x:c>
    </x:row>
    <x:row r="310" ht="38" customHeight="1">
      <x:c r="A310" s="29" t="str">
        <x:v>380.3</x:v>
      </x:c>
      <x:c r="B310" s="28" t="n">
        <x:v>3168</x:v>
      </x:c>
      <x:c r="C310" s="17" t="str">
        <x:v>מתנ"ס נווה יוסף (אגף חדש)</x:v>
      </x:c>
      <x:c r="D310" s="17" t="str">
        <x:v>משאש הרב 1</x:v>
      </x:c>
      <x:c r="E310" s="17" t="str">
        <x:v>גבוה מאוד</x:v>
      </x:c>
      <x:c r="F310" s="25" t="str">
        <x:v>מספר קלפי בסיסי ושם אתר זהים</x:v>
      </x:c>
      <x:c r="G310" s="25" t="str">
        <x:v>הודעת הבחירות הרשמית של חיפה (2024)</x:v>
      </x:c>
      <x:c r="H310" s="25" t="n">
        <x:v>8</x:v>
      </x:c>
      <x:c r="I310" s="25" t="str">
        <x:v>380.0</x:v>
      </x:c>
      <x:c r="J310" s="25" t="str">
        <x:v>מתנ"ס נווה יוסף (אגף חדש)</x:v>
      </x:c>
      <x:c r="K310" s="25" t="str">
        <x:v>מוכן לעבודה</x:v>
      </x:c>
    </x:row>
    <x:row r="311" ht="38" customHeight="1">
      <x:c r="A311" s="29" t="str">
        <x:v>380.4</x:v>
      </x:c>
      <x:c r="B311" s="28" t="n">
        <x:v>3169</x:v>
      </x:c>
      <x:c r="C311" s="17" t="str">
        <x:v>מתנ"ס נווה יוסף (אגף חדש)</x:v>
      </x:c>
      <x:c r="D311" s="17" t="str">
        <x:v>משאש הרב 1</x:v>
      </x:c>
      <x:c r="E311" s="17" t="str">
        <x:v>גבוה מאוד</x:v>
      </x:c>
      <x:c r="F311" s="25" t="str">
        <x:v>מספר קלפי בסיסי ושם אתר זהים</x:v>
      </x:c>
      <x:c r="G311" s="25" t="str">
        <x:v>הודעת הבחירות הרשמית של חיפה (2024)</x:v>
      </x:c>
      <x:c r="H311" s="25" t="n">
        <x:v>8</x:v>
      </x:c>
      <x:c r="I311" s="25" t="str">
        <x:v>380.0</x:v>
      </x:c>
      <x:c r="J311" s="25" t="str">
        <x:v>מתנ"ס נווה יוסף (אגף חדש)</x:v>
      </x:c>
      <x:c r="K311" s="25" t="str">
        <x:v>מוכן לעבודה</x:v>
      </x:c>
    </x:row>
    <x:row r="312" ht="38" customHeight="1">
      <x:c r="A312" s="29" t="str">
        <x:v>381</x:v>
      </x:c>
      <x:c r="B312" s="28" t="n">
        <x:v>2849</x:v>
      </x:c>
      <x:c r="C312" s="17" t="str">
        <x:v>מרכז הנוער בית מגנצא</x:v>
      </x:c>
      <x:c r="D312" s="17" t="str">
        <x:v>חטיבת כרמלי 42א</x:v>
      </x:c>
      <x:c r="E312" s="17" t="str">
        <x:v>גבוה מאוד</x:v>
      </x:c>
      <x:c r="F312" s="25" t="str">
        <x:v>מספר קלפי בסיסי ושם אתר זהים</x:v>
      </x:c>
      <x:c r="G312" s="25" t="str">
        <x:v>הודעת הבחירות הרשמית של חיפה (2024)</x:v>
      </x:c>
      <x:c r="H312" s="25" t="n">
        <x:v>8</x:v>
      </x:c>
      <x:c r="I312" s="25" t="str">
        <x:v>381.0</x:v>
      </x:c>
      <x:c r="J312" s="25" t="str">
        <x:v>מרכז הנוער בית מגנצא</x:v>
      </x:c>
      <x:c r="K312" s="25" t="str">
        <x:v>מוכן לעבודה</x:v>
      </x:c>
    </x:row>
    <x:row r="313" ht="38" customHeight="1">
      <x:c r="A313" s="29" t="str">
        <x:v>382</x:v>
      </x:c>
      <x:c r="B313" s="28" t="n">
        <x:v>2850</x:v>
      </x:c>
      <x:c r="C313" s="17" t="str">
        <x:v>המכללה להכשרת מורים</x:v>
      </x:c>
      <x:c r="D313" s="17" t="str">
        <x:v>החשמל 22</x:v>
      </x:c>
      <x:c r="E313" s="17" t="str">
        <x:v>גבוה מאוד</x:v>
      </x:c>
      <x:c r="F313" s="25" t="str">
        <x:v>מספר קלפי בסיסי ושם אתר זהים</x:v>
      </x:c>
      <x:c r="G313" s="25" t="str">
        <x:v>הודעת הבחירות הרשמית של חיפה (2024)</x:v>
      </x:c>
      <x:c r="H313" s="25" t="n">
        <x:v>8</x:v>
      </x:c>
      <x:c r="I313" s="25" t="str">
        <x:v>382.0</x:v>
      </x:c>
      <x:c r="J313" s="25" t="str">
        <x:v>המכללה להכשרת מורים</x:v>
      </x:c>
      <x:c r="K313" s="25" t="str">
        <x:v>מוכן לעבודה</x:v>
      </x:c>
    </x:row>
    <x:row r="314" ht="38" customHeight="1">
      <x:c r="A314" s="29" t="str">
        <x:v>384</x:v>
      </x:c>
      <x:c r="B314" s="28" t="n">
        <x:v>2851</x:v>
      </x:c>
      <x:c r="C314" s="17" t="str">
        <x:v>בי"ס עבד אל רחמן אלחאג'</x:v>
      </x:c>
      <x:c r="D314" s="17" t="str">
        <x:v>גוש עציון 24</x:v>
      </x:c>
      <x:c r="E314" s="17" t="str">
        <x:v>גבוה מאוד</x:v>
      </x:c>
      <x:c r="F314" s="25" t="str">
        <x:v>מספר קלפי בסיסי ושם אתר זהים</x:v>
      </x:c>
      <x:c r="G314" s="25" t="str">
        <x:v>הודעת הבחירות הרשמית של חיפה (2024)</x:v>
      </x:c>
      <x:c r="H314" s="25" t="n">
        <x:v>8</x:v>
      </x:c>
      <x:c r="I314" s="25" t="str">
        <x:v>384.0</x:v>
      </x:c>
      <x:c r="J314" s="25" t="str">
        <x:v>בי"ס עבד אל רחמן אלחאג'</x:v>
      </x:c>
      <x:c r="K314" s="25" t="str">
        <x:v>מוכן לעבודה</x:v>
      </x:c>
    </x:row>
    <x:row r="315" ht="38" customHeight="1">
      <x:c r="A315" s="29" t="str">
        <x:v>385.1</x:v>
      </x:c>
      <x:c r="B315" s="28" t="n">
        <x:v>3170</x:v>
      </x:c>
      <x:c r="C315" s="17" t="str">
        <x:v>גן ילדים נוף</x:v>
      </x:c>
      <x:c r="D315" s="17" t="str">
        <x:v>פרץ מרקיש 5</x:v>
      </x:c>
      <x:c r="E315" s="17" t="str">
        <x:v>גבוה מאוד</x:v>
      </x:c>
      <x:c r="F315" s="25" t="str">
        <x:v>מספר קלפי בסיסי ושם אתר זהים</x:v>
      </x:c>
      <x:c r="G315" s="25" t="str">
        <x:v>הודעת הבחירות הרשמית של חיפה (2024)</x:v>
      </x:c>
      <x:c r="H315" s="25" t="n">
        <x:v>8</x:v>
      </x:c>
      <x:c r="I315" s="25" t="str">
        <x:v>385.0</x:v>
      </x:c>
      <x:c r="J315" s="25" t="str">
        <x:v>גן ילדים נוף</x:v>
      </x:c>
      <x:c r="K315" s="25" t="str">
        <x:v>מוכן לעבודה</x:v>
      </x:c>
    </x:row>
    <x:row r="316" ht="38" customHeight="1">
      <x:c r="A316" s="29" t="str">
        <x:v>385.2</x:v>
      </x:c>
      <x:c r="B316" s="28" t="n">
        <x:v>3171</x:v>
      </x:c>
      <x:c r="C316" s="17" t="str">
        <x:v>גן ילדים "תפוז"</x:v>
      </x:c>
      <x:c r="D316" s="17" t="str">
        <x:v>פרץ מרקיש 5</x:v>
      </x:c>
      <x:c r="E316" s="17" t="str">
        <x:v>גבוה</x:v>
      </x:c>
      <x:c r="F316" s="25" t="str">
        <x:v>שם וכתובת זהים בשני מקורות משלימים</x:v>
      </x:c>
      <x:c r="G316" s="25" t="str">
        <x:v>מאגר הקלפיות הממשלתי (2016) + מוסדות חינוך עירוניים</x:v>
      </x:c>
      <x:c r="H316" s="25" t="str"/>
      <x:c r="I316" s="25" t="str"/>
      <x:c r="J316" s="25" t="str">
        <x:v>גן ילדים "תפוז"</x:v>
      </x:c>
      <x:c r="K316" s="25" t="str">
        <x:v>מוכן לעבודה</x:v>
      </x:c>
    </x:row>
    <x:row r="317" ht="38" customHeight="1">
      <x:c r="A317" s="29" t="str">
        <x:v>387.1</x:v>
      </x:c>
      <x:c r="B317" s="28" t="n">
        <x:v>2852</x:v>
      </x:c>
      <x:c r="C317" s="17" t="str">
        <x:v>בי"ס תהילת שלמה</x:v>
      </x:c>
      <x:c r="D317" s="17" t="str">
        <x:v>החשמל 8</x:v>
      </x:c>
      <x:c r="E317" s="17" t="str">
        <x:v>גבוה מאוד</x:v>
      </x:c>
      <x:c r="F317" s="25" t="str">
        <x:v>מספר קלפי בסיסי ושם אתר זהים</x:v>
      </x:c>
      <x:c r="G317" s="25" t="str">
        <x:v>הודעת הבחירות הרשמית של חיפה (2024)</x:v>
      </x:c>
      <x:c r="H317" s="25" t="n">
        <x:v>8</x:v>
      </x:c>
      <x:c r="I317" s="25" t="str">
        <x:v>387.1</x:v>
      </x:c>
      <x:c r="J317" s="25" t="str">
        <x:v>בי"ס תהילת שלמה</x:v>
      </x:c>
      <x:c r="K317" s="25" t="str">
        <x:v>מוכן לעבודה</x:v>
      </x:c>
    </x:row>
    <x:row r="318" ht="38" customHeight="1">
      <x:c r="A318" s="29" t="str">
        <x:v>387.2</x:v>
      </x:c>
      <x:c r="B318" s="28" t="n">
        <x:v>2853</x:v>
      </x:c>
      <x:c r="C318" s="17" t="str">
        <x:v>בי"ס תהילת שלמה</x:v>
      </x:c>
      <x:c r="D318" s="17" t="str">
        <x:v>החשמל 8</x:v>
      </x:c>
      <x:c r="E318" s="17" t="str">
        <x:v>גבוה מאוד</x:v>
      </x:c>
      <x:c r="F318" s="25" t="str">
        <x:v>מספר קלפי בסיסי ושם אתר זהים</x:v>
      </x:c>
      <x:c r="G318" s="25" t="str">
        <x:v>הודעת הבחירות הרשמית של חיפה (2024)</x:v>
      </x:c>
      <x:c r="H318" s="25" t="n">
        <x:v>8</x:v>
      </x:c>
      <x:c r="I318" s="25" t="str">
        <x:v>387.2</x:v>
      </x:c>
      <x:c r="J318" s="25" t="str">
        <x:v>בי"ס תהילת שלמה</x:v>
      </x:c>
      <x:c r="K318" s="25" t="str">
        <x:v>מוכן לעבודה</x:v>
      </x:c>
    </x:row>
    <x:row r="319" ht="38" customHeight="1">
      <x:c r="A319" s="29" t="str">
        <x:v>388</x:v>
      </x:c>
      <x:c r="B319" s="28" t="n">
        <x:v>2854</x:v>
      </x:c>
      <x:c r="C319" s="17" t="str">
        <x:v>מרכז קהילתי</x:v>
      </x:c>
      <x:c r="D319" s="17" t="str">
        <x:v>הירדן 23</x:v>
      </x:c>
      <x:c r="E319" s="17" t="str">
        <x:v>גבוה</x:v>
      </x:c>
      <x:c r="F319" s="25" t="str">
        <x:v>שם כללי הוכרע לפי מספר הקלפי הבסיסי</x:v>
      </x:c>
      <x:c r="G319" s="25" t="str">
        <x:v>הודעת הבחירות הרשמית של חיפה (2024)</x:v>
      </x:c>
      <x:c r="H319" s="25" t="n">
        <x:v>8</x:v>
      </x:c>
      <x:c r="I319" s="25" t="str">
        <x:v>388.0</x:v>
      </x:c>
      <x:c r="J319" s="25" t="str">
        <x:v>מרכז קהילתי</x:v>
      </x:c>
      <x:c r="K319" s="25" t="str">
        <x:v>מוכן לעבודה</x:v>
      </x:c>
    </x:row>
    <x:row r="320" ht="38" customHeight="1">
      <x:c r="A320" s="29" t="str">
        <x:v>389</x:v>
      </x:c>
      <x:c r="B320" s="28" t="n">
        <x:v>3172</x:v>
      </x:c>
      <x:c r="C320" s="17" t="str">
        <x:v>גן ילדים "דוכיפת"</x:v>
      </x:c>
      <x:c r="D320" s="17" t="str">
        <x:v>פרץ מרקיש 22</x:v>
      </x:c>
      <x:c r="E320" s="17" t="str">
        <x:v>גבוה מאוד</x:v>
      </x:c>
      <x:c r="F320" s="25" t="str">
        <x:v>מספר קלפי בסיסי ושם אתר זהים</x:v>
      </x:c>
      <x:c r="G320" s="25" t="str">
        <x:v>הודעת הבחירות הרשמית של חיפה (2024)</x:v>
      </x:c>
      <x:c r="H320" s="25" t="n">
        <x:v>8</x:v>
      </x:c>
      <x:c r="I320" s="25" t="str">
        <x:v>389.0</x:v>
      </x:c>
      <x:c r="J320" s="25" t="str">
        <x:v>גן ילדים "דוכיפת"</x:v>
      </x:c>
      <x:c r="K320" s="25" t="str">
        <x:v>מוכן לעבודה</x:v>
      </x:c>
    </x:row>
    <x:row r="321" ht="38" customHeight="1">
      <x:c r="A321" s="29" t="str">
        <x:v>392.1</x:v>
      </x:c>
      <x:c r="B321" s="28" t="n">
        <x:v>3145</x:v>
      </x:c>
      <x:c r="C321" s="17" t="str">
        <x:v>בי"ס תל חי</x:v>
      </x:c>
      <x:c r="D321" s="17" t="str">
        <x:v>הגליל 107</x:v>
      </x:c>
      <x:c r="E321" s="17" t="str">
        <x:v>גבוה מאוד</x:v>
      </x:c>
      <x:c r="F321" s="25" t="str">
        <x:v>מספר קלפי בסיסי ושם אתר זהים</x:v>
      </x:c>
      <x:c r="G321" s="25" t="str">
        <x:v>הודעת הבחירות הרשמית של חיפה (2024)</x:v>
      </x:c>
      <x:c r="H321" s="25" t="n">
        <x:v>8</x:v>
      </x:c>
      <x:c r="I321" s="25" t="str">
        <x:v>392.0</x:v>
      </x:c>
      <x:c r="J321" s="25" t="str">
        <x:v>בי"ס תל חי</x:v>
      </x:c>
      <x:c r="K321" s="25" t="str">
        <x:v>מוכן לעבודה</x:v>
      </x:c>
    </x:row>
    <x:row r="322" ht="38" customHeight="1">
      <x:c r="A322" s="29" t="str">
        <x:v>392.2</x:v>
      </x:c>
      <x:c r="B322" s="28" t="n">
        <x:v>3146</x:v>
      </x:c>
      <x:c r="C322" s="17" t="str">
        <x:v>בי"ס תל חי</x:v>
      </x:c>
      <x:c r="D322" s="17" t="str">
        <x:v>הגליל 107</x:v>
      </x:c>
      <x:c r="E322" s="17" t="str">
        <x:v>גבוה מאוד</x:v>
      </x:c>
      <x:c r="F322" s="25" t="str">
        <x:v>מספר קלפי בסיסי ושם אתר זהים</x:v>
      </x:c>
      <x:c r="G322" s="25" t="str">
        <x:v>הודעת הבחירות הרשמית של חיפה (2024)</x:v>
      </x:c>
      <x:c r="H322" s="25" t="n">
        <x:v>8</x:v>
      </x:c>
      <x:c r="I322" s="25" t="str">
        <x:v>392.0</x:v>
      </x:c>
      <x:c r="J322" s="25" t="str">
        <x:v>בי"ס תל חי</x:v>
      </x:c>
      <x:c r="K322" s="25" t="str">
        <x:v>מוכן לעבודה</x:v>
      </x:c>
    </x:row>
    <x:row r="323" ht="38" customHeight="1">
      <x:c r="A323" s="29" t="str">
        <x:v>392.3</x:v>
      </x:c>
      <x:c r="B323" s="28" t="n">
        <x:v>3147</x:v>
      </x:c>
      <x:c r="C323" s="17" t="str">
        <x:v>בי"ס תל חי</x:v>
      </x:c>
      <x:c r="D323" s="17" t="str">
        <x:v>הגליל 107</x:v>
      </x:c>
      <x:c r="E323" s="17" t="str">
        <x:v>גבוה מאוד</x:v>
      </x:c>
      <x:c r="F323" s="25" t="str">
        <x:v>מספר קלפי בסיסי ושם אתר זהים</x:v>
      </x:c>
      <x:c r="G323" s="25" t="str">
        <x:v>הודעת הבחירות הרשמית של חיפה (2024)</x:v>
      </x:c>
      <x:c r="H323" s="25" t="n">
        <x:v>8</x:v>
      </x:c>
      <x:c r="I323" s="25" t="str">
        <x:v>392.0</x:v>
      </x:c>
      <x:c r="J323" s="25" t="str">
        <x:v>בי"ס תל חי</x:v>
      </x:c>
      <x:c r="K323" s="25" t="str">
        <x:v>מוכן לעבודה</x:v>
      </x:c>
    </x:row>
    <x:row r="324" ht="38" customHeight="1">
      <x:c r="A324" s="29" t="str">
        <x:v>392.4</x:v>
      </x:c>
      <x:c r="B324" s="28" t="n">
        <x:v>3148</x:v>
      </x:c>
      <x:c r="C324" s="17" t="str">
        <x:v>בי"ס תל חי</x:v>
      </x:c>
      <x:c r="D324" s="17" t="str">
        <x:v>הגליל 107</x:v>
      </x:c>
      <x:c r="E324" s="17" t="str">
        <x:v>גבוה מאוד</x:v>
      </x:c>
      <x:c r="F324" s="25" t="str">
        <x:v>מספר קלפי בסיסי ושם אתר זהים</x:v>
      </x:c>
      <x:c r="G324" s="25" t="str">
        <x:v>הודעת הבחירות הרשמית של חיפה (2024)</x:v>
      </x:c>
      <x:c r="H324" s="25" t="n">
        <x:v>8</x:v>
      </x:c>
      <x:c r="I324" s="25" t="str">
        <x:v>392.0</x:v>
      </x:c>
      <x:c r="J324" s="25" t="str">
        <x:v>בי"ס תל חי</x:v>
      </x:c>
      <x:c r="K324" s="25" t="str">
        <x:v>מוכן לעבודה</x:v>
      </x:c>
    </x:row>
    <x:row r="325" ht="38" customHeight="1">
      <x:c r="A325" s="29" t="str">
        <x:v>392.5</x:v>
      </x:c>
      <x:c r="B325" s="28" t="n">
        <x:v>3149</x:v>
      </x:c>
      <x:c r="C325" s="17" t="str">
        <x:v>בי"ס תל חי</x:v>
      </x:c>
      <x:c r="D325" s="17" t="str">
        <x:v>הגליל 107</x:v>
      </x:c>
      <x:c r="E325" s="17" t="str">
        <x:v>גבוה מאוד</x:v>
      </x:c>
      <x:c r="F325" s="25" t="str">
        <x:v>מספר קלפי בסיסי ושם אתר זהים</x:v>
      </x:c>
      <x:c r="G325" s="25" t="str">
        <x:v>הודעת הבחירות הרשמית של חיפה (2024)</x:v>
      </x:c>
      <x:c r="H325" s="25" t="n">
        <x:v>8</x:v>
      </x:c>
      <x:c r="I325" s="25" t="str">
        <x:v>392.0</x:v>
      </x:c>
      <x:c r="J325" s="25" t="str">
        <x:v>בי"ס תל חי</x:v>
      </x:c>
      <x:c r="K325" s="25" t="str">
        <x:v>מוכן לעבודה</x:v>
      </x:c>
    </x:row>
    <x:row r="326" ht="38" customHeight="1">
      <x:c r="A326" s="29" t="str">
        <x:v>403</x:v>
      </x:c>
      <x:c r="B326" s="28" t="n">
        <x:v>3150</x:v>
      </x:c>
      <x:c r="C326" s="17" t="str">
        <x:v>בי"ס תיכון עירוני ג</x:v>
      </x:c>
      <x:c r="D326" s="17" t="str">
        <x:v>גדליהו 22</x:v>
      </x:c>
      <x:c r="E326" s="17" t="str">
        <x:v>גבוה</x:v>
      </x:c>
      <x:c r="F326" s="25" t="str">
        <x:v>שם אתר ייחודי זהה; מספר הקלפי השתנה או פוצל</x:v>
      </x:c>
      <x:c r="G326" s="25" t="str">
        <x:v>הודעת הבחירות הרשמית של חיפה (2024)</x:v>
      </x:c>
      <x:c r="H326" s="25" t="n">
        <x:v>9</x:v>
      </x:c>
      <x:c r="I326" s="25" t="str">
        <x:v>435.0</x:v>
      </x:c>
      <x:c r="J326" s="25" t="str">
        <x:v>בי"ס תיכון עירוני ג</x:v>
      </x:c>
      <x:c r="K326" s="25" t="str">
        <x:v>מוכן לעבודה</x:v>
      </x:c>
    </x:row>
    <x:row r="327" ht="38" customHeight="1">
      <x:c r="A327" s="29" t="str">
        <x:v>405.1</x:v>
      </x:c>
      <x:c r="B327" s="28" t="n">
        <x:v>3173</x:v>
      </x:c>
      <x:c r="C327" s="17" t="str">
        <x:v>בי"ס בארי</x:v>
      </x:c>
      <x:c r="D327" s="17" t="str">
        <x:v>ברל כצנלסון 48</x:v>
      </x:c>
      <x:c r="E327" s="17" t="str">
        <x:v>גבוה מאוד</x:v>
      </x:c>
      <x:c r="F327" s="25" t="str">
        <x:v>מספר קלפי בסיסי ושם אתר זהים</x:v>
      </x:c>
      <x:c r="G327" s="25" t="str">
        <x:v>הודעת הבחירות הרשמית של חיפה (2024)</x:v>
      </x:c>
      <x:c r="H327" s="25" t="n">
        <x:v>9</x:v>
      </x:c>
      <x:c r="I327" s="25" t="str">
        <x:v>405.0</x:v>
      </x:c>
      <x:c r="J327" s="25" t="str">
        <x:v>בי"ס בארי</x:v>
      </x:c>
      <x:c r="K327" s="25" t="str">
        <x:v>מוכן לעבודה</x:v>
      </x:c>
    </x:row>
    <x:row r="328" ht="38" customHeight="1">
      <x:c r="A328" s="29" t="str">
        <x:v>405.2</x:v>
      </x:c>
      <x:c r="B328" s="28" t="n">
        <x:v>3174</x:v>
      </x:c>
      <x:c r="C328" s="17" t="str">
        <x:v>בי"ס בארי</x:v>
      </x:c>
      <x:c r="D328" s="17" t="str">
        <x:v>ברל כצנלסון 48</x:v>
      </x:c>
      <x:c r="E328" s="17" t="str">
        <x:v>גבוה מאוד</x:v>
      </x:c>
      <x:c r="F328" s="25" t="str">
        <x:v>מספר קלפי בסיסי ושם אתר זהים</x:v>
      </x:c>
      <x:c r="G328" s="25" t="str">
        <x:v>הודעת הבחירות הרשמית של חיפה (2024)</x:v>
      </x:c>
      <x:c r="H328" s="25" t="n">
        <x:v>9</x:v>
      </x:c>
      <x:c r="I328" s="25" t="str">
        <x:v>405.0</x:v>
      </x:c>
      <x:c r="J328" s="25" t="str">
        <x:v>בי"ס בארי</x:v>
      </x:c>
      <x:c r="K328" s="25" t="str">
        <x:v>מוכן לעבודה</x:v>
      </x:c>
    </x:row>
    <x:row r="329" ht="38" customHeight="1">
      <x:c r="A329" s="29" t="str">
        <x:v>405.3</x:v>
      </x:c>
      <x:c r="B329" s="28" t="n">
        <x:v>3175</x:v>
      </x:c>
      <x:c r="C329" s="17" t="str">
        <x:v>בי"ס בארי</x:v>
      </x:c>
      <x:c r="D329" s="17" t="str">
        <x:v>ברל כצנלסון 48</x:v>
      </x:c>
      <x:c r="E329" s="17" t="str">
        <x:v>גבוה מאוד</x:v>
      </x:c>
      <x:c r="F329" s="25" t="str">
        <x:v>מספר קלפי בסיסי ושם אתר זהים</x:v>
      </x:c>
      <x:c r="G329" s="25" t="str">
        <x:v>הודעת הבחירות הרשמית של חיפה (2024)</x:v>
      </x:c>
      <x:c r="H329" s="25" t="n">
        <x:v>9</x:v>
      </x:c>
      <x:c r="I329" s="25" t="str">
        <x:v>405.0</x:v>
      </x:c>
      <x:c r="J329" s="25" t="str">
        <x:v>בי"ס בארי</x:v>
      </x:c>
      <x:c r="K329" s="25" t="str">
        <x:v>מוכן לעבודה</x:v>
      </x:c>
    </x:row>
    <x:row r="330" ht="38" customHeight="1">
      <x:c r="A330" s="29" t="str">
        <x:v>409</x:v>
      </x:c>
      <x:c r="B330" s="28" t="n">
        <x:v>3120</x:v>
      </x:c>
      <x:c r="C330" s="17" t="str">
        <x:v>בי"ס הבונים</x:v>
      </x:c>
      <x:c r="D330" s="17" t="str">
        <x:v>חביבה רייך 16</x:v>
      </x:c>
      <x:c r="E330" s="17" t="str">
        <x:v>גבוה מאוד</x:v>
      </x:c>
      <x:c r="F330" s="25" t="str">
        <x:v>מספר קלפי בסיסי ושם אתר זהים</x:v>
      </x:c>
      <x:c r="G330" s="25" t="str">
        <x:v>הודעת הבחירות הרשמית של חיפה (2024)</x:v>
      </x:c>
      <x:c r="H330" s="25" t="n">
        <x:v>9</x:v>
      </x:c>
      <x:c r="I330" s="25" t="str">
        <x:v>409.0</x:v>
      </x:c>
      <x:c r="J330" s="25" t="str">
        <x:v>בי"ס הבונים</x:v>
      </x:c>
      <x:c r="K330" s="25" t="str">
        <x:v>מוכן לעבודה</x:v>
      </x:c>
    </x:row>
    <x:row r="331" ht="38" customHeight="1">
      <x:c r="A331" s="29" t="str">
        <x:v>410</x:v>
      </x:c>
      <x:c r="B331" s="28" t="n">
        <x:v>3121</x:v>
      </x:c>
      <x:c r="C331" s="17" t="str">
        <x:v>בי"ס הבונים</x:v>
      </x:c>
      <x:c r="D331" s="17" t="str">
        <x:v>חביבה רייך 16</x:v>
      </x:c>
      <x:c r="E331" s="17" t="str">
        <x:v>גבוה מאוד</x:v>
      </x:c>
      <x:c r="F331" s="25" t="str">
        <x:v>מספר קלפי בסיסי ושם אתר זהים</x:v>
      </x:c>
      <x:c r="G331" s="25" t="str">
        <x:v>הודעת הבחירות הרשמית של חיפה (2024)</x:v>
      </x:c>
      <x:c r="H331" s="25" t="n">
        <x:v>9</x:v>
      </x:c>
      <x:c r="I331" s="25" t="str">
        <x:v>410.0</x:v>
      </x:c>
      <x:c r="J331" s="25" t="str">
        <x:v>בי"ס הבונים</x:v>
      </x:c>
      <x:c r="K331" s="25" t="str">
        <x:v>מוכן לעבודה</x:v>
      </x:c>
    </x:row>
    <x:row r="332" ht="38" customHeight="1">
      <x:c r="A332" s="29" t="str">
        <x:v>411</x:v>
      </x:c>
      <x:c r="B332" s="28" t="n">
        <x:v>3151</x:v>
      </x:c>
      <x:c r="C332" s="17" t="str">
        <x:v>בי"ס תיכון עירוני ג</x:v>
      </x:c>
      <x:c r="D332" s="17" t="str">
        <x:v>גדליהו 22</x:v>
      </x:c>
      <x:c r="E332" s="17" t="str">
        <x:v>גבוה</x:v>
      </x:c>
      <x:c r="F332" s="25" t="str">
        <x:v>שם אתר ייחודי זהה; מספר הקלפי השתנה או פוצל</x:v>
      </x:c>
      <x:c r="G332" s="25" t="str">
        <x:v>הודעת הבחירות הרשמית של חיפה (2024)</x:v>
      </x:c>
      <x:c r="H332" s="25" t="n">
        <x:v>9</x:v>
      </x:c>
      <x:c r="I332" s="25" t="str">
        <x:v>435.0</x:v>
      </x:c>
      <x:c r="J332" s="25" t="str">
        <x:v>בי"ס תיכון עירוני ג</x:v>
      </x:c>
      <x:c r="K332" s="25" t="str">
        <x:v>מוכן לעבודה</x:v>
      </x:c>
    </x:row>
    <x:row r="333" ht="38" customHeight="1">
      <x:c r="A333" s="29" t="str">
        <x:v>412</x:v>
      </x:c>
      <x:c r="B333" s="28" t="n">
        <x:v>3176</x:v>
      </x:c>
      <x:c r="C333" s="17" t="str">
        <x:v>גן פריאל</x:v>
      </x:c>
      <x:c r="D333" s="17" t="str">
        <x:v>צ'רניאבסקי אהרון 14</x:v>
      </x:c>
      <x:c r="E333" s="17" t="str">
        <x:v>גבוה מאוד</x:v>
      </x:c>
      <x:c r="F333" s="25" t="str">
        <x:v>מספר קלפי בסיסי ושם אתר זהים</x:v>
      </x:c>
      <x:c r="G333" s="25" t="str">
        <x:v>הודעת הבחירות הרשמית של חיפה (2024)</x:v>
      </x:c>
      <x:c r="H333" s="25" t="n">
        <x:v>9</x:v>
      </x:c>
      <x:c r="I333" s="25" t="str">
        <x:v>412.0</x:v>
      </x:c>
      <x:c r="J333" s="25" t="str">
        <x:v>גן פריאל</x:v>
      </x:c>
      <x:c r="K333" s="25" t="str">
        <x:v>מוכן לעבודה</x:v>
      </x:c>
    </x:row>
    <x:row r="334" ht="38" customHeight="1">
      <x:c r="A334" s="29" t="str">
        <x:v>418</x:v>
      </x:c>
      <x:c r="B334" s="28" t="n">
        <x:v>3177</x:v>
      </x:c>
      <x:c r="C334" s="17" t="str">
        <x:v>בית אבא חושי</x:v>
      </x:c>
      <x:c r="D334" s="17" t="str">
        <x:v>סילבר אבא הלל 71</x:v>
      </x:c>
      <x:c r="E334" s="17" t="str">
        <x:v>גבוה מאוד</x:v>
      </x:c>
      <x:c r="F334" s="25" t="str">
        <x:v>מספר קלפי בסיסי ושם אתר זהים</x:v>
      </x:c>
      <x:c r="G334" s="25" t="str">
        <x:v>הודעת הבחירות הרשמית של חיפה (2024)</x:v>
      </x:c>
      <x:c r="H334" s="25" t="n">
        <x:v>9</x:v>
      </x:c>
      <x:c r="I334" s="25" t="str">
        <x:v>418.0</x:v>
      </x:c>
      <x:c r="J334" s="25" t="str">
        <x:v>בית אבא חושי</x:v>
      </x:c>
      <x:c r="K334" s="25" t="str">
        <x:v>מוכן לעבודה</x:v>
      </x:c>
    </x:row>
    <x:row r="335" ht="38" customHeight="1">
      <x:c r="A335" s="29" t="str">
        <x:v>419</x:v>
      </x:c>
      <x:c r="B335" s="28" t="n">
        <x:v>3178</x:v>
      </x:c>
      <x:c r="C335" s="17" t="str">
        <x:v>בית אבא חושי</x:v>
      </x:c>
      <x:c r="D335" s="17" t="str">
        <x:v>סילבר אבא הלל 71</x:v>
      </x:c>
      <x:c r="E335" s="17" t="str">
        <x:v>גבוה מאוד</x:v>
      </x:c>
      <x:c r="F335" s="25" t="str">
        <x:v>מספר קלפי בסיסי ושם אתר זהים</x:v>
      </x:c>
      <x:c r="G335" s="25" t="str">
        <x:v>הודעת הבחירות הרשמית של חיפה (2024)</x:v>
      </x:c>
      <x:c r="H335" s="25" t="n">
        <x:v>9</x:v>
      </x:c>
      <x:c r="I335" s="25" t="str">
        <x:v>419.0</x:v>
      </x:c>
      <x:c r="J335" s="25" t="str">
        <x:v>בית אבא חושי</x:v>
      </x:c>
      <x:c r="K335" s="25" t="str">
        <x:v>מוכן לעבודה</x:v>
      </x:c>
    </x:row>
    <x:row r="336" ht="38" customHeight="1">
      <x:c r="A336" s="29" t="str">
        <x:v>420</x:v>
      </x:c>
      <x:c r="B336" s="28" t="n">
        <x:v>3122</x:v>
      </x:c>
      <x:c r="C336" s="17" t="str">
        <x:v>בי"ס יגאל אלון</x:v>
      </x:c>
      <x:c r="D336" s="17" t="str">
        <x:v>יגאל אלון 8</x:v>
      </x:c>
      <x:c r="E336" s="17" t="str">
        <x:v>גבוה מאוד</x:v>
      </x:c>
      <x:c r="F336" s="25" t="str">
        <x:v>מספר קלפי בסיסי ושם אתר זהים</x:v>
      </x:c>
      <x:c r="G336" s="25" t="str">
        <x:v>הודעת הבחירות הרשמית של חיפה (2024)</x:v>
      </x:c>
      <x:c r="H336" s="25" t="n">
        <x:v>9</x:v>
      </x:c>
      <x:c r="I336" s="25" t="str">
        <x:v>420.0</x:v>
      </x:c>
      <x:c r="J336" s="25" t="str">
        <x:v>בי"ס יגאל אלון</x:v>
      </x:c>
      <x:c r="K336" s="25" t="str">
        <x:v>מוכן לעבודה</x:v>
      </x:c>
    </x:row>
    <x:row r="337" ht="38" customHeight="1">
      <x:c r="A337" s="29" t="str">
        <x:v>423</x:v>
      </x:c>
      <x:c r="B337" s="28" t="n">
        <x:v>3179</x:v>
      </x:c>
      <x:c r="C337" s="17" t="str">
        <x:v>בית אבא חושי</x:v>
      </x:c>
      <x:c r="D337" s="17" t="str">
        <x:v>סילבר אבא הלל 71</x:v>
      </x:c>
      <x:c r="E337" s="17" t="str">
        <x:v>גבוה מאוד</x:v>
      </x:c>
      <x:c r="F337" s="25" t="str">
        <x:v>מספר קלפי בסיסי ושם אתר זהים</x:v>
      </x:c>
      <x:c r="G337" s="25" t="str">
        <x:v>הודעת הבחירות הרשמית של חיפה (2024)</x:v>
      </x:c>
      <x:c r="H337" s="25" t="n">
        <x:v>9</x:v>
      </x:c>
      <x:c r="I337" s="25" t="str">
        <x:v>423.0</x:v>
      </x:c>
      <x:c r="J337" s="25" t="str">
        <x:v>בית אבא חושי</x:v>
      </x:c>
      <x:c r="K337" s="25" t="str">
        <x:v>מוכן לעבודה</x:v>
      </x:c>
    </x:row>
    <x:row r="338" ht="38" customHeight="1">
      <x:c r="A338" s="29" t="str">
        <x:v>425</x:v>
      </x:c>
      <x:c r="B338" s="28" t="n">
        <x:v>3061</x:v>
      </x:c>
      <x:c r="C338" s="17" t="str">
        <x:v>גן שושן</x:v>
      </x:c>
      <x:c r="D338" s="17" t="str">
        <x:v>ורדיה 15</x:v>
      </x:c>
      <x:c r="E338" s="17" t="str">
        <x:v>גבוה מאוד</x:v>
      </x:c>
      <x:c r="F338" s="25" t="str">
        <x:v>מספר קלפי בסיסי ושם אתר זהים</x:v>
      </x:c>
      <x:c r="G338" s="25" t="str">
        <x:v>הודעת הבחירות הרשמית של חיפה (2024)</x:v>
      </x:c>
      <x:c r="H338" s="25" t="n">
        <x:v>9</x:v>
      </x:c>
      <x:c r="I338" s="25" t="str">
        <x:v>425.0</x:v>
      </x:c>
      <x:c r="J338" s="25" t="str">
        <x:v>גן שושן</x:v>
      </x:c>
      <x:c r="K338" s="25" t="str">
        <x:v>מוכן לעבודה</x:v>
      </x:c>
    </x:row>
    <x:row r="339" ht="38" customHeight="1">
      <x:c r="A339" s="29" t="str">
        <x:v>426</x:v>
      </x:c>
      <x:c r="B339" s="28" t="n">
        <x:v>2974</x:v>
      </x:c>
      <x:c r="C339" s="17" t="str">
        <x:v>מכללת גורדון</x:v>
      </x:c>
      <x:c r="D339" s="17" t="str">
        <x:v>טשרניחובסקי 73</x:v>
      </x:c>
      <x:c r="E339" s="17" t="str">
        <x:v>גבוה מאוד</x:v>
      </x:c>
      <x:c r="F339" s="25" t="str">
        <x:v>מספר קלפי בסיסי ושם אתר זהים</x:v>
      </x:c>
      <x:c r="G339" s="25" t="str">
        <x:v>הודעת הבחירות הרשמית של חיפה (2024)</x:v>
      </x:c>
      <x:c r="H339" s="25" t="n">
        <x:v>9</x:v>
      </x:c>
      <x:c r="I339" s="25" t="str">
        <x:v>426.0</x:v>
      </x:c>
      <x:c r="J339" s="25" t="str">
        <x:v>מכללת גורדון</x:v>
      </x:c>
      <x:c r="K339" s="25" t="str">
        <x:v>מוכן לעבודה</x:v>
      </x:c>
    </x:row>
    <x:row r="340" ht="38" customHeight="1">
      <x:c r="A340" s="29" t="str">
        <x:v>428</x:v>
      </x:c>
      <x:c r="B340" s="28" t="n">
        <x:v>3062</x:v>
      </x:c>
      <x:c r="C340" s="17" t="str">
        <x:v>גן שושן</x:v>
      </x:c>
      <x:c r="D340" s="17" t="str">
        <x:v>ורדיה 15</x:v>
      </x:c>
      <x:c r="E340" s="17" t="str">
        <x:v>גבוה מאוד</x:v>
      </x:c>
      <x:c r="F340" s="25" t="str">
        <x:v>מספר קלפי בסיסי ושם אתר זהים</x:v>
      </x:c>
      <x:c r="G340" s="25" t="str">
        <x:v>הודעת הבחירות הרשמית של חיפה (2024)</x:v>
      </x:c>
      <x:c r="H340" s="25" t="n">
        <x:v>9</x:v>
      </x:c>
      <x:c r="I340" s="25" t="str">
        <x:v>428.0</x:v>
      </x:c>
      <x:c r="J340" s="25" t="str">
        <x:v>גן שושן</x:v>
      </x:c>
      <x:c r="K340" s="25" t="str">
        <x:v>מוכן לעבודה</x:v>
      </x:c>
    </x:row>
    <x:row r="341" ht="38" customHeight="1">
      <x:c r="A341" s="29" t="str">
        <x:v>429</x:v>
      </x:c>
      <x:c r="B341" s="28" t="n">
        <x:v>3063</x:v>
      </x:c>
      <x:c r="C341" s="17" t="str">
        <x:v>גן ילדים נחל</x:v>
      </x:c>
      <x:c r="D341" s="17" t="str">
        <x:v>צבעוני 17</x:v>
      </x:c>
      <x:c r="E341" s="17" t="str">
        <x:v>גבוה מאוד</x:v>
      </x:c>
      <x:c r="F341" s="25" t="str">
        <x:v>מספר קלפי בסיסי ושם אתר זהים</x:v>
      </x:c>
      <x:c r="G341" s="25" t="str">
        <x:v>הודעת הבחירות הרשמית של חיפה (2024)</x:v>
      </x:c>
      <x:c r="H341" s="25" t="n">
        <x:v>9</x:v>
      </x:c>
      <x:c r="I341" s="25" t="str">
        <x:v>429.0</x:v>
      </x:c>
      <x:c r="J341" s="25" t="str">
        <x:v>גן ילדים נחל</x:v>
      </x:c>
      <x:c r="K341" s="25" t="str">
        <x:v>מוכן לעבודה</x:v>
      </x:c>
    </x:row>
    <x:row r="342" ht="38" customHeight="1">
      <x:c r="A342" s="29" t="str">
        <x:v>430</x:v>
      </x:c>
      <x:c r="B342" s="28" t="n">
        <x:v>2855</x:v>
      </x:c>
      <x:c r="C342" s="17" t="str">
        <x:v>בי"ס עבד אל רחמן אלחאג'</x:v>
      </x:c>
      <x:c r="D342" s="17" t="str">
        <x:v>גוש עציון 24</x:v>
      </x:c>
      <x:c r="E342" s="17" t="str">
        <x:v>גבוה מאוד</x:v>
      </x:c>
      <x:c r="F342" s="25" t="str">
        <x:v>מספר קלפי בסיסי ושם אתר זהים</x:v>
      </x:c>
      <x:c r="G342" s="25" t="str">
        <x:v>הודעת הבחירות הרשמית של חיפה (2024)</x:v>
      </x:c>
      <x:c r="H342" s="25" t="n">
        <x:v>9</x:v>
      </x:c>
      <x:c r="I342" s="25" t="str">
        <x:v>430.0</x:v>
      </x:c>
      <x:c r="J342" s="25" t="str">
        <x:v>בי"ס עבד אל רחמן אלחאג'</x:v>
      </x:c>
      <x:c r="K342" s="25" t="str">
        <x:v>מוכן לעבודה</x:v>
      </x:c>
    </x:row>
    <x:row r="343" ht="38" customHeight="1">
      <x:c r="A343" s="29" t="str">
        <x:v>432.1</x:v>
      </x:c>
      <x:c r="B343" s="28" t="n">
        <x:v>3180</x:v>
      </x:c>
      <x:c r="C343" s="17" t="str">
        <x:v>בי"ס דינור</x:v>
      </x:c>
      <x:c r="D343" s="17" t="str">
        <x:v>קליבנוב 20</x:v>
      </x:c>
      <x:c r="E343" s="17" t="str">
        <x:v>גבוה מאוד</x:v>
      </x:c>
      <x:c r="F343" s="25" t="str">
        <x:v>מספר קלפי בסיסי ושם אתר זהים</x:v>
      </x:c>
      <x:c r="G343" s="25" t="str">
        <x:v>הודעת הבחירות הרשמית של חיפה (2024)</x:v>
      </x:c>
      <x:c r="H343" s="25" t="n">
        <x:v>9</x:v>
      </x:c>
      <x:c r="I343" s="25" t="str">
        <x:v>432.0</x:v>
      </x:c>
      <x:c r="J343" s="25" t="str">
        <x:v>בי"ס דינור</x:v>
      </x:c>
      <x:c r="K343" s="25" t="str">
        <x:v>מוכן לעבודה</x:v>
      </x:c>
    </x:row>
    <x:row r="344" ht="38" customHeight="1">
      <x:c r="A344" s="29" t="str">
        <x:v>432.2</x:v>
      </x:c>
      <x:c r="B344" s="28" t="n">
        <x:v>3181</x:v>
      </x:c>
      <x:c r="C344" s="17" t="str">
        <x:v>בי"ס דינור</x:v>
      </x:c>
      <x:c r="D344" s="17" t="str">
        <x:v>קליבנוב 20</x:v>
      </x:c>
      <x:c r="E344" s="17" t="str">
        <x:v>גבוה מאוד</x:v>
      </x:c>
      <x:c r="F344" s="25" t="str">
        <x:v>מספר קלפי בסיסי ושם אתר זהים</x:v>
      </x:c>
      <x:c r="G344" s="25" t="str">
        <x:v>הודעת הבחירות הרשמית של חיפה (2024)</x:v>
      </x:c>
      <x:c r="H344" s="25" t="n">
        <x:v>9</x:v>
      </x:c>
      <x:c r="I344" s="25" t="str">
        <x:v>432.0</x:v>
      </x:c>
      <x:c r="J344" s="25" t="str">
        <x:v>בי"ס דינור</x:v>
      </x:c>
      <x:c r="K344" s="25" t="str">
        <x:v>מוכן לעבודה</x:v>
      </x:c>
    </x:row>
    <x:row r="345" ht="38" customHeight="1">
      <x:c r="A345" s="29" t="str">
        <x:v>432.3</x:v>
      </x:c>
      <x:c r="B345" s="28" t="n">
        <x:v>3182</x:v>
      </x:c>
      <x:c r="C345" s="17" t="str">
        <x:v>בי"ס דינור</x:v>
      </x:c>
      <x:c r="D345" s="17" t="str">
        <x:v>קליבנוב 20</x:v>
      </x:c>
      <x:c r="E345" s="17" t="str">
        <x:v>גבוה מאוד</x:v>
      </x:c>
      <x:c r="F345" s="25" t="str">
        <x:v>מספר קלפי בסיסי ושם אתר זהים</x:v>
      </x:c>
      <x:c r="G345" s="25" t="str">
        <x:v>הודעת הבחירות הרשמית של חיפה (2024)</x:v>
      </x:c>
      <x:c r="H345" s="25" t="n">
        <x:v>9</x:v>
      </x:c>
      <x:c r="I345" s="25" t="str">
        <x:v>432.0</x:v>
      </x:c>
      <x:c r="J345" s="25" t="str">
        <x:v>בי"ס דינור</x:v>
      </x:c>
      <x:c r="K345" s="25" t="str">
        <x:v>מוכן לעבודה</x:v>
      </x:c>
    </x:row>
    <x:row r="346" ht="38" customHeight="1">
      <x:c r="A346" s="29" t="str">
        <x:v>432.4</x:v>
      </x:c>
      <x:c r="B346" s="28" t="n">
        <x:v>3183</x:v>
      </x:c>
      <x:c r="C346" s="17" t="str">
        <x:v>בי"ס דינור</x:v>
      </x:c>
      <x:c r="D346" s="17" t="str">
        <x:v>קליבנוב 20</x:v>
      </x:c>
      <x:c r="E346" s="17" t="str">
        <x:v>גבוה מאוד</x:v>
      </x:c>
      <x:c r="F346" s="25" t="str">
        <x:v>מספר קלפי בסיסי ושם אתר זהים</x:v>
      </x:c>
      <x:c r="G346" s="25" t="str">
        <x:v>הודעת הבחירות הרשמית של חיפה (2024)</x:v>
      </x:c>
      <x:c r="H346" s="25" t="n">
        <x:v>9</x:v>
      </x:c>
      <x:c r="I346" s="25" t="str">
        <x:v>432.0</x:v>
      </x:c>
      <x:c r="J346" s="25" t="str">
        <x:v>בי"ס דינור</x:v>
      </x:c>
      <x:c r="K346" s="25" t="str">
        <x:v>מוכן לעבודה</x:v>
      </x:c>
    </x:row>
    <x:row r="347" ht="38" customHeight="1">
      <x:c r="A347" s="29" t="str">
        <x:v>432.5</x:v>
      </x:c>
      <x:c r="B347" s="28" t="n">
        <x:v>3184</x:v>
      </x:c>
      <x:c r="C347" s="17" t="str">
        <x:v>בי"ס דינור</x:v>
      </x:c>
      <x:c r="D347" s="17" t="str">
        <x:v>קליבנוב 20</x:v>
      </x:c>
      <x:c r="E347" s="17" t="str">
        <x:v>גבוה מאוד</x:v>
      </x:c>
      <x:c r="F347" s="25" t="str">
        <x:v>מספר קלפי בסיסי ושם אתר זהים</x:v>
      </x:c>
      <x:c r="G347" s="25" t="str">
        <x:v>הודעת הבחירות הרשמית של חיפה (2024)</x:v>
      </x:c>
      <x:c r="H347" s="25" t="n">
        <x:v>9</x:v>
      </x:c>
      <x:c r="I347" s="25" t="str">
        <x:v>432.0</x:v>
      </x:c>
      <x:c r="J347" s="25" t="str">
        <x:v>בי"ס דינור</x:v>
      </x:c>
      <x:c r="K347" s="25" t="str">
        <x:v>מוכן לעבודה</x:v>
      </x:c>
    </x:row>
    <x:row r="348" ht="38" customHeight="1">
      <x:c r="A348" s="29" t="str">
        <x:v>433</x:v>
      </x:c>
      <x:c r="B348" s="28" t="n">
        <x:v>3185</x:v>
      </x:c>
      <x:c r="C348" s="17" t="str">
        <x:v>בית אבא חושי</x:v>
      </x:c>
      <x:c r="D348" s="17" t="str">
        <x:v>סילבר אבא הלל 71</x:v>
      </x:c>
      <x:c r="E348" s="17" t="str">
        <x:v>גבוה מאוד</x:v>
      </x:c>
      <x:c r="F348" s="25" t="str">
        <x:v>מספר קלפי בסיסי ושם אתר זהים</x:v>
      </x:c>
      <x:c r="G348" s="25" t="str">
        <x:v>הודעת הבחירות הרשמית של חיפה (2024)</x:v>
      </x:c>
      <x:c r="H348" s="25" t="n">
        <x:v>9</x:v>
      </x:c>
      <x:c r="I348" s="25" t="str">
        <x:v>433.0</x:v>
      </x:c>
      <x:c r="J348" s="25" t="str">
        <x:v>בית אבא חושי</x:v>
      </x:c>
      <x:c r="K348" s="25" t="str">
        <x:v>מוכן לעבודה</x:v>
      </x:c>
    </x:row>
    <x:row r="349" ht="38" customHeight="1">
      <x:c r="A349" s="29" t="str">
        <x:v>434</x:v>
      </x:c>
      <x:c r="B349" s="28" t="n">
        <x:v>3064</x:v>
      </x:c>
      <x:c r="C349" s="17" t="str">
        <x:v>גן ניצן</x:v>
      </x:c>
      <x:c r="D349" s="17" t="str">
        <x:v>צבעוני 17</x:v>
      </x:c>
      <x:c r="E349" s="17" t="str">
        <x:v>גבוה מאוד</x:v>
      </x:c>
      <x:c r="F349" s="25" t="str">
        <x:v>מספר קלפי בסיסי ושם אתר זהים</x:v>
      </x:c>
      <x:c r="G349" s="25" t="str">
        <x:v>הודעת הבחירות הרשמית של חיפה (2024)</x:v>
      </x:c>
      <x:c r="H349" s="25" t="n">
        <x:v>9</x:v>
      </x:c>
      <x:c r="I349" s="25" t="str">
        <x:v>434.0</x:v>
      </x:c>
      <x:c r="J349" s="25" t="str">
        <x:v>גן ניצן</x:v>
      </x:c>
      <x:c r="K349" s="25" t="str">
        <x:v>מוכן לעבודה</x:v>
      </x:c>
    </x:row>
    <x:row r="350" ht="38" customHeight="1">
      <x:c r="A350" s="29" t="str">
        <x:v>435</x:v>
      </x:c>
      <x:c r="B350" s="28" t="n">
        <x:v>3152</x:v>
      </x:c>
      <x:c r="C350" s="17" t="str">
        <x:v>בי"ס תיכון עירוני ג</x:v>
      </x:c>
      <x:c r="D350" s="17" t="str">
        <x:v>גדליהו 22</x:v>
      </x:c>
      <x:c r="E350" s="17" t="str">
        <x:v>גבוה מאוד</x:v>
      </x:c>
      <x:c r="F350" s="25" t="str">
        <x:v>מספר קלפי בסיסי ושם אתר זהים</x:v>
      </x:c>
      <x:c r="G350" s="25" t="str">
        <x:v>הודעת הבחירות הרשמית של חיפה (2024)</x:v>
      </x:c>
      <x:c r="H350" s="25" t="n">
        <x:v>9</x:v>
      </x:c>
      <x:c r="I350" s="25" t="str">
        <x:v>435.0</x:v>
      </x:c>
      <x:c r="J350" s="25" t="str">
        <x:v>בי"ס תיכון עירוני ג</x:v>
      </x:c>
      <x:c r="K350" s="25" t="str">
        <x:v>מוכן לעבודה</x:v>
      </x:c>
    </x:row>
    <x:row r="351" ht="38" customHeight="1">
      <x:c r="A351" s="29" t="str">
        <x:v>438</x:v>
      </x:c>
      <x:c r="B351" s="28" t="n">
        <x:v>3123</x:v>
      </x:c>
      <x:c r="C351" s="17" t="str">
        <x:v>בי"ס עירוני כי"ח</x:v>
      </x:c>
      <x:c r="D351" s="17" t="str">
        <x:v>בירם ד"ר 35</x:v>
      </x:c>
      <x:c r="E351" s="17" t="str">
        <x:v>גבוה מאוד</x:v>
      </x:c>
      <x:c r="F351" s="25" t="str">
        <x:v>מספר קלפי בסיסי ושם אתר זהים</x:v>
      </x:c>
      <x:c r="G351" s="25" t="str">
        <x:v>הודעת הבחירות הרשמית של חיפה (2024)</x:v>
      </x:c>
      <x:c r="H351" s="25" t="n">
        <x:v>9</x:v>
      </x:c>
      <x:c r="I351" s="25" t="str">
        <x:v>438.0</x:v>
      </x:c>
      <x:c r="J351" s="25" t="str">
        <x:v>בי"ס עירוני כי"ח</x:v>
      </x:c>
      <x:c r="K351" s="25" t="str">
        <x:v>מוכן לעבודה</x:v>
      </x:c>
    </x:row>
    <x:row r="352" ht="38" customHeight="1">
      <x:c r="A352" s="29" t="str">
        <x:v>439</x:v>
      </x:c>
      <x:c r="B352" s="28" t="n">
        <x:v>3003</x:v>
      </x:c>
      <x:c r="C352" s="17" t="str">
        <x:v>בי"ס נאות פרס</x:v>
      </x:c>
      <x:c r="D352" s="17" t="str">
        <x:v>כיכר ואצלב האוול</x:v>
      </x:c>
      <x:c r="E352" s="17" t="str">
        <x:v>גבוה מאוד</x:v>
      </x:c>
      <x:c r="F352" s="25" t="str">
        <x:v>מספר קלפי בסיסי ושם אתר זהים</x:v>
      </x:c>
      <x:c r="G352" s="25" t="str">
        <x:v>הודעת הבחירות הרשמית של חיפה (2024)</x:v>
      </x:c>
      <x:c r="H352" s="25" t="n">
        <x:v>9</x:v>
      </x:c>
      <x:c r="I352" s="25" t="str">
        <x:v>439.0</x:v>
      </x:c>
      <x:c r="J352" s="25" t="str">
        <x:v>בי"ס נאות פרס</x:v>
      </x:c>
      <x:c r="K352" s="25" t="str">
        <x:v>מוכן לעבודה</x:v>
      </x:c>
    </x:row>
    <x:row r="353" ht="38" customHeight="1">
      <x:c r="A353" s="29" t="str">
        <x:v>440</x:v>
      </x:c>
      <x:c r="B353" s="28" t="n">
        <x:v>3004</x:v>
      </x:c>
      <x:c r="C353" s="17" t="str">
        <x:v>בי"ס נאות פרס</x:v>
      </x:c>
      <x:c r="D353" s="17" t="str">
        <x:v>כיכר ואצלב האוול</x:v>
      </x:c>
      <x:c r="E353" s="17" t="str">
        <x:v>גבוה מאוד</x:v>
      </x:c>
      <x:c r="F353" s="25" t="str">
        <x:v>מספר קלפי בסיסי ושם אתר זהים</x:v>
      </x:c>
      <x:c r="G353" s="25" t="str">
        <x:v>הודעת הבחירות הרשמית של חיפה (2024)</x:v>
      </x:c>
      <x:c r="H353" s="25" t="n">
        <x:v>9</x:v>
      </x:c>
      <x:c r="I353" s="25" t="str">
        <x:v>440.0</x:v>
      </x:c>
      <x:c r="J353" s="25" t="str">
        <x:v>בי"ס נאות פרס</x:v>
      </x:c>
      <x:c r="K353" s="25" t="str">
        <x:v>מוכן לעבודה</x:v>
      </x:c>
    </x:row>
    <x:row r="354" ht="38" customHeight="1">
      <x:c r="A354" s="29" t="str">
        <x:v>441</x:v>
      </x:c>
      <x:c r="B354" s="28" t="n">
        <x:v>3005</x:v>
      </x:c>
      <x:c r="C354" s="17" t="str">
        <x:v>בי"ס נאות פרס</x:v>
      </x:c>
      <x:c r="D354" s="17" t="str">
        <x:v>כיכר ואצלב האוול</x:v>
      </x:c>
      <x:c r="E354" s="17" t="str">
        <x:v>גבוה מאוד</x:v>
      </x:c>
      <x:c r="F354" s="25" t="str">
        <x:v>מספר קלפי בסיסי ושם אתר זהים</x:v>
      </x:c>
      <x:c r="G354" s="25" t="str">
        <x:v>הודעת הבחירות הרשמית של חיפה (2024)</x:v>
      </x:c>
      <x:c r="H354" s="25" t="n">
        <x:v>9</x:v>
      </x:c>
      <x:c r="I354" s="25" t="str">
        <x:v>441.0</x:v>
      </x:c>
      <x:c r="J354" s="25" t="str">
        <x:v>בי"ס נאות פרס</x:v>
      </x:c>
      <x:c r="K354" s="25" t="str">
        <x:v>מוכן לעבודה</x:v>
      </x:c>
    </x:row>
    <x:row r="355" ht="38" customHeight="1">
      <x:c r="A355" s="29" t="str">
        <x:v>446</x:v>
      </x:c>
      <x:c r="B355" s="28" t="n">
        <x:v>3124</x:v>
      </x:c>
      <x:c r="C355" s="17" t="str">
        <x:v>בי"ס הבונים</x:v>
      </x:c>
      <x:c r="D355" s="17" t="str">
        <x:v>חביבה רייך 16</x:v>
      </x:c>
      <x:c r="E355" s="17" t="str">
        <x:v>גבוה מאוד</x:v>
      </x:c>
      <x:c r="F355" s="25" t="str">
        <x:v>מספר קלפי בסיסי ושם אתר זהים</x:v>
      </x:c>
      <x:c r="G355" s="25" t="str">
        <x:v>הודעת הבחירות הרשמית של חיפה (2024)</x:v>
      </x:c>
      <x:c r="H355" s="25" t="n">
        <x:v>10</x:v>
      </x:c>
      <x:c r="I355" s="25" t="str">
        <x:v>446.0</x:v>
      </x:c>
      <x:c r="J355" s="25" t="str">
        <x:v>בי"ס הבונים</x:v>
      </x:c>
      <x:c r="K355" s="25" t="str">
        <x:v>מוכן לעבודה</x:v>
      </x:c>
    </x:row>
    <x:row r="356" ht="38" customHeight="1">
      <x:c r="A356" s="29" t="str">
        <x:v>449.1</x:v>
      </x:c>
      <x:c r="B356" s="28" t="n">
        <x:v>3096</x:v>
      </x:c>
      <x:c r="C356" s="17" t="str">
        <x:v>בי"ס נופים</x:v>
      </x:c>
      <x:c r="D356" s="17" t="str">
        <x:v>סורוקה משה 22</x:v>
      </x:c>
      <x:c r="E356" s="17" t="str">
        <x:v>גבוה מאוד</x:v>
      </x:c>
      <x:c r="F356" s="25" t="str">
        <x:v>מספר קלפי בסיסי ושם אתר זהים</x:v>
      </x:c>
      <x:c r="G356" s="25" t="str">
        <x:v>הודעת הבחירות הרשמית של חיפה (2024)</x:v>
      </x:c>
      <x:c r="H356" s="25" t="n">
        <x:v>10</x:v>
      </x:c>
      <x:c r="I356" s="25" t="str">
        <x:v>449.0</x:v>
      </x:c>
      <x:c r="J356" s="25" t="str">
        <x:v>בי"ס נופים</x:v>
      </x:c>
      <x:c r="K356" s="25" t="str">
        <x:v>מוכן לעבודה</x:v>
      </x:c>
    </x:row>
    <x:row r="357" ht="38" customHeight="1">
      <x:c r="A357" s="29" t="str">
        <x:v>449.2</x:v>
      </x:c>
      <x:c r="B357" s="28" t="n">
        <x:v>3097</x:v>
      </x:c>
      <x:c r="C357" s="17" t="str">
        <x:v>בי"ס נופים</x:v>
      </x:c>
      <x:c r="D357" s="17" t="str">
        <x:v>סורוקה משה 22</x:v>
      </x:c>
      <x:c r="E357" s="17" t="str">
        <x:v>גבוה מאוד</x:v>
      </x:c>
      <x:c r="F357" s="25" t="str">
        <x:v>מספר קלפי בסיסי ושם אתר זהים</x:v>
      </x:c>
      <x:c r="G357" s="25" t="str">
        <x:v>הודעת הבחירות הרשמית של חיפה (2024)</x:v>
      </x:c>
      <x:c r="H357" s="25" t="n">
        <x:v>10</x:v>
      </x:c>
      <x:c r="I357" s="25" t="str">
        <x:v>449.0</x:v>
      </x:c>
      <x:c r="J357" s="25" t="str">
        <x:v>בי"ס נופים</x:v>
      </x:c>
      <x:c r="K357" s="25" t="str">
        <x:v>מוכן לעבודה</x:v>
      </x:c>
    </x:row>
    <x:row r="358" ht="38" customHeight="1">
      <x:c r="A358" s="29" t="str">
        <x:v>449.3</x:v>
      </x:c>
      <x:c r="B358" s="28" t="n">
        <x:v>3098</x:v>
      </x:c>
      <x:c r="C358" s="17" t="str">
        <x:v>בי"ס נופים</x:v>
      </x:c>
      <x:c r="D358" s="17" t="str">
        <x:v>סורוקה משה 22</x:v>
      </x:c>
      <x:c r="E358" s="17" t="str">
        <x:v>גבוה מאוד</x:v>
      </x:c>
      <x:c r="F358" s="25" t="str">
        <x:v>מספר קלפי בסיסי ושם אתר זהים</x:v>
      </x:c>
      <x:c r="G358" s="25" t="str">
        <x:v>הודעת הבחירות הרשמית של חיפה (2024)</x:v>
      </x:c>
      <x:c r="H358" s="25" t="n">
        <x:v>10</x:v>
      </x:c>
      <x:c r="I358" s="25" t="str">
        <x:v>449.0</x:v>
      </x:c>
      <x:c r="J358" s="25" t="str">
        <x:v>בי"ס נופים</x:v>
      </x:c>
      <x:c r="K358" s="25" t="str">
        <x:v>מוכן לעבודה</x:v>
      </x:c>
    </x:row>
    <x:row r="359" ht="38" customHeight="1">
      <x:c r="A359" s="29" t="str">
        <x:v>449.4</x:v>
      </x:c>
      <x:c r="B359" s="28" t="n">
        <x:v>3099</x:v>
      </x:c>
      <x:c r="C359" s="17" t="str">
        <x:v>בי"ס נופים</x:v>
      </x:c>
      <x:c r="D359" s="17" t="str">
        <x:v>סורוקה משה 22</x:v>
      </x:c>
      <x:c r="E359" s="17" t="str">
        <x:v>גבוה מאוד</x:v>
      </x:c>
      <x:c r="F359" s="25" t="str">
        <x:v>מספר קלפי בסיסי ושם אתר זהים</x:v>
      </x:c>
      <x:c r="G359" s="25" t="str">
        <x:v>הודעת הבחירות הרשמית של חיפה (2024)</x:v>
      </x:c>
      <x:c r="H359" s="25" t="n">
        <x:v>10</x:v>
      </x:c>
      <x:c r="I359" s="25" t="str">
        <x:v>449.0</x:v>
      </x:c>
      <x:c r="J359" s="25" t="str">
        <x:v>בי"ס נופים</x:v>
      </x:c>
      <x:c r="K359" s="25" t="str">
        <x:v>מוכן לעבודה</x:v>
      </x:c>
    </x:row>
    <x:row r="360" ht="38" customHeight="1">
      <x:c r="A360" s="29" t="str">
        <x:v>450</x:v>
      </x:c>
      <x:c r="B360" s="28" t="n">
        <x:v>3125</x:v>
      </x:c>
      <x:c r="C360" s="17" t="str">
        <x:v>גן מיתר</x:v>
      </x:c>
      <x:c r="D360" s="17" t="str">
        <x:v>מאיר גולדה 29</x:v>
      </x:c>
      <x:c r="E360" s="17" t="str">
        <x:v>גבוה מאוד</x:v>
      </x:c>
      <x:c r="F360" s="25" t="str">
        <x:v>מספר קלפי בסיסי ושם אתר זהים</x:v>
      </x:c>
      <x:c r="G360" s="25" t="str">
        <x:v>הודעת הבחירות הרשמית של חיפה (2024)</x:v>
      </x:c>
      <x:c r="H360" s="25" t="n">
        <x:v>10</x:v>
      </x:c>
      <x:c r="I360" s="25" t="str">
        <x:v>450.0</x:v>
      </x:c>
      <x:c r="J360" s="25" t="str">
        <x:v>גן מיתר</x:v>
      </x:c>
      <x:c r="K360" s="25" t="str">
        <x:v>מוכן לעבודה</x:v>
      </x:c>
    </x:row>
    <x:row r="361" ht="38" customHeight="1">
      <x:c r="A361" s="29" t="str">
        <x:v>453.1</x:v>
      </x:c>
      <x:c r="B361" s="28" t="n">
        <x:v>3126</x:v>
      </x:c>
      <x:c r="C361" s="17" t="str">
        <x:v>גן ילדים עירוני "אשל"</x:v>
      </x:c>
      <x:c r="D361" s="17" t="str">
        <x:v>רבין אסתר ד"ר 80</x:v>
      </x:c>
      <x:c r="E361" s="17" t="str">
        <x:v>גבוה מאוד</x:v>
      </x:c>
      <x:c r="F361" s="25" t="str">
        <x:v>מספר קלפי בסיסי ושם אתר זהים</x:v>
      </x:c>
      <x:c r="G361" s="25" t="str">
        <x:v>הודעת הבחירות הרשמית של חיפה (2024)</x:v>
      </x:c>
      <x:c r="H361" s="25" t="n">
        <x:v>10</x:v>
      </x:c>
      <x:c r="I361" s="25" t="str">
        <x:v>453.0</x:v>
      </x:c>
      <x:c r="J361" s="25" t="str">
        <x:v>גן ילדים עירוני "אשל"</x:v>
      </x:c>
      <x:c r="K361" s="25" t="str">
        <x:v>מוכן לעבודה</x:v>
      </x:c>
    </x:row>
    <x:row r="362" ht="38" customHeight="1">
      <x:c r="A362" s="29" t="str">
        <x:v>453.2</x:v>
      </x:c>
      <x:c r="B362" s="28" t="n">
        <x:v>3127</x:v>
      </x:c>
      <x:c r="C362" s="17" t="str">
        <x:v>גן ילדים עירוני "אשל"</x:v>
      </x:c>
      <x:c r="D362" s="17" t="str">
        <x:v>רבין אסתר ד"ר 80</x:v>
      </x:c>
      <x:c r="E362" s="17" t="str">
        <x:v>גבוה מאוד</x:v>
      </x:c>
      <x:c r="F362" s="25" t="str">
        <x:v>מספר קלפי בסיסי ושם אתר זהים</x:v>
      </x:c>
      <x:c r="G362" s="25" t="str">
        <x:v>הודעת הבחירות הרשמית של חיפה (2024)</x:v>
      </x:c>
      <x:c r="H362" s="25" t="n">
        <x:v>10</x:v>
      </x:c>
      <x:c r="I362" s="25" t="str">
        <x:v>453.0</x:v>
      </x:c>
      <x:c r="J362" s="25" t="str">
        <x:v>גן ילדים עירוני "אשל"</x:v>
      </x:c>
      <x:c r="K362" s="25" t="str">
        <x:v>מוכן לעבודה</x:v>
      </x:c>
    </x:row>
    <x:row r="363" ht="38" customHeight="1">
      <x:c r="A363" s="29" t="str">
        <x:v>460</x:v>
      </x:c>
      <x:c r="B363" s="28" t="n">
        <x:v>3153</x:v>
      </x:c>
      <x:c r="C363" s="17" t="str">
        <x:v>מרכז קהילתי רמת ספיר</x:v>
      </x:c>
      <x:c r="D363" s="17" t="str">
        <x:v>לוין גוטל 22א</x:v>
      </x:c>
      <x:c r="E363" s="17" t="str">
        <x:v>גבוה מאוד</x:v>
      </x:c>
      <x:c r="F363" s="25" t="str">
        <x:v>מספר קלפי בסיסי ושם אתר זהים</x:v>
      </x:c>
      <x:c r="G363" s="25" t="str">
        <x:v>הודעת הבחירות הרשמית של חיפה (2024)</x:v>
      </x:c>
      <x:c r="H363" s="25" t="n">
        <x:v>10</x:v>
      </x:c>
      <x:c r="I363" s="25" t="str">
        <x:v>460.0</x:v>
      </x:c>
      <x:c r="J363" s="25" t="str">
        <x:v>מרכז קהילתי רמת ספיר</x:v>
      </x:c>
      <x:c r="K363" s="25" t="str">
        <x:v>מוכן לעבודה</x:v>
      </x:c>
    </x:row>
    <x:row r="364" ht="38" customHeight="1">
      <x:c r="A364" s="29" t="str">
        <x:v>461.1</x:v>
      </x:c>
      <x:c r="B364" s="28" t="n">
        <x:v>3065</x:v>
      </x:c>
      <x:c r="C364" s="17" t="str">
        <x:v>בי"ס בן גוריון</x:v>
      </x:c>
      <x:c r="D364" s="17" t="str">
        <x:v>קרן היסוד 33</x:v>
      </x:c>
      <x:c r="E364" s="17" t="str">
        <x:v>גבוה מאוד</x:v>
      </x:c>
      <x:c r="F364" s="25" t="str">
        <x:v>מספר קלפי בסיסי ושם אתר זהים</x:v>
      </x:c>
      <x:c r="G364" s="25" t="str">
        <x:v>הודעת הבחירות הרשמית של חיפה (2024)</x:v>
      </x:c>
      <x:c r="H364" s="25" t="n">
        <x:v>10</x:v>
      </x:c>
      <x:c r="I364" s="25" t="str">
        <x:v>461.0</x:v>
      </x:c>
      <x:c r="J364" s="25" t="str">
        <x:v>בי"ס בן גוריון</x:v>
      </x:c>
      <x:c r="K364" s="25" t="str">
        <x:v>מוכן לעבודה</x:v>
      </x:c>
    </x:row>
    <x:row r="365" ht="38" customHeight="1">
      <x:c r="A365" s="29" t="str">
        <x:v>461.2</x:v>
      </x:c>
      <x:c r="B365" s="28" t="n">
        <x:v>3066</x:v>
      </x:c>
      <x:c r="C365" s="17" t="str">
        <x:v>בי"ס בן גוריון</x:v>
      </x:c>
      <x:c r="D365" s="17" t="str">
        <x:v>קרן היסוד 33</x:v>
      </x:c>
      <x:c r="E365" s="17" t="str">
        <x:v>גבוה מאוד</x:v>
      </x:c>
      <x:c r="F365" s="25" t="str">
        <x:v>מספר קלפי בסיסי ושם אתר זהים</x:v>
      </x:c>
      <x:c r="G365" s="25" t="str">
        <x:v>הודעת הבחירות הרשמית של חיפה (2024)</x:v>
      </x:c>
      <x:c r="H365" s="25" t="n">
        <x:v>10</x:v>
      </x:c>
      <x:c r="I365" s="25" t="str">
        <x:v>461.0</x:v>
      </x:c>
      <x:c r="J365" s="25" t="str">
        <x:v>בי"ס בן גוריון</x:v>
      </x:c>
      <x:c r="K365" s="25" t="str">
        <x:v>מוכן לעבודה</x:v>
      </x:c>
    </x:row>
    <x:row r="366" ht="38" customHeight="1">
      <x:c r="A366" s="29" t="str">
        <x:v>461.3</x:v>
      </x:c>
      <x:c r="B366" s="28" t="n">
        <x:v>3067</x:v>
      </x:c>
      <x:c r="C366" s="17" t="str">
        <x:v>בי"ס בן גוריון</x:v>
      </x:c>
      <x:c r="D366" s="17" t="str">
        <x:v>קרן היסוד 33</x:v>
      </x:c>
      <x:c r="E366" s="17" t="str">
        <x:v>גבוה מאוד</x:v>
      </x:c>
      <x:c r="F366" s="25" t="str">
        <x:v>מספר קלפי בסיסי ושם אתר זהים</x:v>
      </x:c>
      <x:c r="G366" s="25" t="str">
        <x:v>הודעת הבחירות הרשמית של חיפה (2024)</x:v>
      </x:c>
      <x:c r="H366" s="25" t="n">
        <x:v>10</x:v>
      </x:c>
      <x:c r="I366" s="25" t="str">
        <x:v>461.0</x:v>
      </x:c>
      <x:c r="J366" s="25" t="str">
        <x:v>בי"ס בן גוריון</x:v>
      </x:c>
      <x:c r="K366" s="25" t="str">
        <x:v>מוכן לעבודה</x:v>
      </x:c>
    </x:row>
    <x:row r="367" ht="38" customHeight="1">
      <x:c r="A367" s="29" t="str">
        <x:v>461.4</x:v>
      </x:c>
      <x:c r="B367" s="28" t="n">
        <x:v>3068</x:v>
      </x:c>
      <x:c r="C367" s="17" t="str">
        <x:v>בי"ס בן גוריון</x:v>
      </x:c>
      <x:c r="D367" s="17" t="str">
        <x:v>קרן היסוד 33</x:v>
      </x:c>
      <x:c r="E367" s="17" t="str">
        <x:v>גבוה מאוד</x:v>
      </x:c>
      <x:c r="F367" s="25" t="str">
        <x:v>מספר קלפי בסיסי ושם אתר זהים</x:v>
      </x:c>
      <x:c r="G367" s="25" t="str">
        <x:v>הודעת הבחירות הרשמית של חיפה (2024)</x:v>
      </x:c>
      <x:c r="H367" s="25" t="n">
        <x:v>10</x:v>
      </x:c>
      <x:c r="I367" s="25" t="str">
        <x:v>461.0</x:v>
      </x:c>
      <x:c r="J367" s="25" t="str">
        <x:v>בי"ס בן גוריון</x:v>
      </x:c>
      <x:c r="K367" s="25" t="str">
        <x:v>מוכן לעבודה</x:v>
      </x:c>
    </x:row>
    <x:row r="368" ht="38" customHeight="1">
      <x:c r="A368" s="29" t="str">
        <x:v>462</x:v>
      </x:c>
      <x:c r="B368" s="28" t="n">
        <x:v>3128</x:v>
      </x:c>
      <x:c r="C368" s="17" t="str">
        <x:v>בי"ס הבונים</x:v>
      </x:c>
      <x:c r="D368" s="17" t="str">
        <x:v>חביבה רייך 16</x:v>
      </x:c>
      <x:c r="E368" s="17" t="str">
        <x:v>גבוה מאוד</x:v>
      </x:c>
      <x:c r="F368" s="25" t="str">
        <x:v>מספר קלפי בסיסי ושם אתר זהים</x:v>
      </x:c>
      <x:c r="G368" s="25" t="str">
        <x:v>הודעת הבחירות הרשמית של חיפה (2024)</x:v>
      </x:c>
      <x:c r="H368" s="25" t="n">
        <x:v>10</x:v>
      </x:c>
      <x:c r="I368" s="25" t="str">
        <x:v>462.0</x:v>
      </x:c>
      <x:c r="J368" s="25" t="str">
        <x:v>בי"ס הבונים</x:v>
      </x:c>
      <x:c r="K368" s="25" t="str">
        <x:v>מוכן לעבודה</x:v>
      </x:c>
    </x:row>
    <x:row r="369" ht="38" customHeight="1">
      <x:c r="A369" s="29" t="str">
        <x:v>463.1</x:v>
      </x:c>
      <x:c r="B369" s="28" t="n">
        <x:v>2975</x:v>
      </x:c>
      <x:c r="C369" s="17" t="str">
        <x:v>בי"ס אילנות</x:v>
      </x:c>
      <x:c r="D369" s="17" t="str">
        <x:v>הסנה 8</x:v>
      </x:c>
      <x:c r="E369" s="17" t="str">
        <x:v>גבוה מאוד</x:v>
      </x:c>
      <x:c r="F369" s="25" t="str">
        <x:v>מספר קלפי בסיסי ושם אתר זהים</x:v>
      </x:c>
      <x:c r="G369" s="25" t="str">
        <x:v>הודעת הבחירות הרשמית של חיפה (2024)</x:v>
      </x:c>
      <x:c r="H369" s="25" t="n">
        <x:v>10</x:v>
      </x:c>
      <x:c r="I369" s="25" t="str">
        <x:v>463.0</x:v>
      </x:c>
      <x:c r="J369" s="25" t="str">
        <x:v>בי"ס אילנות</x:v>
      </x:c>
      <x:c r="K369" s="25" t="str">
        <x:v>מוכן לעבודה</x:v>
      </x:c>
    </x:row>
    <x:row r="370" ht="38" customHeight="1">
      <x:c r="A370" s="29" t="str">
        <x:v>463.2</x:v>
      </x:c>
      <x:c r="B370" s="28" t="n">
        <x:v>2976</x:v>
      </x:c>
      <x:c r="C370" s="17" t="str">
        <x:v>בי"ס אילנות</x:v>
      </x:c>
      <x:c r="D370" s="17" t="str">
        <x:v>הסנה 8</x:v>
      </x:c>
      <x:c r="E370" s="17" t="str">
        <x:v>גבוה מאוד</x:v>
      </x:c>
      <x:c r="F370" s="25" t="str">
        <x:v>מספר קלפי בסיסי ושם אתר זהים</x:v>
      </x:c>
      <x:c r="G370" s="25" t="str">
        <x:v>הודעת הבחירות הרשמית של חיפה (2024)</x:v>
      </x:c>
      <x:c r="H370" s="25" t="n">
        <x:v>10</x:v>
      </x:c>
      <x:c r="I370" s="25" t="str">
        <x:v>463.0</x:v>
      </x:c>
      <x:c r="J370" s="25" t="str">
        <x:v>בי"ס אילנות</x:v>
      </x:c>
      <x:c r="K370" s="25" t="str">
        <x:v>מוכן לעבודה</x:v>
      </x:c>
    </x:row>
    <x:row r="371" ht="38" customHeight="1">
      <x:c r="A371" s="29" t="str">
        <x:v>463.3</x:v>
      </x:c>
      <x:c r="B371" s="28" t="n">
        <x:v>2977</x:v>
      </x:c>
      <x:c r="C371" s="17" t="str">
        <x:v>בי"ס אילנות</x:v>
      </x:c>
      <x:c r="D371" s="17" t="str">
        <x:v>הסנה 8</x:v>
      </x:c>
      <x:c r="E371" s="17" t="str">
        <x:v>גבוה מאוד</x:v>
      </x:c>
      <x:c r="F371" s="25" t="str">
        <x:v>מספר קלפי בסיסי ושם אתר זהים</x:v>
      </x:c>
      <x:c r="G371" s="25" t="str">
        <x:v>הודעת הבחירות הרשמית של חיפה (2024)</x:v>
      </x:c>
      <x:c r="H371" s="25" t="n">
        <x:v>10</x:v>
      </x:c>
      <x:c r="I371" s="25" t="str">
        <x:v>463.0</x:v>
      </x:c>
      <x:c r="J371" s="25" t="str">
        <x:v>בי"ס אילנות</x:v>
      </x:c>
      <x:c r="K371" s="25" t="str">
        <x:v>מוכן לעבודה</x:v>
      </x:c>
    </x:row>
    <x:row r="372" ht="38" customHeight="1">
      <x:c r="A372" s="29" t="str">
        <x:v>463.4</x:v>
      </x:c>
      <x:c r="B372" s="28" t="n">
        <x:v>2978</x:v>
      </x:c>
      <x:c r="C372" s="17" t="str">
        <x:v>בי"ס אילנות</x:v>
      </x:c>
      <x:c r="D372" s="17" t="str">
        <x:v>הסנה 8</x:v>
      </x:c>
      <x:c r="E372" s="17" t="str">
        <x:v>גבוה מאוד</x:v>
      </x:c>
      <x:c r="F372" s="25" t="str">
        <x:v>מספר קלפי בסיסי ושם אתר זהים</x:v>
      </x:c>
      <x:c r="G372" s="25" t="str">
        <x:v>הודעת הבחירות הרשמית של חיפה (2024)</x:v>
      </x:c>
      <x:c r="H372" s="25" t="n">
        <x:v>10</x:v>
      </x:c>
      <x:c r="I372" s="25" t="str">
        <x:v>463.0</x:v>
      </x:c>
      <x:c r="J372" s="25" t="str">
        <x:v>בי"ס אילנות</x:v>
      </x:c>
      <x:c r="K372" s="25" t="str">
        <x:v>מוכן לעבודה</x:v>
      </x:c>
    </x:row>
    <x:row r="373" ht="38" customHeight="1">
      <x:c r="A373" s="29" t="str">
        <x:v>463.5</x:v>
      </x:c>
      <x:c r="B373" s="28" t="n">
        <x:v>2979</x:v>
      </x:c>
      <x:c r="C373" s="17" t="str">
        <x:v>בי"ס אילנות</x:v>
      </x:c>
      <x:c r="D373" s="17" t="str">
        <x:v>הסנה 8</x:v>
      </x:c>
      <x:c r="E373" s="17" t="str">
        <x:v>גבוה מאוד</x:v>
      </x:c>
      <x:c r="F373" s="25" t="str">
        <x:v>מספר קלפי בסיסי ושם אתר זהים</x:v>
      </x:c>
      <x:c r="G373" s="25" t="str">
        <x:v>הודעת הבחירות הרשמית של חיפה (2024)</x:v>
      </x:c>
      <x:c r="H373" s="25" t="n">
        <x:v>10</x:v>
      </x:c>
      <x:c r="I373" s="25" t="str">
        <x:v>463.0</x:v>
      </x:c>
      <x:c r="J373" s="25" t="str">
        <x:v>בי"ס אילנות</x:v>
      </x:c>
      <x:c r="K373" s="25" t="str">
        <x:v>מוכן לעבודה</x:v>
      </x:c>
    </x:row>
    <x:row r="374" ht="38" customHeight="1">
      <x:c r="A374" s="29" t="str">
        <x:v>465</x:v>
      </x:c>
      <x:c r="B374" s="28" t="n">
        <x:v>3129</x:v>
      </x:c>
      <x:c r="C374" s="17" t="str">
        <x:v>בי"ס הבונים</x:v>
      </x:c>
      <x:c r="D374" s="17" t="str">
        <x:v>חביבה רייך 16</x:v>
      </x:c>
      <x:c r="E374" s="17" t="str">
        <x:v>גבוה מאוד</x:v>
      </x:c>
      <x:c r="F374" s="25" t="str">
        <x:v>מספר קלפי בסיסי ושם אתר זהים</x:v>
      </x:c>
      <x:c r="G374" s="25" t="str">
        <x:v>הודעת הבחירות הרשמית של חיפה (2024)</x:v>
      </x:c>
      <x:c r="H374" s="25" t="n">
        <x:v>10</x:v>
      </x:c>
      <x:c r="I374" s="25" t="str">
        <x:v>465.0</x:v>
      </x:c>
      <x:c r="J374" s="25" t="str">
        <x:v>בי"ס הבונים</x:v>
      </x:c>
      <x:c r="K374" s="25" t="str">
        <x:v>מוכן לעבודה</x:v>
      </x:c>
    </x:row>
    <x:row r="375" ht="38" customHeight="1">
      <x:c r="A375" s="29" t="str">
        <x:v>466</x:v>
      </x:c>
      <x:c r="B375" s="28" t="n">
        <x:v>3006</x:v>
      </x:c>
      <x:c r="C375" s="17" t="str">
        <x:v>אשכול גני ילדים</x:v>
      </x:c>
      <x:c r="D375" s="17" t="str">
        <x:v>שונית 12</x:v>
      </x:c>
      <x:c r="E375" s="17" t="str">
        <x:v>גבוה מאוד</x:v>
      </x:c>
      <x:c r="F375" s="25" t="str">
        <x:v>מספר קלפי בסיסי ושם אתר זהים</x:v>
      </x:c>
      <x:c r="G375" s="25" t="str">
        <x:v>הודעת הבחירות הרשמית של חיפה (2024)</x:v>
      </x:c>
      <x:c r="H375" s="25" t="n">
        <x:v>10</x:v>
      </x:c>
      <x:c r="I375" s="25" t="str">
        <x:v>466.0</x:v>
      </x:c>
      <x:c r="J375" s="25" t="str">
        <x:v>אשכול גני ילדים</x:v>
      </x:c>
      <x:c r="K375" s="25" t="str">
        <x:v>מוכן לעבודה</x:v>
      </x:c>
    </x:row>
    <x:row r="376" ht="38" customHeight="1">
      <x:c r="A376" s="29" t="str">
        <x:v>701</x:v>
      </x:c>
      <x:c r="B376" s="28" t="n">
        <x:v>3195</x:v>
      </x:c>
      <x:c r="C376" s="17" t="str">
        <x:v>מרכז יום לקשיש</x:v>
      </x:c>
      <x:c r="D376" s="17" t="str">
        <x:v>בית אלפא 80</x:v>
      </x:c>
      <x:c r="E376" s="17" t="str">
        <x:v>גבוה מאוד</x:v>
      </x:c>
      <x:c r="F376" s="25" t="str">
        <x:v>מספר קלפי בסיסי ושם אתר זהים</x:v>
      </x:c>
      <x:c r="G376" s="25" t="str">
        <x:v>הודעת הבחירות הרשמית של חיפה (2024)</x:v>
      </x:c>
      <x:c r="H376" s="25" t="n">
        <x:v>10</x:v>
      </x:c>
      <x:c r="I376" s="25" t="str">
        <x:v>701.0</x:v>
      </x:c>
      <x:c r="J376" s="25" t="str">
        <x:v>מרכז יום לקשיש</x:v>
      </x:c>
      <x:c r="K376" s="25" t="str">
        <x:v>מוכן לעבודה</x:v>
      </x:c>
    </x:row>
    <x:row r="377" ht="38" customHeight="1">
      <x:c r="A377" s="29" t="str">
        <x:v>702</x:v>
      </x:c>
      <x:c r="B377" s="28" t="n">
        <x:v>3196</x:v>
      </x:c>
      <x:c r="C377" s="17" t="str">
        <x:v>מדע קט</x:v>
      </x:c>
      <x:c r="D377" s="17" t="str">
        <x:v>הקונגרס 43</x:v>
      </x:c>
      <x:c r="E377" s="17" t="str">
        <x:v>גבוה מאוד</x:v>
      </x:c>
      <x:c r="F377" s="25" t="str">
        <x:v>מספר קלפי בסיסי ושם אתר זהים</x:v>
      </x:c>
      <x:c r="G377" s="25" t="str">
        <x:v>הודעת הבחירות הרשמית של חיפה (2024)</x:v>
      </x:c>
      <x:c r="H377" s="25" t="n">
        <x:v>10</x:v>
      </x:c>
      <x:c r="I377" s="25" t="str">
        <x:v>702.0</x:v>
      </x:c>
      <x:c r="J377" s="25" t="str">
        <x:v>מדע קט</x:v>
      </x:c>
      <x:c r="K377" s="25" t="str">
        <x:v>מוכן לעבודה</x:v>
      </x:c>
    </x:row>
    <x:row r="378" ht="38" customHeight="1">
      <x:c r="A378" s="29" t="str">
        <x:v>703</x:v>
      </x:c>
      <x:c r="B378" s="28" t="n">
        <x:v>3197</x:v>
      </x:c>
      <x:c r="C378" s="17" t="str">
        <x:v>מדע קט</x:v>
      </x:c>
      <x:c r="D378" s="17" t="str">
        <x:v>הקונגרס 43</x:v>
      </x:c>
      <x:c r="E378" s="17" t="str">
        <x:v>גבוה מאוד</x:v>
      </x:c>
      <x:c r="F378" s="25" t="str">
        <x:v>מספר קלפי בסיסי ושם אתר זהים</x:v>
      </x:c>
      <x:c r="G378" s="25" t="str">
        <x:v>הודעת הבחירות הרשמית של חיפה (2024)</x:v>
      </x:c>
      <x:c r="H378" s="25" t="n">
        <x:v>10</x:v>
      </x:c>
      <x:c r="I378" s="25" t="str">
        <x:v>703.0</x:v>
      </x:c>
      <x:c r="J378" s="25" t="str">
        <x:v>מדע קט</x:v>
      </x:c>
      <x:c r="K378" s="25" t="str">
        <x:v>מוכן לעבודה</x:v>
      </x:c>
    </x:row>
    <x:row r="379" ht="38" customHeight="1">
      <x:c r="A379" s="29" t="str">
        <x:v>704</x:v>
      </x:c>
      <x:c r="B379" s="28" t="n">
        <x:v>3198</x:v>
      </x:c>
      <x:c r="C379" s="17" t="str">
        <x:v>בי"ס רגבים</x:v>
      </x:c>
      <x:c r="D379" s="17" t="str">
        <x:v>שד דגניה 53</x:v>
      </x:c>
      <x:c r="E379" s="17" t="str">
        <x:v>גבוה מאוד</x:v>
      </x:c>
      <x:c r="F379" s="25" t="str">
        <x:v>מספר קלפי בסיסי ושם אתר זהים</x:v>
      </x:c>
      <x:c r="G379" s="25" t="str">
        <x:v>הודעת הבחירות הרשמית של חיפה (2024)</x:v>
      </x:c>
      <x:c r="H379" s="25" t="n">
        <x:v>10</x:v>
      </x:c>
      <x:c r="I379" s="25" t="str">
        <x:v>704.0</x:v>
      </x:c>
      <x:c r="J379" s="25" t="str">
        <x:v>בי"ס רגבים</x:v>
      </x:c>
      <x:c r="K379" s="25" t="str">
        <x:v>מוכן לעבודה</x:v>
      </x:c>
    </x:row>
    <x:row r="380" ht="38" customHeight="1">
      <x:c r="A380" s="29" t="str">
        <x:v>705</x:v>
      </x:c>
      <x:c r="B380" s="28" t="n">
        <x:v>3199</x:v>
      </x:c>
      <x:c r="C380" s="17" t="str">
        <x:v>בי"ס רגבים</x:v>
      </x:c>
      <x:c r="D380" s="17" t="str">
        <x:v>שד דגניה 53</x:v>
      </x:c>
      <x:c r="E380" s="17" t="str">
        <x:v>גבוה מאוד</x:v>
      </x:c>
      <x:c r="F380" s="25" t="str">
        <x:v>מספר קלפי בסיסי ושם אתר זהים</x:v>
      </x:c>
      <x:c r="G380" s="25" t="str">
        <x:v>הודעת הבחירות הרשמית של חיפה (2024)</x:v>
      </x:c>
      <x:c r="H380" s="25" t="n">
        <x:v>10</x:v>
      </x:c>
      <x:c r="I380" s="25" t="str">
        <x:v>705.0</x:v>
      </x:c>
      <x:c r="J380" s="25" t="str">
        <x:v>בי"ס רגבים</x:v>
      </x:c>
      <x:c r="K380" s="25" t="str">
        <x:v>מוכן לעבודה</x:v>
      </x:c>
    </x:row>
    <x:row r="381" ht="38" customHeight="1">
      <x:c r="A381" s="29" t="str">
        <x:v>706</x:v>
      </x:c>
      <x:c r="B381" s="28" t="n">
        <x:v>3207</x:v>
      </x:c>
      <x:c r="C381" s="17" t="str">
        <x:v>בי"ס גורדון</x:v>
      </x:c>
      <x:c r="D381" s="17" t="str">
        <x:v>ארן זלמן 43</x:v>
      </x:c>
      <x:c r="E381" s="17" t="str">
        <x:v>גבוה מאוד</x:v>
      </x:c>
      <x:c r="F381" s="25" t="str">
        <x:v>מספר קלפי בסיסי ושם אתר זהים</x:v>
      </x:c>
      <x:c r="G381" s="25" t="str">
        <x:v>הודעת הבחירות הרשמית של חיפה (2024)</x:v>
      </x:c>
      <x:c r="H381" s="25" t="n">
        <x:v>10</x:v>
      </x:c>
      <x:c r="I381" s="25" t="str">
        <x:v>706.0</x:v>
      </x:c>
      <x:c r="J381" s="25" t="str">
        <x:v>בי"ס גורדון</x:v>
      </x:c>
      <x:c r="K381" s="25" t="str">
        <x:v>מוכן לעבודה</x:v>
      </x:c>
    </x:row>
    <x:row r="382" ht="38" customHeight="1">
      <x:c r="A382" s="29" t="str">
        <x:v>707</x:v>
      </x:c>
      <x:c r="B382" s="28" t="n">
        <x:v>3200</x:v>
      </x:c>
      <x:c r="C382" s="17" t="str">
        <x:v>בית היינה</x:v>
      </x:c>
      <x:c r="D382" s="17" t="str">
        <x:v>הקונגרס 43א</x:v>
      </x:c>
      <x:c r="E382" s="17" t="str">
        <x:v>גבוה מאוד</x:v>
      </x:c>
      <x:c r="F382" s="25" t="str">
        <x:v>מספר קלפי בסיסי ושם אתר זהים</x:v>
      </x:c>
      <x:c r="G382" s="25" t="str">
        <x:v>הודעת הבחירות הרשמית של חיפה (2024)</x:v>
      </x:c>
      <x:c r="H382" s="25" t="n">
        <x:v>10</x:v>
      </x:c>
      <x:c r="I382" s="25" t="str">
        <x:v>707.0</x:v>
      </x:c>
      <x:c r="J382" s="25" t="str">
        <x:v>בית היינה</x:v>
      </x:c>
      <x:c r="K382" s="25" t="str">
        <x:v>מוכן לעבודה</x:v>
      </x:c>
    </x:row>
    <x:row r="383" ht="38" customHeight="1">
      <x:c r="A383" s="29" t="str">
        <x:v>708</x:v>
      </x:c>
      <x:c r="B383" s="28" t="n">
        <x:v>3201</x:v>
      </x:c>
      <x:c r="C383" s="17" t="str">
        <x:v>בית היינה</x:v>
      </x:c>
      <x:c r="D383" s="17" t="str">
        <x:v>הקונגרס 43א</x:v>
      </x:c>
      <x:c r="E383" s="17" t="str">
        <x:v>גבוה מאוד</x:v>
      </x:c>
      <x:c r="F383" s="25" t="str">
        <x:v>מספר קלפי בסיסי ושם אתר זהים</x:v>
      </x:c>
      <x:c r="G383" s="25" t="str">
        <x:v>הודעת הבחירות הרשמית של חיפה (2024)</x:v>
      </x:c>
      <x:c r="H383" s="25" t="n">
        <x:v>10</x:v>
      </x:c>
      <x:c r="I383" s="25" t="str">
        <x:v>708.0</x:v>
      </x:c>
      <x:c r="J383" s="25" t="str">
        <x:v>בית היינה</x:v>
      </x:c>
      <x:c r="K383" s="25" t="str">
        <x:v>מוכן לעבודה</x:v>
      </x:c>
    </x:row>
    <x:row r="384" ht="38" customHeight="1">
      <x:c r="A384" s="29" t="str">
        <x:v>711</x:v>
      </x:c>
      <x:c r="B384" s="28" t="n">
        <x:v>3208</x:v>
      </x:c>
      <x:c r="C384" s="17" t="str">
        <x:v>בי"ס גורדון</x:v>
      </x:c>
      <x:c r="D384" s="17" t="str">
        <x:v>ארן זלמן 43</x:v>
      </x:c>
      <x:c r="E384" s="17" t="str">
        <x:v>גבוה מאוד</x:v>
      </x:c>
      <x:c r="F384" s="25" t="str">
        <x:v>מספר קלפי בסיסי ושם אתר זהים</x:v>
      </x:c>
      <x:c r="G384" s="25" t="str">
        <x:v>הודעת הבחירות הרשמית של חיפה (2024)</x:v>
      </x:c>
      <x:c r="H384" s="25" t="n">
        <x:v>10</x:v>
      </x:c>
      <x:c r="I384" s="25" t="str">
        <x:v>711.0</x:v>
      </x:c>
      <x:c r="J384" s="25" t="str">
        <x:v>בי"ס גורדון</x:v>
      </x:c>
      <x:c r="K384" s="25" t="str">
        <x:v>מוכן לעבודה</x:v>
      </x:c>
    </x:row>
    <x:row r="385" ht="38" customHeight="1">
      <x:c r="A385" s="29" t="str">
        <x:v>712</x:v>
      </x:c>
      <x:c r="B385" s="28" t="n">
        <x:v>3209</x:v>
      </x:c>
      <x:c r="C385" s="17" t="str">
        <x:v>בי"ס גורדון</x:v>
      </x:c>
      <x:c r="D385" s="17" t="str">
        <x:v>ארן זלמן 43</x:v>
      </x:c>
      <x:c r="E385" s="17" t="str">
        <x:v>גבוה מאוד</x:v>
      </x:c>
      <x:c r="F385" s="25" t="str">
        <x:v>מספר קלפי בסיסי ושם אתר זהים</x:v>
      </x:c>
      <x:c r="G385" s="25" t="str">
        <x:v>הודעת הבחירות הרשמית של חיפה (2024)</x:v>
      </x:c>
      <x:c r="H385" s="25" t="n">
        <x:v>10</x:v>
      </x:c>
      <x:c r="I385" s="25" t="str">
        <x:v>712.0</x:v>
      </x:c>
      <x:c r="J385" s="25" t="str">
        <x:v>בי"ס גורדון</x:v>
      </x:c>
      <x:c r="K385" s="25" t="str">
        <x:v>מוכן לעבודה</x:v>
      </x:c>
    </x:row>
    <x:row r="386" ht="38" customHeight="1">
      <x:c r="A386" s="29" t="str">
        <x:v>715.1</x:v>
      </x:c>
      <x:c r="B386" s="28" t="n">
        <x:v>3202</x:v>
      </x:c>
      <x:c r="C386" s="17" t="str">
        <x:v>בי"ס דגניה</x:v>
      </x:c>
      <x:c r="D386" s="17" t="str">
        <x:v>שד דגניה 33</x:v>
      </x:c>
      <x:c r="E386" s="17" t="str">
        <x:v>גבוה מאוד</x:v>
      </x:c>
      <x:c r="F386" s="25" t="str">
        <x:v>מספר קלפי בסיסי ושם אתר זהים</x:v>
      </x:c>
      <x:c r="G386" s="25" t="str">
        <x:v>הודעת הבחירות הרשמית של חיפה (2024)</x:v>
      </x:c>
      <x:c r="H386" s="25" t="n">
        <x:v>10</x:v>
      </x:c>
      <x:c r="I386" s="25" t="str">
        <x:v>715.0</x:v>
      </x:c>
      <x:c r="J386" s="25" t="str">
        <x:v>בי"ס דגניה</x:v>
      </x:c>
      <x:c r="K386" s="25" t="str">
        <x:v>מוכן לעבודה</x:v>
      </x:c>
    </x:row>
    <x:row r="387" ht="38" customHeight="1">
      <x:c r="A387" s="29" t="str">
        <x:v>715.2</x:v>
      </x:c>
      <x:c r="B387" s="28" t="n">
        <x:v>3203</x:v>
      </x:c>
      <x:c r="C387" s="17" t="str">
        <x:v>בי"ס דגניה</x:v>
      </x:c>
      <x:c r="D387" s="17" t="str">
        <x:v>שד דגניה 33</x:v>
      </x:c>
      <x:c r="E387" s="17" t="str">
        <x:v>גבוה מאוד</x:v>
      </x:c>
      <x:c r="F387" s="25" t="str">
        <x:v>מספר קלפי בסיסי ושם אתר זהים</x:v>
      </x:c>
      <x:c r="G387" s="25" t="str">
        <x:v>הודעת הבחירות הרשמית של חיפה (2024)</x:v>
      </x:c>
      <x:c r="H387" s="25" t="n">
        <x:v>10</x:v>
      </x:c>
      <x:c r="I387" s="25" t="str">
        <x:v>715.0</x:v>
      </x:c>
      <x:c r="J387" s="25" t="str">
        <x:v>בי"ס דגניה</x:v>
      </x:c>
      <x:c r="K387" s="25" t="str">
        <x:v>מוכן לעבודה</x:v>
      </x:c>
    </x:row>
    <x:row r="388" ht="38" customHeight="1">
      <x:c r="A388" s="29" t="str">
        <x:v>715.3</x:v>
      </x:c>
      <x:c r="B388" s="28" t="n">
        <x:v>3204</x:v>
      </x:c>
      <x:c r="C388" s="17" t="str">
        <x:v>בי"ס דגניה</x:v>
      </x:c>
      <x:c r="D388" s="17" t="str">
        <x:v>שד דגניה 33</x:v>
      </x:c>
      <x:c r="E388" s="17" t="str">
        <x:v>גבוה מאוד</x:v>
      </x:c>
      <x:c r="F388" s="25" t="str">
        <x:v>מספר קלפי בסיסי ושם אתר זהים</x:v>
      </x:c>
      <x:c r="G388" s="25" t="str">
        <x:v>הודעת הבחירות הרשמית של חיפה (2024)</x:v>
      </x:c>
      <x:c r="H388" s="25" t="n">
        <x:v>10</x:v>
      </x:c>
      <x:c r="I388" s="25" t="str">
        <x:v>715.0</x:v>
      </x:c>
      <x:c r="J388" s="25" t="str">
        <x:v>בי"ס דגניה</x:v>
      </x:c>
      <x:c r="K388" s="25" t="str">
        <x:v>מוכן לעבודה</x:v>
      </x:c>
    </x:row>
    <x:row r="389" ht="38" customHeight="1">
      <x:c r="A389" s="29" t="str">
        <x:v>716</x:v>
      </x:c>
      <x:c r="B389" s="28" t="n">
        <x:v>3205</x:v>
      </x:c>
      <x:c r="C389" s="17" t="str">
        <x:v>בי"ס אהרן הרואה</x:v>
      </x:c>
      <x:c r="D389" s="17" t="str">
        <x:v>שד הרא"ה 10</x:v>
      </x:c>
      <x:c r="E389" s="17" t="str">
        <x:v>גבוה מאוד</x:v>
      </x:c>
      <x:c r="F389" s="25" t="str">
        <x:v>מספר קלפי בסיסי ושם אתר זהים</x:v>
      </x:c>
      <x:c r="G389" s="25" t="str">
        <x:v>הודעת הבחירות הרשמית של חיפה (2024)</x:v>
      </x:c>
      <x:c r="H389" s="25" t="n">
        <x:v>10</x:v>
      </x:c>
      <x:c r="I389" s="25" t="str">
        <x:v>716.0</x:v>
      </x:c>
      <x:c r="J389" s="25" t="str">
        <x:v>בי"ס אהרן הרואה</x:v>
      </x:c>
      <x:c r="K389" s="25" t="str">
        <x:v>מוכן לעבודה</x:v>
      </x:c>
    </x:row>
    <x:row r="390" ht="38" customHeight="1">
      <x:c r="A390" s="29" t="str">
        <x:v>717</x:v>
      </x:c>
      <x:c r="B390" s="28" t="n">
        <x:v>3206</x:v>
      </x:c>
      <x:c r="C390" s="17" t="str">
        <x:v>מרכז יום לקשיש</x:v>
      </x:c>
      <x:c r="D390" s="17" t="str">
        <x:v>בית אלפא 80</x:v>
      </x:c>
      <x:c r="E390" s="17" t="str">
        <x:v>גבוה מאוד</x:v>
      </x:c>
      <x:c r="F390" s="25" t="str">
        <x:v>מספר קלפי בסיסי ושם אתר זהים</x:v>
      </x:c>
      <x:c r="G390" s="25" t="str">
        <x:v>הודעת הבחירות הרשמית של חיפה (2024)</x:v>
      </x:c>
      <x:c r="H390" s="25" t="n">
        <x:v>10</x:v>
      </x:c>
      <x:c r="I390" s="25" t="str">
        <x:v>717.0</x:v>
      </x:c>
      <x:c r="J390" s="25" t="str">
        <x:v>מרכז יום לקשיש</x:v>
      </x:c>
      <x:c r="K390" s="25" t="str">
        <x:v>מוכן לעבודה</x:v>
      </x:c>
    </x:row>
    <x:row r="391" ht="38" customHeight="1">
      <x:c r="A391" s="29" t="str">
        <x:v>721.1</x:v>
      </x:c>
      <x:c r="B391" s="28" t="n">
        <x:v>3210</x:v>
      </x:c>
      <x:c r="C391" s="17" t="str">
        <x:v>תיכון ק.חיים בניין שקד</x:v>
      </x:c>
      <x:c r="D391" s="17" t="str">
        <x:v>הגדוד העברי 48</x:v>
      </x:c>
      <x:c r="E391" s="17" t="str">
        <x:v>גבוה מאוד</x:v>
      </x:c>
      <x:c r="F391" s="25" t="str">
        <x:v>מספר קלפי בסיסי ושם אתר זהים</x:v>
      </x:c>
      <x:c r="G391" s="25" t="str">
        <x:v>הודעת הבחירות הרשמית של חיפה (2024)</x:v>
      </x:c>
      <x:c r="H391" s="25" t="n">
        <x:v>10</x:v>
      </x:c>
      <x:c r="I391" s="25" t="str">
        <x:v>721.0</x:v>
      </x:c>
      <x:c r="J391" s="25" t="str">
        <x:v>תיכון ק.חיים בניין שקד</x:v>
      </x:c>
      <x:c r="K391" s="25" t="str">
        <x:v>מוכן לעבודה</x:v>
      </x:c>
    </x:row>
    <x:row r="392" ht="38" customHeight="1">
      <x:c r="A392" s="29" t="str">
        <x:v>721.2</x:v>
      </x:c>
      <x:c r="B392" s="28" t="n">
        <x:v>3211</x:v>
      </x:c>
      <x:c r="C392" s="17" t="str">
        <x:v>תיכון ק.חיים בניין שקד</x:v>
      </x:c>
      <x:c r="D392" s="17" t="str">
        <x:v>הגדוד העברי 48</x:v>
      </x:c>
      <x:c r="E392" s="17" t="str">
        <x:v>גבוה מאוד</x:v>
      </x:c>
      <x:c r="F392" s="25" t="str">
        <x:v>מספר קלפי בסיסי ושם אתר זהים</x:v>
      </x:c>
      <x:c r="G392" s="25" t="str">
        <x:v>הודעת הבחירות הרשמית של חיפה (2024)</x:v>
      </x:c>
      <x:c r="H392" s="25" t="n">
        <x:v>10</x:v>
      </x:c>
      <x:c r="I392" s="25" t="str">
        <x:v>721.0</x:v>
      </x:c>
      <x:c r="J392" s="25" t="str">
        <x:v>תיכון ק.חיים בניין שקד</x:v>
      </x:c>
      <x:c r="K392" s="25" t="str">
        <x:v>מוכן לעבודה</x:v>
      </x:c>
    </x:row>
    <x:row r="393" ht="38" customHeight="1">
      <x:c r="A393" s="29" t="str">
        <x:v>721.3</x:v>
      </x:c>
      <x:c r="B393" s="28" t="n">
        <x:v>3212</x:v>
      </x:c>
      <x:c r="C393" s="17" t="str">
        <x:v>תיכון ק.חיים בניין שקד</x:v>
      </x:c>
      <x:c r="D393" s="17" t="str">
        <x:v>הגדוד העברי 48</x:v>
      </x:c>
      <x:c r="E393" s="17" t="str">
        <x:v>גבוה מאוד</x:v>
      </x:c>
      <x:c r="F393" s="25" t="str">
        <x:v>מספר קלפי בסיסי ושם אתר זהים</x:v>
      </x:c>
      <x:c r="G393" s="25" t="str">
        <x:v>הודעת הבחירות הרשמית של חיפה (2024)</x:v>
      </x:c>
      <x:c r="H393" s="25" t="n">
        <x:v>10</x:v>
      </x:c>
      <x:c r="I393" s="25" t="str">
        <x:v>721.0</x:v>
      </x:c>
      <x:c r="J393" s="25" t="str">
        <x:v>תיכון ק.חיים בניין שקד</x:v>
      </x:c>
      <x:c r="K393" s="25" t="str">
        <x:v>מוכן לעבודה</x:v>
      </x:c>
    </x:row>
    <x:row r="394" ht="38" customHeight="1">
      <x:c r="A394" s="29" t="str">
        <x:v>721.4</x:v>
      </x:c>
      <x:c r="B394" s="28" t="n">
        <x:v>3213</x:v>
      </x:c>
      <x:c r="C394" s="17" t="str">
        <x:v>תיכון ק.חיים בניין שקד</x:v>
      </x:c>
      <x:c r="D394" s="17" t="str">
        <x:v>הגדוד העברי 48</x:v>
      </x:c>
      <x:c r="E394" s="17" t="str">
        <x:v>גבוה מאוד</x:v>
      </x:c>
      <x:c r="F394" s="25" t="str">
        <x:v>מספר קלפי בסיסי ושם אתר זהים</x:v>
      </x:c>
      <x:c r="G394" s="25" t="str">
        <x:v>הודעת הבחירות הרשמית של חיפה (2024)</x:v>
      </x:c>
      <x:c r="H394" s="25" t="n">
        <x:v>10</x:v>
      </x:c>
      <x:c r="I394" s="25" t="str">
        <x:v>721.0</x:v>
      </x:c>
      <x:c r="J394" s="25" t="str">
        <x:v>תיכון ק.חיים בניין שקד</x:v>
      </x:c>
      <x:c r="K394" s="25" t="str">
        <x:v>מוכן לעבודה</x:v>
      </x:c>
    </x:row>
    <x:row r="395" ht="38" customHeight="1">
      <x:c r="A395" s="29" t="str">
        <x:v>722.1</x:v>
      </x:c>
      <x:c r="B395" s="28" t="n">
        <x:v>3214</x:v>
      </x:c>
      <x:c r="C395" s="17" t="str">
        <x:v>בי"ס ארלוזורוב</x:v>
      </x:c>
      <x:c r="D395" s="17" t="str">
        <x:v>הקבוצים 65</x:v>
      </x:c>
      <x:c r="E395" s="17" t="str">
        <x:v>גבוה מאוד</x:v>
      </x:c>
      <x:c r="F395" s="25" t="str">
        <x:v>מספר קלפי בסיסי ושם אתר זהים</x:v>
      </x:c>
      <x:c r="G395" s="25" t="str">
        <x:v>הודעת הבחירות הרשמית של חיפה (2024)</x:v>
      </x:c>
      <x:c r="H395" s="25" t="n">
        <x:v>10</x:v>
      </x:c>
      <x:c r="I395" s="25" t="str">
        <x:v>722.0</x:v>
      </x:c>
      <x:c r="J395" s="25" t="str">
        <x:v>בי"ס ארלוזורוב</x:v>
      </x:c>
      <x:c r="K395" s="25" t="str">
        <x:v>מוכן לעבודה</x:v>
      </x:c>
    </x:row>
    <x:row r="396" ht="38" customHeight="1">
      <x:c r="A396" s="29" t="str">
        <x:v>722.2</x:v>
      </x:c>
      <x:c r="B396" s="28" t="n">
        <x:v>3215</x:v>
      </x:c>
      <x:c r="C396" s="17" t="str">
        <x:v>בי"ס ארלוזורוב</x:v>
      </x:c>
      <x:c r="D396" s="17" t="str">
        <x:v>הקבוצים 65</x:v>
      </x:c>
      <x:c r="E396" s="17" t="str">
        <x:v>גבוה מאוד</x:v>
      </x:c>
      <x:c r="F396" s="25" t="str">
        <x:v>מספר קלפי בסיסי ושם אתר זהים</x:v>
      </x:c>
      <x:c r="G396" s="25" t="str">
        <x:v>הודעת הבחירות הרשמית של חיפה (2024)</x:v>
      </x:c>
      <x:c r="H396" s="25" t="n">
        <x:v>10</x:v>
      </x:c>
      <x:c r="I396" s="25" t="str">
        <x:v>722.0</x:v>
      </x:c>
      <x:c r="J396" s="25" t="str">
        <x:v>בי"ס ארלוזורוב</x:v>
      </x:c>
      <x:c r="K396" s="25" t="str">
        <x:v>מוכן לעבודה</x:v>
      </x:c>
    </x:row>
    <x:row r="397" ht="38" customHeight="1">
      <x:c r="A397" s="29" t="str">
        <x:v>722.3</x:v>
      </x:c>
      <x:c r="B397" s="28" t="n">
        <x:v>3216</x:v>
      </x:c>
      <x:c r="C397" s="17" t="str">
        <x:v>בי"ס ארלוזורוב</x:v>
      </x:c>
      <x:c r="D397" s="17" t="str">
        <x:v>הקבוצים 65</x:v>
      </x:c>
      <x:c r="E397" s="17" t="str">
        <x:v>גבוה מאוד</x:v>
      </x:c>
      <x:c r="F397" s="25" t="str">
        <x:v>מספר קלפי בסיסי ושם אתר זהים</x:v>
      </x:c>
      <x:c r="G397" s="25" t="str">
        <x:v>הודעת הבחירות הרשמית של חיפה (2024)</x:v>
      </x:c>
      <x:c r="H397" s="25" t="n">
        <x:v>10</x:v>
      </x:c>
      <x:c r="I397" s="25" t="str">
        <x:v>722.0</x:v>
      </x:c>
      <x:c r="J397" s="25" t="str">
        <x:v>בי"ס ארלוזורוב</x:v>
      </x:c>
      <x:c r="K397" s="25" t="str">
        <x:v>מוכן לעבודה</x:v>
      </x:c>
    </x:row>
    <x:row r="398" ht="38" customHeight="1">
      <x:c r="A398" s="29" t="str">
        <x:v>722.4</x:v>
      </x:c>
      <x:c r="B398" s="28" t="n">
        <x:v>3217</x:v>
      </x:c>
      <x:c r="C398" s="17" t="str">
        <x:v>בי"ס ארלוזורוב</x:v>
      </x:c>
      <x:c r="D398" s="17" t="str">
        <x:v>הקבוצים 65</x:v>
      </x:c>
      <x:c r="E398" s="17" t="str">
        <x:v>גבוה מאוד</x:v>
      </x:c>
      <x:c r="F398" s="25" t="str">
        <x:v>מספר קלפי בסיסי ושם אתר זהים</x:v>
      </x:c>
      <x:c r="G398" s="25" t="str">
        <x:v>הודעת הבחירות הרשמית של חיפה (2024)</x:v>
      </x:c>
      <x:c r="H398" s="25" t="n">
        <x:v>10</x:v>
      </x:c>
      <x:c r="I398" s="25" t="str">
        <x:v>722.0</x:v>
      </x:c>
      <x:c r="J398" s="25" t="str">
        <x:v>בי"ס ארלוזורוב</x:v>
      </x:c>
      <x:c r="K398" s="25" t="str">
        <x:v>מוכן לעבודה</x:v>
      </x:c>
    </x:row>
    <x:row r="399" ht="38" customHeight="1">
      <x:c r="A399" s="29" t="str">
        <x:v>722.5</x:v>
      </x:c>
      <x:c r="B399" s="28" t="n">
        <x:v>3218</x:v>
      </x:c>
      <x:c r="C399" s="17" t="str">
        <x:v>בי"ס ארלוזורוב</x:v>
      </x:c>
      <x:c r="D399" s="17" t="str">
        <x:v>הקבוצים 65</x:v>
      </x:c>
      <x:c r="E399" s="17" t="str">
        <x:v>גבוה מאוד</x:v>
      </x:c>
      <x:c r="F399" s="25" t="str">
        <x:v>מספר קלפי בסיסי ושם אתר זהים</x:v>
      </x:c>
      <x:c r="G399" s="25" t="str">
        <x:v>הודעת הבחירות הרשמית של חיפה (2024)</x:v>
      </x:c>
      <x:c r="H399" s="25" t="n">
        <x:v>10</x:v>
      </x:c>
      <x:c r="I399" s="25" t="str">
        <x:v>722.0</x:v>
      </x:c>
      <x:c r="J399" s="25" t="str">
        <x:v>בי"ס ארלוזורוב</x:v>
      </x:c>
      <x:c r="K399" s="25" t="str">
        <x:v>מוכן לעבודה</x:v>
      </x:c>
    </x:row>
    <x:row r="400" ht="38" customHeight="1">
      <x:c r="A400" s="29" t="str">
        <x:v>722.6</x:v>
      </x:c>
      <x:c r="B400" s="28" t="n">
        <x:v>3219</x:v>
      </x:c>
      <x:c r="C400" s="17" t="str">
        <x:v>בי"ס ארלוזורוב</x:v>
      </x:c>
      <x:c r="D400" s="17" t="str">
        <x:v>הקבוצים 65</x:v>
      </x:c>
      <x:c r="E400" s="17" t="str">
        <x:v>גבוה מאוד</x:v>
      </x:c>
      <x:c r="F400" s="25" t="str">
        <x:v>מספר קלפי בסיסי ושם אתר זהים</x:v>
      </x:c>
      <x:c r="G400" s="25" t="str">
        <x:v>הודעת הבחירות הרשמית של חיפה (2024)</x:v>
      </x:c>
      <x:c r="H400" s="25" t="n">
        <x:v>10</x:v>
      </x:c>
      <x:c r="I400" s="25" t="str">
        <x:v>722.0</x:v>
      </x:c>
      <x:c r="J400" s="25" t="str">
        <x:v>בי"ס ארלוזורוב</x:v>
      </x:c>
      <x:c r="K400" s="25" t="str">
        <x:v>מוכן לעבודה</x:v>
      </x:c>
    </x:row>
    <x:row r="401" ht="38" customHeight="1">
      <x:c r="A401" s="29" t="str">
        <x:v>723.1</x:v>
      </x:c>
      <x:c r="B401" s="28" t="n">
        <x:v>3220</x:v>
      </x:c>
      <x:c r="C401" s="17" t="str">
        <x:v>בי"ס תיכון קרית חיים</x:v>
      </x:c>
      <x:c r="D401" s="17" t="str">
        <x:v>הגדוד העברי 48</x:v>
      </x:c>
      <x:c r="E401" s="17" t="str">
        <x:v>גבוה מאוד</x:v>
      </x:c>
      <x:c r="F401" s="25" t="str">
        <x:v>מספר קלפי בסיסי ושם אתר זהים</x:v>
      </x:c>
      <x:c r="G401" s="25" t="str">
        <x:v>הודעת הבחירות הרשמית של חיפה (2024)</x:v>
      </x:c>
      <x:c r="H401" s="25" t="n">
        <x:v>10</x:v>
      </x:c>
      <x:c r="I401" s="25" t="str">
        <x:v>723.0</x:v>
      </x:c>
      <x:c r="J401" s="25" t="str">
        <x:v>בי"ס תיכון קרית חיים</x:v>
      </x:c>
      <x:c r="K401" s="25" t="str">
        <x:v>מוכן לעבודה</x:v>
      </x:c>
    </x:row>
    <x:row r="402" ht="38" customHeight="1">
      <x:c r="A402" s="29" t="str">
        <x:v>723.2</x:v>
      </x:c>
      <x:c r="B402" s="28" t="n">
        <x:v>3221</x:v>
      </x:c>
      <x:c r="C402" s="17" t="str">
        <x:v>בי"ס תיכון קרית חיים</x:v>
      </x:c>
      <x:c r="D402" s="17" t="str">
        <x:v>הגדוד העברי 48</x:v>
      </x:c>
      <x:c r="E402" s="17" t="str">
        <x:v>גבוה מאוד</x:v>
      </x:c>
      <x:c r="F402" s="25" t="str">
        <x:v>מספר קלפי בסיסי ושם אתר זהים</x:v>
      </x:c>
      <x:c r="G402" s="25" t="str">
        <x:v>הודעת הבחירות הרשמית של חיפה (2024)</x:v>
      </x:c>
      <x:c r="H402" s="25" t="n">
        <x:v>10</x:v>
      </x:c>
      <x:c r="I402" s="25" t="str">
        <x:v>723.0</x:v>
      </x:c>
      <x:c r="J402" s="25" t="str">
        <x:v>בי"ס תיכון קרית חיים</x:v>
      </x:c>
      <x:c r="K402" s="25" t="str">
        <x:v>מוכן לעבודה</x:v>
      </x:c>
    </x:row>
    <x:row r="403" ht="38" customHeight="1">
      <x:c r="A403" s="29" t="str">
        <x:v>723.3</x:v>
      </x:c>
      <x:c r="B403" s="28" t="n">
        <x:v>3222</x:v>
      </x:c>
      <x:c r="C403" s="17" t="str">
        <x:v>בי"ס תיכון קרית חיים</x:v>
      </x:c>
      <x:c r="D403" s="17" t="str">
        <x:v>הגדוד העברי 48</x:v>
      </x:c>
      <x:c r="E403" s="17" t="str">
        <x:v>גבוה מאוד</x:v>
      </x:c>
      <x:c r="F403" s="25" t="str">
        <x:v>מספר קלפי בסיסי ושם אתר זהים</x:v>
      </x:c>
      <x:c r="G403" s="25" t="str">
        <x:v>הודעת הבחירות הרשמית של חיפה (2024)</x:v>
      </x:c>
      <x:c r="H403" s="25" t="n">
        <x:v>10</x:v>
      </x:c>
      <x:c r="I403" s="25" t="str">
        <x:v>723.0</x:v>
      </x:c>
      <x:c r="J403" s="25" t="str">
        <x:v>בי"ס תיכון קרית חיים</x:v>
      </x:c>
      <x:c r="K403" s="25" t="str">
        <x:v>מוכן לעבודה</x:v>
      </x:c>
    </x:row>
    <x:row r="404" ht="38" customHeight="1">
      <x:c r="A404" s="29" t="str">
        <x:v>723.4</x:v>
      </x:c>
      <x:c r="B404" s="28" t="n">
        <x:v>3223</x:v>
      </x:c>
      <x:c r="C404" s="17" t="str">
        <x:v>בי"ס תיכון קרית חיים</x:v>
      </x:c>
      <x:c r="D404" s="17" t="str">
        <x:v>הגדוד העברי 48</x:v>
      </x:c>
      <x:c r="E404" s="17" t="str">
        <x:v>גבוה מאוד</x:v>
      </x:c>
      <x:c r="F404" s="25" t="str">
        <x:v>מספר קלפי בסיסי ושם אתר זהים</x:v>
      </x:c>
      <x:c r="G404" s="25" t="str">
        <x:v>הודעת הבחירות הרשמית של חיפה (2024)</x:v>
      </x:c>
      <x:c r="H404" s="25" t="n">
        <x:v>10</x:v>
      </x:c>
      <x:c r="I404" s="25" t="str">
        <x:v>723.0</x:v>
      </x:c>
      <x:c r="J404" s="25" t="str">
        <x:v>בי"ס תיכון קרית חיים</x:v>
      </x:c>
      <x:c r="K404" s="25" t="str">
        <x:v>מוכן לעבודה</x:v>
      </x:c>
    </x:row>
    <x:row r="405" ht="38" customHeight="1">
      <x:c r="A405" s="29" t="str">
        <x:v>726</x:v>
      </x:c>
      <x:c r="B405" s="28" t="n">
        <x:v>3224</x:v>
      </x:c>
      <x:c r="C405" s="17" t="str">
        <x:v>מרכז קהילתי בית נגלר</x:v>
      </x:c>
      <x:c r="D405" s="17" t="str">
        <x:v>בן צבי יצחק 14</x:v>
      </x:c>
      <x:c r="E405" s="17" t="str">
        <x:v>גבוה מאוד</x:v>
      </x:c>
      <x:c r="F405" s="25" t="str">
        <x:v>מספר קלפי בסיסי ושם אתר זהים</x:v>
      </x:c>
      <x:c r="G405" s="25" t="str">
        <x:v>הודעת הבחירות הרשמית של חיפה (2024)</x:v>
      </x:c>
      <x:c r="H405" s="25" t="n">
        <x:v>10</x:v>
      </x:c>
      <x:c r="I405" s="25" t="str">
        <x:v>726.0</x:v>
      </x:c>
      <x:c r="J405" s="25" t="str">
        <x:v>מרכז קהילתי בית נגלר</x:v>
      </x:c>
      <x:c r="K405" s="25" t="str">
        <x:v>מוכן לעבודה</x:v>
      </x:c>
    </x:row>
    <x:row r="406" ht="38" customHeight="1">
      <x:c r="A406" s="29" t="str">
        <x:v>727</x:v>
      </x:c>
      <x:c r="B406" s="28" t="n">
        <x:v>3225</x:v>
      </x:c>
      <x:c r="C406" s="17" t="str">
        <x:v>מרכז קהילתי בית נגלר</x:v>
      </x:c>
      <x:c r="D406" s="17" t="str">
        <x:v>בן צבי יצחק 14</x:v>
      </x:c>
      <x:c r="E406" s="17" t="str">
        <x:v>גבוה מאוד</x:v>
      </x:c>
      <x:c r="F406" s="25" t="str">
        <x:v>מספר קלפי בסיסי ושם אתר זהים</x:v>
      </x:c>
      <x:c r="G406" s="25" t="str">
        <x:v>הודעת הבחירות הרשמית של חיפה (2024)</x:v>
      </x:c>
      <x:c r="H406" s="25" t="n">
        <x:v>10</x:v>
      </x:c>
      <x:c r="I406" s="25" t="str">
        <x:v>727.0</x:v>
      </x:c>
      <x:c r="J406" s="25" t="str">
        <x:v>מרכז קהילתי בית נגלר</x:v>
      </x:c>
      <x:c r="K406" s="25" t="str">
        <x:v>מוכן לעבודה</x:v>
      </x:c>
    </x:row>
    <x:row r="407" ht="38" customHeight="1">
      <x:c r="A407" s="29" t="str">
        <x:v>730.1</x:v>
      </x:c>
      <x:c r="B407" s="28" t="n">
        <x:v>3226</x:v>
      </x:c>
      <x:c r="C407" s="17" t="str">
        <x:v>חט"ב דגן</x:v>
      </x:c>
      <x:c r="D407" s="17" t="str">
        <x:v>בן צבי יצחק 6</x:v>
      </x:c>
      <x:c r="E407" s="17" t="str">
        <x:v>גבוה מאוד</x:v>
      </x:c>
      <x:c r="F407" s="25" t="str">
        <x:v>מספר קלפי בסיסי ושם אתר זהים</x:v>
      </x:c>
      <x:c r="G407" s="25" t="str">
        <x:v>הודעת הבחירות הרשמית של חיפה (2024)</x:v>
      </x:c>
      <x:c r="H407" s="25" t="n">
        <x:v>10</x:v>
      </x:c>
      <x:c r="I407" s="25" t="str">
        <x:v>730.0</x:v>
      </x:c>
      <x:c r="J407" s="25" t="str">
        <x:v>חט"ב דגן</x:v>
      </x:c>
      <x:c r="K407" s="25" t="str">
        <x:v>מוכן לעבודה</x:v>
      </x:c>
    </x:row>
    <x:row r="408" ht="38" customHeight="1">
      <x:c r="A408" s="29" t="str">
        <x:v>730.2</x:v>
      </x:c>
      <x:c r="B408" s="28" t="n">
        <x:v>3227</x:v>
      </x:c>
      <x:c r="C408" s="17" t="str">
        <x:v>חט"ב דגן</x:v>
      </x:c>
      <x:c r="D408" s="17" t="str">
        <x:v>בן צבי יצחק 6</x:v>
      </x:c>
      <x:c r="E408" s="17" t="str">
        <x:v>גבוה מאוד</x:v>
      </x:c>
      <x:c r="F408" s="25" t="str">
        <x:v>מספר קלפי בסיסי ושם אתר זהים</x:v>
      </x:c>
      <x:c r="G408" s="25" t="str">
        <x:v>הודעת הבחירות הרשמית של חיפה (2024)</x:v>
      </x:c>
      <x:c r="H408" s="25" t="n">
        <x:v>10</x:v>
      </x:c>
      <x:c r="I408" s="25" t="str">
        <x:v>730.0</x:v>
      </x:c>
      <x:c r="J408" s="25" t="str">
        <x:v>חט"ב דגן</x:v>
      </x:c>
      <x:c r="K408" s="25" t="str">
        <x:v>מוכן לעבודה</x:v>
      </x:c>
    </x:row>
    <x:row r="409" ht="38" customHeight="1">
      <x:c r="A409" s="29" t="str">
        <x:v>730.3</x:v>
      </x:c>
      <x:c r="B409" s="28" t="n">
        <x:v>3228</x:v>
      </x:c>
      <x:c r="C409" s="17" t="str">
        <x:v>חט"ב דגן</x:v>
      </x:c>
      <x:c r="D409" s="17" t="str">
        <x:v>בן צבי יצחק 6</x:v>
      </x:c>
      <x:c r="E409" s="17" t="str">
        <x:v>גבוה מאוד</x:v>
      </x:c>
      <x:c r="F409" s="25" t="str">
        <x:v>מספר קלפי בסיסי ושם אתר זהים</x:v>
      </x:c>
      <x:c r="G409" s="25" t="str">
        <x:v>הודעת הבחירות הרשמית של חיפה (2024)</x:v>
      </x:c>
      <x:c r="H409" s="25" t="n">
        <x:v>10</x:v>
      </x:c>
      <x:c r="I409" s="25" t="str">
        <x:v>730.0</x:v>
      </x:c>
      <x:c r="J409" s="25" t="str">
        <x:v>חט"ב דגן</x:v>
      </x:c>
      <x:c r="K409" s="25" t="str">
        <x:v>מוכן לעבודה</x:v>
      </x:c>
    </x:row>
    <x:row r="410" ht="38" customHeight="1">
      <x:c r="A410" s="29" t="str">
        <x:v>730.4</x:v>
      </x:c>
      <x:c r="B410" s="28" t="n">
        <x:v>3229</x:v>
      </x:c>
      <x:c r="C410" s="17" t="str">
        <x:v>חט"ב דגן</x:v>
      </x:c>
      <x:c r="D410" s="17" t="str">
        <x:v>בן צבי יצחק 6</x:v>
      </x:c>
      <x:c r="E410" s="17" t="str">
        <x:v>גבוה מאוד</x:v>
      </x:c>
      <x:c r="F410" s="25" t="str">
        <x:v>מספר קלפי בסיסי ושם אתר זהים</x:v>
      </x:c>
      <x:c r="G410" s="25" t="str">
        <x:v>הודעת הבחירות הרשמית של חיפה (2024)</x:v>
      </x:c>
      <x:c r="H410" s="25" t="n">
        <x:v>10</x:v>
      </x:c>
      <x:c r="I410" s="25" t="str">
        <x:v>730.0</x:v>
      </x:c>
      <x:c r="J410" s="25" t="str">
        <x:v>חט"ב דגן</x:v>
      </x:c>
      <x:c r="K410" s="25" t="str">
        <x:v>מוכן לעבודה</x:v>
      </x:c>
    </x:row>
    <x:row r="411" ht="38" customHeight="1">
      <x:c r="A411" s="29" t="str">
        <x:v>730.5</x:v>
      </x:c>
      <x:c r="B411" s="28" t="n">
        <x:v>3230</x:v>
      </x:c>
      <x:c r="C411" s="17" t="str">
        <x:v>חט"ב דגן</x:v>
      </x:c>
      <x:c r="D411" s="17" t="str">
        <x:v>בן צבי יצחק 6</x:v>
      </x:c>
      <x:c r="E411" s="17" t="str">
        <x:v>גבוה מאוד</x:v>
      </x:c>
      <x:c r="F411" s="25" t="str">
        <x:v>מספר קלפי בסיסי ושם אתר זהים</x:v>
      </x:c>
      <x:c r="G411" s="25" t="str">
        <x:v>הודעת הבחירות הרשמית של חיפה (2024)</x:v>
      </x:c>
      <x:c r="H411" s="25" t="n">
        <x:v>10</x:v>
      </x:c>
      <x:c r="I411" s="25" t="str">
        <x:v>730.0</x:v>
      </x:c>
      <x:c r="J411" s="25" t="str">
        <x:v>חט"ב דגן</x:v>
      </x:c>
      <x:c r="K411" s="25" t="str">
        <x:v>מוכן לעבודה</x:v>
      </x:c>
    </x:row>
    <x:row r="412" ht="38" customHeight="1">
      <x:c r="A412" s="29" t="str">
        <x:v>730.6</x:v>
      </x:c>
      <x:c r="B412" s="28" t="n">
        <x:v>3231</x:v>
      </x:c>
      <x:c r="C412" s="17" t="str">
        <x:v>חט"ב דגן</x:v>
      </x:c>
      <x:c r="D412" s="17" t="str">
        <x:v>בן צבי יצחק 6</x:v>
      </x:c>
      <x:c r="E412" s="17" t="str">
        <x:v>גבוה מאוד</x:v>
      </x:c>
      <x:c r="F412" s="25" t="str">
        <x:v>מספר קלפי בסיסי ושם אתר זהים</x:v>
      </x:c>
      <x:c r="G412" s="25" t="str">
        <x:v>הודעת הבחירות הרשמית של חיפה (2024)</x:v>
      </x:c>
      <x:c r="H412" s="25" t="n">
        <x:v>10</x:v>
      </x:c>
      <x:c r="I412" s="25" t="str">
        <x:v>730.0</x:v>
      </x:c>
      <x:c r="J412" s="25" t="str">
        <x:v>חט"ב דגן</x:v>
      </x:c>
      <x:c r="K412" s="25" t="str">
        <x:v>מוכן לעבודה</x:v>
      </x:c>
    </x:row>
    <x:row r="413" ht="38" customHeight="1">
      <x:c r="A413" s="29" t="str">
        <x:v>730.7</x:v>
      </x:c>
      <x:c r="B413" s="28" t="n">
        <x:v>3232</x:v>
      </x:c>
      <x:c r="C413" s="17" t="str">
        <x:v>חט"ב דגן</x:v>
      </x:c>
      <x:c r="D413" s="17" t="str">
        <x:v>בן צבי יצחק 6</x:v>
      </x:c>
      <x:c r="E413" s="17" t="str">
        <x:v>גבוה מאוד</x:v>
      </x:c>
      <x:c r="F413" s="25" t="str">
        <x:v>מספר קלפי בסיסי ושם אתר זהים</x:v>
      </x:c>
      <x:c r="G413" s="25" t="str">
        <x:v>הודעת הבחירות הרשמית של חיפה (2024)</x:v>
      </x:c>
      <x:c r="H413" s="25" t="n">
        <x:v>10</x:v>
      </x:c>
      <x:c r="I413" s="25" t="str">
        <x:v>730.0</x:v>
      </x:c>
      <x:c r="J413" s="25" t="str">
        <x:v>חט"ב דגן</x:v>
      </x:c>
      <x:c r="K413" s="25" t="str">
        <x:v>מוכן לעבודה</x:v>
      </x:c>
    </x:row>
    <x:row r="414" ht="38" customHeight="1">
      <x:c r="A414" s="29" t="str">
        <x:v>733</x:v>
      </x:c>
      <x:c r="B414" s="28" t="n">
        <x:v>3233</x:v>
      </x:c>
      <x:c r="C414" s="17" t="str">
        <x:v>מרכז קהילתי בית נגלר</x:v>
      </x:c>
      <x:c r="D414" s="17" t="str">
        <x:v>בן צבי יצחק 14</x:v>
      </x:c>
      <x:c r="E414" s="17" t="str">
        <x:v>גבוה מאוד</x:v>
      </x:c>
      <x:c r="F414" s="25" t="str">
        <x:v>מספר קלפי בסיסי ושם אתר זהים</x:v>
      </x:c>
      <x:c r="G414" s="25" t="str">
        <x:v>הודעת הבחירות הרשמית של חיפה (2024)</x:v>
      </x:c>
      <x:c r="H414" s="25" t="n">
        <x:v>11</x:v>
      </x:c>
      <x:c r="I414" s="25" t="str">
        <x:v>733.0</x:v>
      </x:c>
      <x:c r="J414" s="25" t="str">
        <x:v>מרכז קהילתי בית נגלר</x:v>
      </x:c>
      <x:c r="K414" s="25" t="str">
        <x:v>מוכן לעבודה</x:v>
      </x:c>
    </x:row>
    <x:row r="415" ht="38" customHeight="1">
      <x:c r="A415" s="29" t="str">
        <x:v>739</x:v>
      </x:c>
      <x:c r="B415" s="28" t="n">
        <x:v>3234</x:v>
      </x:c>
      <x:c r="C415" s="17" t="str">
        <x:v>מרכז קהילתי בית נגלר</x:v>
      </x:c>
      <x:c r="D415" s="17" t="str">
        <x:v>בן צבי יצחק 14</x:v>
      </x:c>
      <x:c r="E415" s="17" t="str">
        <x:v>גבוה מאוד</x:v>
      </x:c>
      <x:c r="F415" s="25" t="str">
        <x:v>מספר קלפי בסיסי ושם אתר זהים</x:v>
      </x:c>
      <x:c r="G415" s="25" t="str">
        <x:v>הודעת הבחירות הרשמית של חיפה (2024)</x:v>
      </x:c>
      <x:c r="H415" s="25" t="n">
        <x:v>11</x:v>
      </x:c>
      <x:c r="I415" s="25" t="str">
        <x:v>739.0</x:v>
      </x:c>
      <x:c r="J415" s="25" t="str">
        <x:v>מרכז קהילתי בית נגלר</x:v>
      </x:c>
      <x:c r="K415" s="25" t="str">
        <x:v>מוכן לעבודה</x:v>
      </x:c>
    </x:row>
    <x:row r="416" ht="38" customHeight="1">
      <x:c r="A416" s="29" t="str">
        <x:v>742</x:v>
      </x:c>
      <x:c r="B416" s="28" t="n">
        <x:v>3235</x:v>
      </x:c>
      <x:c r="C416" s="17" t="str">
        <x:v>גן "כוכבית"</x:v>
      </x:c>
      <x:c r="D416" s="17" t="str">
        <x:v>הפלוגות 14</x:v>
      </x:c>
      <x:c r="E416" s="17" t="str">
        <x:v>בינוני-גבוה</x:v>
      </x:c>
      <x:c r="F416" s="25" t="str">
        <x:v>שם גן זהה במאגר מוסדות החינוך</x:v>
      </x:c>
      <x:c r="G416" s="25" t="str">
        <x:v>עיריית חיפה - מוסדות חינוך</x:v>
      </x:c>
      <x:c r="H416" s="25" t="str"/>
      <x:c r="I416" s="25" t="str"/>
      <x:c r="J416" s="25" t="str">
        <x:v>גן "כוכבית"</x:v>
      </x:c>
      <x:c r="K416" s="25" t="str">
        <x:v>בדיקה ממוקדת</x:v>
      </x:c>
    </x:row>
    <x:row r="417" ht="38" customHeight="1">
      <x:c r="A417" s="29" t="str">
        <x:v>958</x:v>
      </x:c>
      <x:c r="B417" s="28" t="n">
        <x:v>3154</x:v>
      </x:c>
      <x:c r="C417" s="17" t="str">
        <x:v>בי"ס תיכון עירוני ג</x:v>
      </x:c>
      <x:c r="D417" s="17" t="str">
        <x:v>גדליהו 22</x:v>
      </x:c>
      <x:c r="E417" s="17" t="str">
        <x:v>גבוה מאוד</x:v>
      </x:c>
      <x:c r="F417" s="25" t="str">
        <x:v>מספר קלפי בסיסי ושם אתר זהים</x:v>
      </x:c>
      <x:c r="G417" s="25" t="str">
        <x:v>הודעת הבחירות הרשמית של חיפה (2024)</x:v>
      </x:c>
      <x:c r="H417" s="25" t="n">
        <x:v>11</x:v>
      </x:c>
      <x:c r="I417" s="25" t="str">
        <x:v>958.0</x:v>
      </x:c>
      <x:c r="J417" s="25" t="str">
        <x:v>בי"ס תיכון עירוני ג</x:v>
      </x:c>
      <x:c r="K417" s="25" t="str">
        <x:v>מוכן לעבודה</x:v>
      </x:c>
    </x:row>
    <x:row r="418" ht="38" customHeight="1">
      <x:c r="A418" s="29" t="str">
        <x:v>960.1</x:v>
      </x:c>
      <x:c r="B418" s="28" t="n">
        <x:v>3007</x:v>
      </x:c>
      <x:c r="C418" s="17" t="str">
        <x:v>בי"ס נירים</x:v>
      </x:c>
      <x:c r="D418" s="17" t="str">
        <x:v>יהושפט המלך 6</x:v>
      </x:c>
      <x:c r="E418" s="17" t="str">
        <x:v>גבוה מאוד</x:v>
      </x:c>
      <x:c r="F418" s="25" t="str">
        <x:v>מספר קלפי בסיסי ושם אתר זהים</x:v>
      </x:c>
      <x:c r="G418" s="25" t="str">
        <x:v>הודעת הבחירות הרשמית של חיפה (2024)</x:v>
      </x:c>
      <x:c r="H418" s="25" t="n">
        <x:v>11</x:v>
      </x:c>
      <x:c r="I418" s="25" t="str">
        <x:v>960.0</x:v>
      </x:c>
      <x:c r="J418" s="25" t="str">
        <x:v>בי"ס נירים</x:v>
      </x:c>
      <x:c r="K418" s="25" t="str">
        <x:v>מוכן לעבודה</x:v>
      </x:c>
    </x:row>
    <x:row r="419" ht="38" customHeight="1">
      <x:c r="A419" s="29" t="str">
        <x:v>960.2</x:v>
      </x:c>
      <x:c r="B419" s="28" t="n">
        <x:v>3008</x:v>
      </x:c>
      <x:c r="C419" s="17" t="str">
        <x:v>בי"ס נירים</x:v>
      </x:c>
      <x:c r="D419" s="17" t="str">
        <x:v>יהושפט המלך 6</x:v>
      </x:c>
      <x:c r="E419" s="17" t="str">
        <x:v>גבוה מאוד</x:v>
      </x:c>
      <x:c r="F419" s="25" t="str">
        <x:v>מספר קלפי בסיסי ושם אתר זהים</x:v>
      </x:c>
      <x:c r="G419" s="25" t="str">
        <x:v>הודעת הבחירות הרשמית של חיפה (2024)</x:v>
      </x:c>
      <x:c r="H419" s="25" t="n">
        <x:v>11</x:v>
      </x:c>
      <x:c r="I419" s="25" t="str">
        <x:v>960.0</x:v>
      </x:c>
      <x:c r="J419" s="25" t="str">
        <x:v>בי"ס נירים</x:v>
      </x:c>
      <x:c r="K419" s="25" t="str">
        <x:v>מוכן לעבודה</x:v>
      </x:c>
    </x:row>
    <x:row r="420" ht="38" customHeight="1">
      <x:c r="A420" s="29" t="str">
        <x:v>960.3</x:v>
      </x:c>
      <x:c r="B420" s="28" t="n">
        <x:v>3009</x:v>
      </x:c>
      <x:c r="C420" s="17" t="str">
        <x:v>בי"ס נירים</x:v>
      </x:c>
      <x:c r="D420" s="17" t="str">
        <x:v>יהושפט המלך 6</x:v>
      </x:c>
      <x:c r="E420" s="17" t="str">
        <x:v>גבוה מאוד</x:v>
      </x:c>
      <x:c r="F420" s="25" t="str">
        <x:v>מספר קלפי בסיסי ושם אתר זהים</x:v>
      </x:c>
      <x:c r="G420" s="25" t="str">
        <x:v>הודעת הבחירות הרשמית של חיפה (2024)</x:v>
      </x:c>
      <x:c r="H420" s="25" t="n">
        <x:v>11</x:v>
      </x:c>
      <x:c r="I420" s="25" t="str">
        <x:v>960.0</x:v>
      </x:c>
      <x:c r="J420" s="25" t="str">
        <x:v>בי"ס נירים</x:v>
      </x:c>
      <x:c r="K420" s="25" t="str">
        <x:v>מוכן לעבודה</x:v>
      </x:c>
    </x:row>
    <x:row r="421" ht="38" customHeight="1">
      <x:c r="A421" s="29" t="str">
        <x:v>961</x:v>
      </x:c>
      <x:c r="B421" s="28" t="n">
        <x:v>3130</x:v>
      </x:c>
      <x:c r="C421" s="17" t="str">
        <x:v>בי"ס הבונים</x:v>
      </x:c>
      <x:c r="D421" s="17" t="str">
        <x:v>חביבה רייך 16</x:v>
      </x:c>
      <x:c r="E421" s="17" t="str">
        <x:v>גבוה</x:v>
      </x:c>
      <x:c r="F421" s="25" t="str">
        <x:v>שם אתר ייחודי זהה; מספר הקלפי השתנה או פוצל</x:v>
      </x:c>
      <x:c r="G421" s="25" t="str">
        <x:v>הודעת הבחירות הרשמית של חיפה (2024)</x:v>
      </x:c>
      <x:c r="H421" s="25" t="n">
        <x:v>9</x:v>
      </x:c>
      <x:c r="I421" s="25" t="str">
        <x:v>409.0</x:v>
      </x:c>
      <x:c r="J421" s="25" t="str">
        <x:v>בי"ס הבונים</x:v>
      </x:c>
      <x:c r="K421" s="25" t="str">
        <x:v>מוכן לעבודה</x:v>
      </x:c>
    </x:row>
    <x:row r="422" ht="38" customHeight="1">
      <x:c r="A422" s="29" t="str">
        <x:v>963</x:v>
      </x:c>
      <x:c r="B422" s="28" t="n">
        <x:v>3155</x:v>
      </x:c>
      <x:c r="C422" s="17" t="str">
        <x:v>בי"ס תיכון עירוני ג</x:v>
      </x:c>
      <x:c r="D422" s="17" t="str">
        <x:v>גדליהו 22</x:v>
      </x:c>
      <x:c r="E422" s="17" t="str">
        <x:v>גבוה מאוד</x:v>
      </x:c>
      <x:c r="F422" s="25" t="str">
        <x:v>מספר קלפי בסיסי ושם אתר זהים</x:v>
      </x:c>
      <x:c r="G422" s="25" t="str">
        <x:v>הודעת הבחירות הרשמית של חיפה (2024)</x:v>
      </x:c>
      <x:c r="H422" s="25" t="n">
        <x:v>11</x:v>
      </x:c>
      <x:c r="I422" s="25" t="str">
        <x:v>963.0</x:v>
      </x:c>
      <x:c r="J422" s="25" t="str">
        <x:v>בי"ס תיכון עירוני ג</x:v>
      </x:c>
      <x:c r="K422" s="25" t="str">
        <x:v>מוכן לעבודה</x:v>
      </x:c>
    </x:row>
    <x:row r="423" ht="38" customHeight="1">
      <x:c r="A423" s="29" t="str">
        <x:v>966</x:v>
      </x:c>
      <x:c r="B423" s="28" t="n">
        <x:v>3010</x:v>
      </x:c>
      <x:c r="C423" s="17" t="str">
        <x:v>בי"ס נאות פרס</x:v>
      </x:c>
      <x:c r="D423" s="17" t="str">
        <x:v>כיכר ואצלב האוול</x:v>
      </x:c>
      <x:c r="E423" s="17" t="str">
        <x:v>גבוה מאוד</x:v>
      </x:c>
      <x:c r="F423" s="25" t="str">
        <x:v>מספר קלפי בסיסי ושם אתר זהים</x:v>
      </x:c>
      <x:c r="G423" s="25" t="str">
        <x:v>הודעת הבחירות הרשמית של חיפה (2024)</x:v>
      </x:c>
      <x:c r="H423" s="25" t="n">
        <x:v>11</x:v>
      </x:c>
      <x:c r="I423" s="25" t="str">
        <x:v>966.0</x:v>
      </x:c>
      <x:c r="J423" s="25" t="str">
        <x:v>בי"ס נאות פרס</x:v>
      </x:c>
      <x:c r="K423" s="25" t="str">
        <x:v>מוכן לעבודה</x:v>
      </x:c>
    </x:row>
    <x:row r="424" ht="38" customHeight="1">
      <x:c r="A424" s="29" t="str">
        <x:v>968</x:v>
      </x:c>
      <x:c r="B424" s="28" t="n">
        <x:v>3011</x:v>
      </x:c>
      <x:c r="C424" s="17" t="str">
        <x:v>בי"ס נאות פרס</x:v>
      </x:c>
      <x:c r="D424" s="17" t="str">
        <x:v>כיכר ואצלב האוול</x:v>
      </x:c>
      <x:c r="E424" s="17" t="str">
        <x:v>גבוה מאוד</x:v>
      </x:c>
      <x:c r="F424" s="25" t="str">
        <x:v>מספר קלפי בסיסי ושם אתר זהים</x:v>
      </x:c>
      <x:c r="G424" s="25" t="str">
        <x:v>הודעת הבחירות הרשמית של חיפה (2024)</x:v>
      </x:c>
      <x:c r="H424" s="25" t="n">
        <x:v>11</x:v>
      </x:c>
      <x:c r="I424" s="25" t="str">
        <x:v>968.0</x:v>
      </x:c>
      <x:c r="J424" s="25" t="str">
        <x:v>בי"ס נאות פרס</x:v>
      </x:c>
      <x:c r="K424" s="25" t="str">
        <x:v>מוכן לעבודה</x:v>
      </x:c>
    </x:row>
    <x:row r="425" ht="38" customHeight="1">
      <x:c r="A425" s="29" t="str">
        <x:v>990.1</x:v>
      </x:c>
      <x:c r="B425" s="28" t="n">
        <x:v>2882</x:v>
      </x:c>
      <x:c r="C425" s="17" t="str">
        <x:v>עיריית חיפה - מרכז שירות לתושב</x:v>
      </x:c>
      <x:c r="D425" s="17" t="str">
        <x:v>חסן שוקרי 11</x:v>
      </x:c>
      <x:c r="E425" s="17" t="str">
        <x:v>גבוה מאוד</x:v>
      </x:c>
      <x:c r="F425" s="25" t="str">
        <x:v>מספר קלפי בסיסי ושם אתר זהים</x:v>
      </x:c>
      <x:c r="G425" s="25" t="str">
        <x:v>הודעת הבחירות הרשמית של חיפה (2024)</x:v>
      </x:c>
      <x:c r="H425" s="25" t="n">
        <x:v>11</x:v>
      </x:c>
      <x:c r="I425" s="25" t="str">
        <x:v>990.0</x:v>
      </x:c>
      <x:c r="J425" s="25" t="str">
        <x:v>עיריית חיפה -מרכז שירות לתושב</x:v>
      </x:c>
      <x:c r="K425" s="25" t="str">
        <x:v>מוכן לעבודה</x:v>
      </x:c>
    </x:row>
    <x:row r="426" ht="38" customHeight="1">
      <x:c r="A426" s="29" t="str">
        <x:v>990.2</x:v>
      </x:c>
      <x:c r="B426" s="28" t="n">
        <x:v>2883</x:v>
      </x:c>
      <x:c r="C426" s="17" t="str">
        <x:v>עיריית חיפה - מרכז שירות לתושב</x:v>
      </x:c>
      <x:c r="D426" s="17" t="str">
        <x:v>חסן שוקרי 11</x:v>
      </x:c>
      <x:c r="E426" s="17" t="str">
        <x:v>גבוה מאוד</x:v>
      </x:c>
      <x:c r="F426" s="25" t="str">
        <x:v>מספר קלפי בסיסי ושם אתר זהים</x:v>
      </x:c>
      <x:c r="G426" s="25" t="str">
        <x:v>הודעת הבחירות הרשמית של חיפה (2024)</x:v>
      </x:c>
      <x:c r="H426" s="25" t="n">
        <x:v>11</x:v>
      </x:c>
      <x:c r="I426" s="25" t="str">
        <x:v>990.0</x:v>
      </x:c>
      <x:c r="J426" s="25" t="str">
        <x:v>עיריית חיפה -מרכז שירות לתושב</x:v>
      </x:c>
      <x:c r="K426" s="25" t="str">
        <x:v>מוכן לעבודה</x:v>
      </x:c>
    </x:row>
  </x:sheetData>
  <x:mergeCells>
    <x:mergeCell ref="A1:K1"/>
  </x:mergeCells>
  <x:conditionalFormatting sqref="E3:E426">
    <x:cfRule type="containsText" dxfId="2" priority="1" operator="containsText" text="בינוני"/>
  </x:conditionalFormatting>
  <x:conditionalFormatting sqref="K3:K426">
    <x:cfRule type="containsText" dxfId="3" priority="2" operator="containsText" text="בדיקה"/>
  </x:conditionalFormatting>
  <x:pageMargins left="0.7" right="0.7" top="0.75" bottom="0.75" header="0.3" footer="0.3"/>
  <x:tableParts count="1">
    <x:tablePart xmlns:r="http://schemas.openxmlformats.org/officeDocument/2006/relationships" r:id="R77c297bd62c74f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9.109999656677246" hidden="0" customWidth="1"/>
    <x:col min="3" max="3" width="24.440000534057617" hidden="0" customWidth="1"/>
    <x:col min="4" max="4" width="18.329999923706055" hidden="0" customWidth="1"/>
    <x:col min="5" max="5" width="11.670000076293945" hidden="0" customWidth="1"/>
    <x:col min="6" max="6" width="9.779999732971191" hidden="0" customWidth="1"/>
    <x:col min="7" max="7" width="9.109999656677246" hidden="0" customWidth="1"/>
    <x:col min="8" max="8" width="10" hidden="0" customWidth="1"/>
    <x:col min="9" max="9" width="8" hidden="0" customWidth="1"/>
    <x:col min="10" max="10" width="8" hidden="0" customWidth="1"/>
    <x:col min="11" max="11" width="13.329999923706055" hidden="0" customWidth="1"/>
    <x:col min="12" max="12" width="13.329999923706055" hidden="0" customWidth="1"/>
    <x:col min="13" max="13" width="11.109999656677246" hidden="0" customWidth="1"/>
    <x:col min="14" max="14" width="12.220000267028809" hidden="0" customWidth="1"/>
    <x:col min="15" max="15" width="17.219999313354492" hidden="0" customWidth="1"/>
    <x:col min="16" max="16" width="9.4399995803833" hidden="0" customWidth="1"/>
    <x:col min="17" max="17" width="12.220000267028809" hidden="0" customWidth="1"/>
    <x:col min="18" max="18" width="11.670000076293945" hidden="0" customWidth="1"/>
    <x:col min="19" max="19" width="11.670000076293945" hidden="0" customWidth="1"/>
    <x:col min="20" max="20" width="8.670000076293945" hidden="0" customWidth="1"/>
    <x:col min="21" max="21" width="8.670000076293945" hidden="0" customWidth="1"/>
    <x:col min="22" max="22" width="8.670000076293945" hidden="0" customWidth="1"/>
    <x:col min="23" max="23" width="8.670000076293945" hidden="0" customWidth="1"/>
    <x:col min="24" max="24" width="8.670000076293945" hidden="0" customWidth="1"/>
    <x:col min="25" max="25" width="8.670000076293945" hidden="0" customWidth="1"/>
    <x:col min="26" max="26" width="8.670000076293945" hidden="0" customWidth="1"/>
    <x:col min="27" max="27" width="8.670000076293945" hidden="0" customWidth="1"/>
    <x:col min="28" max="28" width="8.670000076293945" hidden="0" customWidth="1"/>
    <x:col min="29" max="29" width="8.670000076293945" hidden="0" customWidth="1"/>
    <x:col min="30" max="30" width="8.670000076293945" hidden="0" customWidth="1"/>
    <x:col min="31" max="31" width="8.670000076293945" hidden="0" customWidth="1"/>
    <x:col min="32" max="32" width="8.670000076293945" hidden="0" customWidth="1"/>
    <x:col min="33" max="33" width="8.670000076293945" hidden="0" customWidth="1"/>
    <x:col min="34" max="34" width="8.670000076293945" hidden="0" customWidth="1"/>
    <x:col min="35" max="35" width="8.670000076293945" hidden="0" customWidth="1"/>
    <x:col min="36" max="36" width="8.670000076293945" hidden="0" customWidth="1"/>
    <x:col min="37" max="37" width="8.670000076293945" hidden="0" customWidth="1"/>
    <x:col min="38" max="38" width="8.670000076293945" hidden="0" customWidth="1"/>
    <x:col min="39" max="39" width="8.670000076293945" hidden="0" customWidth="1"/>
    <x:col min="40" max="40" width="8.670000076293945" hidden="0" customWidth="1"/>
    <x:col min="41" max="41" width="8.670000076293945" hidden="0" customWidth="1"/>
    <x:col min="42" max="42" width="8.670000076293945" hidden="0" customWidth="1"/>
    <x:col min="43" max="43" width="8.670000076293945" hidden="0" customWidth="1"/>
    <x:col min="44" max="44" width="8.670000076293945" hidden="0" customWidth="1"/>
    <x:col min="45" max="45" width="8.670000076293945" hidden="0" customWidth="1"/>
    <x:col min="46" max="46" width="8.670000076293945" hidden="0" customWidth="1"/>
    <x:col min="47" max="47" width="8.670000076293945" hidden="0" customWidth="1"/>
    <x:col min="48" max="48" width="8.670000076293945" hidden="0" customWidth="1"/>
    <x:col min="49" max="49" width="8.670000076293945" hidden="0" customWidth="1"/>
    <x:col min="50" max="50" width="8.670000076293945" hidden="0" customWidth="1"/>
    <x:col min="51" max="51" width="8.670000076293945" hidden="0" customWidth="1"/>
    <x:col min="52" max="52" width="8.670000076293945" hidden="0" customWidth="1"/>
    <x:col min="53" max="53" width="8.670000076293945" hidden="0" customWidth="1"/>
    <x:col min="54" max="54" width="8.670000076293945" hidden="0" customWidth="1"/>
    <x:col min="55" max="55" width="8.670000076293945" hidden="0" customWidth="1"/>
    <x:col min="56" max="56" width="8.670000076293945" hidden="0" customWidth="1"/>
    <x:col min="57" max="57" width="8.670000076293945" hidden="0" customWidth="1"/>
    <x:col min="58" max="58" width="8.670000076293945" hidden="0" customWidth="1"/>
    <x:col min="59" max="59" width="8.670000076293945" hidden="0" customWidth="1"/>
  </x:cols>
  <x:sheetData>
    <x:row r="1" ht="34" customHeight="1">
      <x:c r="A1" s="4" t="str">
        <x:v>תוצאות מלאות לפי קלפי - הכנסת ה-25</x:v>
      </x:c>
      <x:c r="B1" s="4" t="str">
        <x:v>תוצאות מלאות לפי קלפי - הכנסת ה-25</x:v>
      </x:c>
      <x:c r="C1" s="4" t="str">
        <x:v>תוצאות מלאות לפי קלפי - הכנסת ה-25</x:v>
      </x:c>
      <x:c r="D1" s="4" t="str">
        <x:v>תוצאות מלאות לפי קלפי - הכנסת ה-25</x:v>
      </x:c>
      <x:c r="E1" s="4" t="str">
        <x:v>תוצאות מלאות לפי קלפי - הכנסת ה-25</x:v>
      </x:c>
      <x:c r="F1" s="4" t="str">
        <x:v>תוצאות מלאות לפי קלפי - הכנסת ה-25</x:v>
      </x:c>
      <x:c r="G1" s="4" t="str">
        <x:v>תוצאות מלאות לפי קלפי - הכנסת ה-25</x:v>
      </x:c>
      <x:c r="H1" s="4" t="str">
        <x:v>תוצאות מלאות לפי קלפי - הכנסת ה-25</x:v>
      </x:c>
      <x:c r="I1" s="4" t="str">
        <x:v>תוצאות מלאות לפי קלפי - הכנסת ה-25</x:v>
      </x:c>
      <x:c r="J1" s="4" t="str">
        <x:v>תוצאות מלאות לפי קלפי - הכנסת ה-25</x:v>
      </x:c>
      <x:c r="K1" s="4" t="str">
        <x:v>תוצאות מלאות לפי קלפי - הכנסת ה-25</x:v>
      </x:c>
      <x:c r="L1" s="4" t="str">
        <x:v>תוצאות מלאות לפי קלפי - הכנסת ה-25</x:v>
      </x:c>
      <x:c r="M1" s="4" t="str">
        <x:v>תוצאות מלאות לפי קלפי - הכנסת ה-25</x:v>
      </x:c>
      <x:c r="N1" s="4" t="str">
        <x:v>תוצאות מלאות לפי קלפי - הכנסת ה-25</x:v>
      </x:c>
      <x:c r="O1" s="4" t="str">
        <x:v>תוצאות מלאות לפי קלפי - הכנסת ה-25</x:v>
      </x:c>
      <x:c r="P1" s="4" t="str">
        <x:v>תוצאות מלאות לפי קלפי - הכנסת ה-25</x:v>
      </x:c>
      <x:c r="Q1" s="4" t="str">
        <x:v>תוצאות מלאות לפי קלפי - הכנסת ה-25</x:v>
      </x:c>
      <x:c r="R1" s="4" t="str">
        <x:v>תוצאות מלאות לפי קלפי - הכנסת ה-25</x:v>
      </x:c>
      <x:c r="S1" s="4" t="str">
        <x:v>תוצאות מלאות לפי קלפי - הכנסת ה-25</x:v>
      </x:c>
      <x:c r="T1" s="4" t="str">
        <x:v>תוצאות מלאות לפי קלפי - הכנסת ה-25</x:v>
      </x:c>
      <x:c r="U1" s="4" t="str">
        <x:v>תוצאות מלאות לפי קלפי - הכנסת ה-25</x:v>
      </x:c>
      <x:c r="V1" s="4" t="str">
        <x:v>תוצאות מלאות לפי קלפי - הכנסת ה-25</x:v>
      </x:c>
      <x:c r="W1" s="4" t="str">
        <x:v>תוצאות מלאות לפי קלפי - הכנסת ה-25</x:v>
      </x:c>
      <x:c r="X1" s="4" t="str">
        <x:v>תוצאות מלאות לפי קלפי - הכנסת ה-25</x:v>
      </x:c>
      <x:c r="Y1" s="4" t="str">
        <x:v>תוצאות מלאות לפי קלפי - הכנסת ה-25</x:v>
      </x:c>
      <x:c r="Z1" s="4" t="str">
        <x:v>תוצאות מלאות לפי קלפי - הכנסת ה-25</x:v>
      </x:c>
      <x:c r="AA1" s="4" t="str">
        <x:v>תוצאות מלאות לפי קלפי - הכנסת ה-25</x:v>
      </x:c>
      <x:c r="AB1" s="4" t="str">
        <x:v>תוצאות מלאות לפי קלפי - הכנסת ה-25</x:v>
      </x:c>
      <x:c r="AC1" s="4" t="str">
        <x:v>תוצאות מלאות לפי קלפי - הכנסת ה-25</x:v>
      </x:c>
      <x:c r="AD1" s="4" t="str">
        <x:v>תוצאות מלאות לפי קלפי - הכנסת ה-25</x:v>
      </x:c>
      <x:c r="AE1" s="4" t="str">
        <x:v>תוצאות מלאות לפי קלפי - הכנסת ה-25</x:v>
      </x:c>
      <x:c r="AF1" s="4" t="str">
        <x:v>תוצאות מלאות לפי קלפי - הכנסת ה-25</x:v>
      </x:c>
      <x:c r="AG1" s="4" t="str">
        <x:v>תוצאות מלאות לפי קלפי - הכנסת ה-25</x:v>
      </x:c>
      <x:c r="AH1" s="4" t="str">
        <x:v>תוצאות מלאות לפי קלפי - הכנסת ה-25</x:v>
      </x:c>
      <x:c r="AI1" s="4" t="str">
        <x:v>תוצאות מלאות לפי קלפי - הכנסת ה-25</x:v>
      </x:c>
      <x:c r="AJ1" s="4" t="str">
        <x:v>תוצאות מלאות לפי קלפי - הכנסת ה-25</x:v>
      </x:c>
      <x:c r="AK1" s="4" t="str">
        <x:v>תוצאות מלאות לפי קלפי - הכנסת ה-25</x:v>
      </x:c>
      <x:c r="AL1" s="4" t="str">
        <x:v>תוצאות מלאות לפי קלפי - הכנסת ה-25</x:v>
      </x:c>
      <x:c r="AM1" s="4" t="str">
        <x:v>תוצאות מלאות לפי קלפי - הכנסת ה-25</x:v>
      </x:c>
      <x:c r="AN1" s="4" t="str">
        <x:v>תוצאות מלאות לפי קלפי - הכנסת ה-25</x:v>
      </x:c>
      <x:c r="AO1" s="4" t="str">
        <x:v>תוצאות מלאות לפי קלפי - הכנסת ה-25</x:v>
      </x:c>
      <x:c r="AP1" s="4" t="str">
        <x:v>תוצאות מלאות לפי קלפי - הכנסת ה-25</x:v>
      </x:c>
      <x:c r="AQ1" s="4" t="str">
        <x:v>תוצאות מלאות לפי קלפי - הכנסת ה-25</x:v>
      </x:c>
      <x:c r="AR1" s="4" t="str">
        <x:v>תוצאות מלאות לפי קלפי - הכנסת ה-25</x:v>
      </x:c>
      <x:c r="AS1" s="4" t="str">
        <x:v>תוצאות מלאות לפי קלפי - הכנסת ה-25</x:v>
      </x:c>
      <x:c r="AT1" s="4" t="str">
        <x:v>תוצאות מלאות לפי קלפי - הכנסת ה-25</x:v>
      </x:c>
      <x:c r="AU1" s="4" t="str">
        <x:v>תוצאות מלאות לפי קלפי - הכנסת ה-25</x:v>
      </x:c>
      <x:c r="AV1" s="4" t="str">
        <x:v>תוצאות מלאות לפי קלפי - הכנסת ה-25</x:v>
      </x:c>
      <x:c r="AW1" s="4" t="str">
        <x:v>תוצאות מלאות לפי קלפי - הכנסת ה-25</x:v>
      </x:c>
      <x:c r="AX1" s="4" t="str">
        <x:v>תוצאות מלאות לפי קלפי - הכנסת ה-25</x:v>
      </x:c>
      <x:c r="AY1" s="4" t="str">
        <x:v>תוצאות מלאות לפי קלפי - הכנסת ה-25</x:v>
      </x:c>
      <x:c r="AZ1" s="4" t="str">
        <x:v>תוצאות מלאות לפי קלפי - הכנסת ה-25</x:v>
      </x:c>
      <x:c r="BA1" s="4" t="str">
        <x:v>תוצאות מלאות לפי קלפי - הכנסת ה-25</x:v>
      </x:c>
      <x:c r="BB1" s="4" t="str">
        <x:v>תוצאות מלאות לפי קלפי - הכנסת ה-25</x:v>
      </x:c>
      <x:c r="BC1" s="4" t="str">
        <x:v>תוצאות מלאות לפי קלפי - הכנסת ה-25</x:v>
      </x:c>
      <x:c r="BD1" s="4" t="str">
        <x:v>תוצאות מלאות לפי קלפי - הכנסת ה-25</x:v>
      </x:c>
      <x:c r="BE1" s="4" t="str">
        <x:v>תוצאות מלאות לפי קלפי - הכנסת ה-25</x:v>
      </x:c>
      <x:c r="BF1" s="4" t="str">
        <x:v>תוצאות מלאות לפי קלפי - הכנסת ה-25</x:v>
      </x:c>
      <x:c r="BG1" s="4" t="str">
        <x:v>תוצאות מלאות לפי קלפי - הכנסת ה-25</x:v>
      </x:c>
    </x:row>
    <x:row r="2" ht="34" customHeight="1">
      <x:c r="A2" s="14" t="str">
        <x:v>מספר קלפי</x:v>
      </x:c>
      <x:c r="B2" s="14" t="str">
        <x:v>מספר ברזל</x:v>
      </x:c>
      <x:c r="C2" s="14" t="str">
        <x:v>שם אתר</x:v>
      </x:c>
      <x:c r="D2" s="14" t="str">
        <x:v>כתובת מועמדת</x:v>
      </x:c>
      <x:c r="E2" s="14" t="str">
        <x:v>רמת ביטחון</x:v>
      </x:c>
      <x:c r="F2" s="14" t="str">
        <x:v>בעלי זכות</x:v>
      </x:c>
      <x:c r="G2" s="14" t="str">
        <x:v>מצביעים</x:v>
      </x:c>
      <x:c r="H2" s="14" t="str">
        <x:v>אחוז הצבעה</x:v>
      </x:c>
      <x:c r="I2" s="14" t="str">
        <x:v>פסולים</x:v>
      </x:c>
      <x:c r="J2" s="14" t="str">
        <x:v>כשרים</x:v>
      </x:c>
      <x:c r="K2" s="14" t="str">
        <x:v>קולות קואליציית ההקמה 2022</x:v>
      </x:c>
      <x:c r="L2" s="14" t="str">
        <x:v>קולות אופוזיציה רחבה 2022</x:v>
      </x:c>
      <x:c r="M2" s="14" t="str">
        <x:v>שיעור קואליציה</x:v>
      </x:c>
      <x:c r="N2" s="14" t="str">
        <x:v>שיעור אופוזיציה רחבה</x:v>
      </x:c>
      <x:c r="O2" s="14" t="str">
        <x:v>גוש מוביל</x:v>
      </x:c>
      <x:c r="P2" s="14" t="str">
        <x:v>קלפי יעד</x:v>
      </x:c>
      <x:c r="Q2" s="14" t="str">
        <x:v>אופוזיציה ציונית - קולות</x:v>
      </x:c>
      <x:c r="R2" s="14" t="str">
        <x:v>רשימות ערביות - קולות</x:v>
      </x:c>
      <x:c r="S2" s="14" t="str">
        <x:v>רשימות אחרות - קולות</x:v>
      </x:c>
      <x:c r="T2" s="14" t="str">
        <x:v>מפלגה אמת</x:v>
      </x:c>
      <x:c r="U2" s="14" t="str">
        <x:v>מפלגה אצ</x:v>
      </x:c>
      <x:c r="V2" s="14" t="str">
        <x:v>מפלגה ב</x:v>
      </x:c>
      <x:c r="W2" s="14" t="str">
        <x:v>מפלגה ג</x:v>
      </x:c>
      <x:c r="X2" s="14" t="str">
        <x:v>מפלגה ד</x:v>
      </x:c>
      <x:c r="Y2" s="14" t="str">
        <x:v>מפלגה ום</x:v>
      </x:c>
      <x:c r="Z2" s="14" t="str">
        <x:v>מפלגה ז</x:v>
      </x:c>
      <x:c r="AA2" s="14" t="str">
        <x:v>מפלגה זך</x:v>
      </x:c>
      <x:c r="AB2" s="14" t="str">
        <x:v>מפלגה זנ</x:v>
      </x:c>
      <x:c r="AC2" s="14" t="str">
        <x:v>מפלגה זץ</x:v>
      </x:c>
      <x:c r="AD2" s="14" t="str">
        <x:v>מפלגה ט</x:v>
      </x:c>
      <x:c r="AE2" s="14" t="str">
        <x:v>מפלגה י</x:v>
      </x:c>
      <x:c r="AF2" s="14" t="str">
        <x:v>מפלגה יז</x:v>
      </x:c>
      <x:c r="AG2" s="14" t="str">
        <x:v>מפלגה ינ</x:v>
      </x:c>
      <x:c r="AH2" s="14" t="str">
        <x:v>מפלגה יץ</x:v>
      </x:c>
      <x:c r="AI2" s="14" t="str">
        <x:v>מפלגה יק</x:v>
      </x:c>
      <x:c r="AJ2" s="14" t="str">
        <x:v>מפלגה כן</x:v>
      </x:c>
      <x:c r="AK2" s="14" t="str">
        <x:v>מפלגה ך</x:v>
      </x:c>
      <x:c r="AL2" s="14" t="str">
        <x:v>מפלגה ל</x:v>
      </x:c>
      <x:c r="AM2" s="14" t="str">
        <x:v>מפלגה מחל</x:v>
      </x:c>
      <x:c r="AN2" s="14" t="str">
        <x:v>מפלגה מרצ</x:v>
      </x:c>
      <x:c r="AO2" s="14" t="str">
        <x:v>מפלגה נז</x:v>
      </x:c>
      <x:c r="AP2" s="14" t="str">
        <x:v>מפלגה ני</x:v>
      </x:c>
      <x:c r="AQ2" s="14" t="str">
        <x:v>מפלגה נף</x:v>
      </x:c>
      <x:c r="AR2" s="14" t="str">
        <x:v>מפלגה נץ</x:v>
      </x:c>
      <x:c r="AS2" s="14" t="str">
        <x:v>מפלגה נק</x:v>
      </x:c>
      <x:c r="AT2" s="14" t="str">
        <x:v>מפלגה נר</x:v>
      </x:c>
      <x:c r="AU2" s="14" t="str">
        <x:v>מפלגה עם</x:v>
      </x:c>
      <x:c r="AV2" s="14" t="str">
        <x:v>מפלגה פה</x:v>
      </x:c>
      <x:c r="AW2" s="14" t="str">
        <x:v>מפלגה ף</x:v>
      </x:c>
      <x:c r="AX2" s="14" t="str">
        <x:v>מפלגה צ</x:v>
      </x:c>
      <x:c r="AY2" s="14" t="str">
        <x:v>מפלגה ץ</x:v>
      </x:c>
      <x:c r="AZ2" s="14" t="str">
        <x:v>מפלגה ק</x:v>
      </x:c>
      <x:c r="BA2" s="14" t="str">
        <x:v>מפלגה קי</x:v>
      </x:c>
      <x:c r="BB2" s="14" t="str">
        <x:v>מפלגה קך</x:v>
      </x:c>
      <x:c r="BC2" s="14" t="str">
        <x:v>מפלגה קנ</x:v>
      </x:c>
      <x:c r="BD2" s="14" t="str">
        <x:v>מפלגה קץ</x:v>
      </x:c>
      <x:c r="BE2" s="14" t="str">
        <x:v>מפלגה רז</x:v>
      </x:c>
      <x:c r="BF2" s="14" t="str">
        <x:v>מפלגה שס</x:v>
      </x:c>
      <x:c r="BG2" s="14" t="str">
        <x:v>מפלגה ת</x:v>
      </x:c>
    </x:row>
    <x:row r="3">
      <x:c r="A3" s="29" t="str">
        <x:v>1.1</x:v>
      </x:c>
      <x:c r="B3" s="17" t="n">
        <x:v>2908</x:v>
      </x:c>
      <x:c r="C3" s="17" t="str">
        <x:v>מועדון גמלאים סכנין</x:v>
      </x:c>
      <x:c r="D3" s="17" t="str">
        <x:v>הזית 5</x:v>
      </x:c>
      <x:c r="E3" s="17" t="str">
        <x:v>גבוה מאוד</x:v>
      </x:c>
      <x:c r="F3" s="18" t="n">
        <x:v>530</x:v>
      </x:c>
      <x:c r="G3" s="18" t="n">
        <x:v>258</x:v>
      </x:c>
      <x:c r="H3" s="19" t="n">
        <x:f>IFERROR(G3/F3,0)</x:f>
        <x:v>0.4867924528301887</x:v>
      </x:c>
      <x:c r="I3" s="18" t="n">
        <x:v>5</x:v>
      </x:c>
      <x:c r="J3" s="18" t="n">
        <x:v>253</x:v>
      </x:c>
      <x:c r="K3" s="18" t="n">
        <x:f>SUM(AM3,BF3,W3,AD3)</x:f>
        <x:v>98</x:v>
      </x:c>
      <x:c r="L3" s="18" t="n">
        <x:f>Q3+R3</x:f>
        <x:v>147</x:v>
      </x:c>
      <x:c r="M3" s="19" t="n">
        <x:f>IFERROR(K3/J3,0)</x:f>
        <x:v>0.38735177865612647</x:v>
      </x:c>
      <x:c r="N3" s="19" t="n">
        <x:f>IFERROR(L3/J3,0)</x:f>
        <x:v>0.5810276679841897</x:v>
      </x:c>
      <x:c r="O3" s="17" t="str">
        <x:f>IF(K3&gt;MAX(L3,S3),"קואליציית ההקמה 2022",IF(L3&gt;MAX(K3,S3),"אופוזיציה רחבה 2022","רשימות אחרות"))</x:f>
        <x:v>אופוזיציה רחבה 2022</x:v>
      </x:c>
      <x:c r="P3" s="17" t="str">
        <x:f>IF(AND(H3&lt;50%,N3&gt;50%),"כן","לא")</x:f>
        <x:v>כן</x:v>
      </x:c>
      <x:c r="Q3" s="18" t="n">
        <x:f>SUM(AV3,AJ3,AL3,T3,AN3)</x:f>
        <x:v>131</x:v>
      </x:c>
      <x:c r="R3" s="18" t="n">
        <x:f>SUM(Y3,AU3,X3)</x:f>
        <x:v>16</x:v>
      </x:c>
      <x:c r="S3" s="18" t="n">
        <x:f>J3-K3-L3</x:f>
        <x:v>8</x:v>
      </x:c>
      <x:c r="T3" s="18" t="n">
        <x:v>11</x:v>
      </x:c>
      <x:c r="U3" s="18" t="n">
        <x:v>1</x:v>
      </x:c>
      <x:c r="V3" s="18" t="n">
        <x:v>1</x:v>
      </x:c>
      <x:c r="W3" s="18" t="n">
        <x:v>0</x:v>
      </x:c>
      <x:c r="X3" s="18" t="n">
        <x:v>7</x:v>
      </x:c>
      <x:c r="Y3" s="18" t="n">
        <x:v>7</x:v>
      </x:c>
      <x:c r="Z3" s="18" t="n">
        <x:v>0</x:v>
      </x:c>
      <x:c r="AA3" s="18" t="n">
        <x:v>0</x:v>
      </x:c>
      <x:c r="AB3" s="18" t="n">
        <x:v>0</x:v>
      </x:c>
      <x:c r="AC3" s="18" t="n">
        <x:v>0</x:v>
      </x:c>
      <x:c r="AD3" s="18" t="n">
        <x:v>20</x:v>
      </x:c>
      <x:c r="AE3" s="18" t="n">
        <x:v>0</x:v>
      </x:c>
      <x:c r="AF3" s="18" t="n">
        <x:v>1</x:v>
      </x:c>
      <x:c r="AG3" s="18" t="n">
        <x:v>0</x:v>
      </x:c>
      <x:c r="AH3" s="18" t="n">
        <x:v>0</x:v>
      </x:c>
      <x:c r="AI3" s="18" t="n">
        <x:v>0</x:v>
      </x:c>
      <x:c r="AJ3" s="18" t="n">
        <x:v>13</x:v>
      </x:c>
      <x:c r="AK3" s="18" t="n">
        <x:v>0</x:v>
      </x:c>
      <x:c r="AL3" s="18" t="n">
        <x:v>47</x:v>
      </x:c>
      <x:c r="AM3" s="18" t="n">
        <x:v>73</x:v>
      </x:c>
      <x:c r="AN3" s="18" t="n">
        <x:v>2</x:v>
      </x:c>
      <x:c r="AO3" s="18" t="n">
        <x:v>0</x:v>
      </x:c>
      <x:c r="AP3" s="18" t="n">
        <x:v>0</x:v>
      </x:c>
      <x:c r="AQ3" s="18" t="n">
        <x:v>0</x:v>
      </x:c>
      <x:c r="AR3" s="18" t="n">
        <x:v>0</x:v>
      </x:c>
      <x:c r="AS3" s="18" t="n">
        <x:v>0</x:v>
      </x:c>
      <x:c r="AT3" s="18" t="n">
        <x:v>0</x:v>
      </x:c>
      <x:c r="AU3" s="18" t="n">
        <x:v>2</x:v>
      </x:c>
      <x:c r="AV3" s="18" t="n">
        <x:v>58</x:v>
      </x:c>
      <x:c r="AW3" s="18" t="n">
        <x:v>1</x:v>
      </x:c>
      <x:c r="AX3" s="18" t="n">
        <x:v>1</x:v>
      </x:c>
      <x:c r="AY3" s="18" t="n">
        <x:v>0</x:v>
      </x:c>
      <x:c r="AZ3" s="18" t="n">
        <x:v>0</x:v>
      </x:c>
      <x:c r="BA3" s="18" t="n">
        <x:v>0</x:v>
      </x:c>
      <x:c r="BB3" s="18" t="n">
        <x:v>0</x:v>
      </x:c>
      <x:c r="BC3" s="18" t="n">
        <x:v>0</x:v>
      </x:c>
      <x:c r="BD3" s="18" t="n">
        <x:v>2</x:v>
      </x:c>
      <x:c r="BE3" s="18" t="n">
        <x:v>1</x:v>
      </x:c>
      <x:c r="BF3" s="18" t="n">
        <x:v>5</x:v>
      </x:c>
      <x:c r="BG3" s="18" t="n">
        <x:v>0</x:v>
      </x:c>
    </x:row>
    <x:row r="4">
      <x:c r="A4" s="29" t="str">
        <x:v>1.2</x:v>
      </x:c>
      <x:c r="B4" s="17" t="n">
        <x:v>2909</x:v>
      </x:c>
      <x:c r="C4" s="17" t="str">
        <x:v>מועדון גמלאים סכנין</x:v>
      </x:c>
      <x:c r="D4" s="17" t="str">
        <x:v>הזית 5</x:v>
      </x:c>
      <x:c r="E4" s="17" t="str">
        <x:v>גבוה מאוד</x:v>
      </x:c>
      <x:c r="F4" s="18" t="n">
        <x:v>530</x:v>
      </x:c>
      <x:c r="G4" s="18" t="n">
        <x:v>270</x:v>
      </x:c>
      <x:c r="H4" s="19" t="n">
        <x:f>IFERROR(G4/F4,0)</x:f>
        <x:v>0.5094339622641509</x:v>
      </x:c>
      <x:c r="I4" s="18" t="n">
        <x:v>3</x:v>
      </x:c>
      <x:c r="J4" s="18" t="n">
        <x:v>267</x:v>
      </x:c>
      <x:c r="K4" s="18" t="n">
        <x:f>SUM(AM4,BF4,W4,AD4)</x:f>
        <x:v>75</x:v>
      </x:c>
      <x:c r="L4" s="18" t="n">
        <x:f>Q4+R4</x:f>
        <x:v>183</x:v>
      </x:c>
      <x:c r="M4" s="19" t="n">
        <x:f>IFERROR(K4/J4,0)</x:f>
        <x:v>0.2808988764044944</x:v>
      </x:c>
      <x:c r="N4" s="19" t="n">
        <x:f>IFERROR(L4/J4,0)</x:f>
        <x:v>0.6853932584269663</x:v>
      </x:c>
      <x:c r="O4" s="17" t="str">
        <x:f>IF(K4&gt;MAX(L4,S4),"קואליציית ההקמה 2022",IF(L4&gt;MAX(K4,S4),"אופוזיציה רחבה 2022","רשימות אחרות"))</x:f>
        <x:v>אופוזיציה רחבה 2022</x:v>
      </x:c>
      <x:c r="P4" s="17" t="str">
        <x:f>IF(AND(H4&lt;50%,N4&gt;50%),"כן","לא")</x:f>
        <x:v>לא</x:v>
      </x:c>
      <x:c r="Q4" s="18" t="n">
        <x:f>SUM(AV4,AJ4,AL4,T4,AN4)</x:f>
        <x:v>151</x:v>
      </x:c>
      <x:c r="R4" s="18" t="n">
        <x:f>SUM(Y4,AU4,X4)</x:f>
        <x:v>32</x:v>
      </x:c>
      <x:c r="S4" s="18" t="n">
        <x:f>J4-K4-L4</x:f>
        <x:v>9</x:v>
      </x:c>
      <x:c r="T4" s="18" t="n">
        <x:v>11</x:v>
      </x:c>
      <x:c r="U4" s="18" t="n">
        <x:v>1</x:v>
      </x:c>
      <x:c r="V4" s="18" t="n">
        <x:v>1</x:v>
      </x:c>
      <x:c r="W4" s="18" t="n">
        <x:v>2</x:v>
      </x:c>
      <x:c r="X4" s="18" t="n">
        <x:v>21</x:v>
      </x:c>
      <x:c r="Y4" s="18" t="n">
        <x:v>11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18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18" t="n">
        <x:v>0</x:v>
      </x:c>
      <x:c r="AJ4" s="18" t="n">
        <x:v>19</x:v>
      </x:c>
      <x:c r="AK4" s="18" t="n">
        <x:v>0</x:v>
      </x:c>
      <x:c r="AL4" s="18" t="n">
        <x:v>48</x:v>
      </x:c>
      <x:c r="AM4" s="18" t="n">
        <x:v>52</x:v>
      </x:c>
      <x:c r="AN4" s="18" t="n">
        <x:v>5</x:v>
      </x:c>
      <x:c r="AO4" s="18" t="n">
        <x:v>0</x:v>
      </x:c>
      <x:c r="AP4" s="18" t="n">
        <x:v>0</x:v>
      </x:c>
      <x:c r="AQ4" s="18" t="n">
        <x:v>0</x:v>
      </x:c>
      <x:c r="AR4" s="18" t="n">
        <x:v>1</x:v>
      </x:c>
      <x:c r="AS4" s="18" t="n">
        <x:v>0</x:v>
      </x:c>
      <x:c r="AT4" s="18" t="n">
        <x:v>0</x:v>
      </x:c>
      <x:c r="AU4" s="18" t="n">
        <x:v>0</x:v>
      </x:c>
      <x:c r="AV4" s="18" t="n">
        <x:v>68</x:v>
      </x:c>
      <x:c r="AW4" s="18" t="n">
        <x:v>0</x:v>
      </x:c>
      <x:c r="AX4" s="18" t="n">
        <x:v>1</x:v>
      </x:c>
      <x:c r="AY4" s="18" t="n">
        <x:v>0</x:v>
      </x:c>
      <x:c r="AZ4" s="18" t="n">
        <x:v>0</x:v>
      </x:c>
      <x:c r="BA4" s="18" t="n">
        <x:v>0</x:v>
      </x:c>
      <x:c r="BB4" s="18" t="n">
        <x:v>0</x:v>
      </x:c>
      <x:c r="BC4" s="18" t="n">
        <x:v>1</x:v>
      </x:c>
      <x:c r="BD4" s="18" t="n">
        <x:v>3</x:v>
      </x:c>
      <x:c r="BE4" s="18" t="n">
        <x:v>1</x:v>
      </x:c>
      <x:c r="BF4" s="18" t="n">
        <x:v>3</x:v>
      </x:c>
      <x:c r="BG4" s="18" t="n">
        <x:v>0</x:v>
      </x:c>
    </x:row>
    <x:row r="5">
      <x:c r="A5" s="29" t="str">
        <x:v>1.3</x:v>
      </x:c>
      <x:c r="B5" s="17" t="n">
        <x:v>2910</x:v>
      </x:c>
      <x:c r="C5" s="17" t="str">
        <x:v>מועדון גמלאים סכנין</x:v>
      </x:c>
      <x:c r="D5" s="17" t="str">
        <x:v>הזית 5</x:v>
      </x:c>
      <x:c r="E5" s="17" t="str">
        <x:v>גבוה מאוד</x:v>
      </x:c>
      <x:c r="F5" s="18" t="n">
        <x:v>530</x:v>
      </x:c>
      <x:c r="G5" s="18" t="n">
        <x:v>270</x:v>
      </x:c>
      <x:c r="H5" s="19" t="n">
        <x:f>IFERROR(G5/F5,0)</x:f>
        <x:v>0.5094339622641509</x:v>
      </x:c>
      <x:c r="I5" s="18" t="n">
        <x:v>0</x:v>
      </x:c>
      <x:c r="J5" s="18" t="n">
        <x:v>270</x:v>
      </x:c>
      <x:c r="K5" s="18" t="n">
        <x:f>SUM(AM5,BF5,W5,AD5)</x:f>
        <x:v>97</x:v>
      </x:c>
      <x:c r="L5" s="18" t="n">
        <x:f>Q5+R5</x:f>
        <x:v>159</x:v>
      </x:c>
      <x:c r="M5" s="19" t="n">
        <x:f>IFERROR(K5/J5,0)</x:f>
        <x:v>0.3592592592592593</x:v>
      </x:c>
      <x:c r="N5" s="19" t="n">
        <x:f>IFERROR(L5/J5,0)</x:f>
        <x:v>0.5888888888888889</x:v>
      </x:c>
      <x:c r="O5" s="17" t="str">
        <x:f>IF(K5&gt;MAX(L5,S5),"קואליציית ההקמה 2022",IF(L5&gt;MAX(K5,S5),"אופוזיציה רחבה 2022","רשימות אחרות"))</x:f>
        <x:v>אופוזיציה רחבה 2022</x:v>
      </x:c>
      <x:c r="P5" s="17" t="str">
        <x:f>IF(AND(H5&lt;50%,N5&gt;50%),"כן","לא")</x:f>
        <x:v>לא</x:v>
      </x:c>
      <x:c r="Q5" s="18" t="n">
        <x:f>SUM(AV5,AJ5,AL5,T5,AN5)</x:f>
        <x:v>126</x:v>
      </x:c>
      <x:c r="R5" s="18" t="n">
        <x:f>SUM(Y5,AU5,X5)</x:f>
        <x:v>33</x:v>
      </x:c>
      <x:c r="S5" s="18" t="n">
        <x:f>J5-K5-L5</x:f>
        <x:v>14</x:v>
      </x:c>
      <x:c r="T5" s="18" t="n">
        <x:v>17</x:v>
      </x:c>
      <x:c r="U5" s="18" t="n">
        <x:v>0</x:v>
      </x:c>
      <x:c r="V5" s="18" t="n">
        <x:v>3</x:v>
      </x:c>
      <x:c r="W5" s="18" t="n">
        <x:v>1</x:v>
      </x:c>
      <x:c r="X5" s="18" t="n">
        <x:v>11</x:v>
      </x:c>
      <x:c r="Y5" s="18" t="n">
        <x:v>20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29</x:v>
      </x:c>
      <x:c r="AE5" s="18" t="n">
        <x:v>1</x:v>
      </x:c>
      <x:c r="AF5" s="18" t="n">
        <x:v>2</x:v>
      </x:c>
      <x:c r="AG5" s="18" t="n">
        <x:v>0</x:v>
      </x:c>
      <x:c r="AH5" s="18" t="n">
        <x:v>0</x:v>
      </x:c>
      <x:c r="AI5" s="18" t="n">
        <x:v>0</x:v>
      </x:c>
      <x:c r="AJ5" s="18" t="n">
        <x:v>13</x:v>
      </x:c>
      <x:c r="AK5" s="18" t="n">
        <x:v>0</x:v>
      </x:c>
      <x:c r="AL5" s="18" t="n">
        <x:v>50</x:v>
      </x:c>
      <x:c r="AM5" s="18" t="n">
        <x:v>63</x:v>
      </x:c>
      <x:c r="AN5" s="18" t="n">
        <x:v>8</x:v>
      </x:c>
      <x:c r="AO5" s="18" t="n">
        <x:v>0</x:v>
      </x:c>
      <x:c r="AP5" s="18" t="n">
        <x:v>0</x:v>
      </x:c>
      <x:c r="AQ5" s="18" t="n">
        <x:v>2</x:v>
      </x:c>
      <x:c r="AR5" s="18" t="n">
        <x:v>1</x:v>
      </x:c>
      <x:c r="AS5" s="18" t="n">
        <x:v>1</x:v>
      </x:c>
      <x:c r="AT5" s="18" t="n">
        <x:v>0</x:v>
      </x:c>
      <x:c r="AU5" s="18" t="n">
        <x:v>2</x:v>
      </x:c>
      <x:c r="AV5" s="18" t="n">
        <x:v>38</x:v>
      </x:c>
      <x:c r="AW5" s="18" t="n">
        <x:v>1</x:v>
      </x:c>
      <x:c r="AX5" s="18" t="n">
        <x:v>0</x:v>
      </x:c>
      <x:c r="AY5" s="18" t="n">
        <x:v>0</x:v>
      </x:c>
      <x:c r="AZ5" s="18" t="n">
        <x:v>0</x:v>
      </x:c>
      <x:c r="BA5" s="18" t="n">
        <x:v>0</x:v>
      </x:c>
      <x:c r="BB5" s="18" t="n">
        <x:v>0</x:v>
      </x:c>
      <x:c r="BC5" s="18" t="n">
        <x:v>0</x:v>
      </x:c>
      <x:c r="BD5" s="18" t="n">
        <x:v>1</x:v>
      </x:c>
      <x:c r="BE5" s="18" t="n">
        <x:v>1</x:v>
      </x:c>
      <x:c r="BF5" s="18" t="n">
        <x:v>4</x:v>
      </x:c>
      <x:c r="BG5" s="18" t="n">
        <x:v>1</x:v>
      </x:c>
    </x:row>
    <x:row r="6">
      <x:c r="A6" s="29" t="str">
        <x:v>1.4</x:v>
      </x:c>
      <x:c r="B6" s="17" t="n">
        <x:v>2911</x:v>
      </x:c>
      <x:c r="C6" s="17" t="str">
        <x:v>בי"ס חטיבת בינים רעות</x:v>
      </x:c>
      <x:c r="D6" s="17" t="str">
        <x:v>נח"ל 2</x:v>
      </x:c>
      <x:c r="E6" s="17" t="str">
        <x:v>גבוה</x:v>
      </x:c>
      <x:c r="F6" s="18" t="n">
        <x:v>530</x:v>
      </x:c>
      <x:c r="G6" s="18" t="n">
        <x:v>248</x:v>
      </x:c>
      <x:c r="H6" s="19" t="n">
        <x:f>IFERROR(G6/F6,0)</x:f>
        <x:v>0.4679245283018868</x:v>
      </x:c>
      <x:c r="I6" s="18" t="n">
        <x:v>2</x:v>
      </x:c>
      <x:c r="J6" s="18" t="n">
        <x:v>246</x:v>
      </x:c>
      <x:c r="K6" s="18" t="n">
        <x:f>SUM(AM6,BF6,W6,AD6)</x:f>
        <x:v>75</x:v>
      </x:c>
      <x:c r="L6" s="18" t="n">
        <x:f>Q6+R6</x:f>
        <x:v>158</x:v>
      </x:c>
      <x:c r="M6" s="19" t="n">
        <x:f>IFERROR(K6/J6,0)</x:f>
        <x:v>0.3048780487804878</x:v>
      </x:c>
      <x:c r="N6" s="19" t="n">
        <x:f>IFERROR(L6/J6,0)</x:f>
        <x:v>0.6422764227642277</x:v>
      </x:c>
      <x:c r="O6" s="17" t="str">
        <x:f>IF(K6&gt;MAX(L6,S6),"קואליציית ההקמה 2022",IF(L6&gt;MAX(K6,S6),"אופוזיציה רחבה 2022","רשימות אחרות"))</x:f>
        <x:v>אופוזיציה רחבה 2022</x:v>
      </x:c>
      <x:c r="P6" s="17" t="str">
        <x:f>IF(AND(H6&lt;50%,N6&gt;50%),"כן","לא")</x:f>
        <x:v>כן</x:v>
      </x:c>
      <x:c r="Q6" s="18" t="n">
        <x:f>SUM(AV6,AJ6,AL6,T6,AN6)</x:f>
        <x:v>144</x:v>
      </x:c>
      <x:c r="R6" s="18" t="n">
        <x:f>SUM(Y6,AU6,X6)</x:f>
        <x:v>14</x:v>
      </x:c>
      <x:c r="S6" s="18" t="n">
        <x:f>J6-K6-L6</x:f>
        <x:v>13</x:v>
      </x:c>
      <x:c r="T6" s="18" t="n">
        <x:v>14</x:v>
      </x:c>
      <x:c r="U6" s="18" t="n">
        <x:v>3</x:v>
      </x:c>
      <x:c r="V6" s="18" t="n">
        <x:v>1</x:v>
      </x:c>
      <x:c r="W6" s="18" t="n">
        <x:v>0</x:v>
      </x:c>
      <x:c r="X6" s="18" t="n">
        <x:v>3</x:v>
      </x:c>
      <x:c r="Y6" s="18" t="n">
        <x:v>10</x:v>
      </x:c>
      <x:c r="Z6" s="18" t="n">
        <x:v>0</x:v>
      </x:c>
      <x:c r="AA6" s="18" t="n">
        <x:v>0</x:v>
      </x:c>
      <x:c r="AB6" s="18" t="n">
        <x:v>0</x:v>
      </x:c>
      <x:c r="AC6" s="18" t="n">
        <x:v>1</x:v>
      </x:c>
      <x:c r="AD6" s="18" t="n">
        <x:v>9</x:v>
      </x:c>
      <x:c r="AE6" s="18" t="n">
        <x:v>0</x:v>
      </x:c>
      <x:c r="AF6" s="18" t="n">
        <x:v>3</x:v>
      </x:c>
      <x:c r="AG6" s="18" t="n">
        <x:v>0</x:v>
      </x:c>
      <x:c r="AH6" s="18" t="n">
        <x:v>0</x:v>
      </x:c>
      <x:c r="AI6" s="18" t="n">
        <x:v>0</x:v>
      </x:c>
      <x:c r="AJ6" s="18" t="n">
        <x:v>15</x:v>
      </x:c>
      <x:c r="AK6" s="18" t="n">
        <x:v>0</x:v>
      </x:c>
      <x:c r="AL6" s="18" t="n">
        <x:v>53</x:v>
      </x:c>
      <x:c r="AM6" s="18" t="n">
        <x:v>64</x:v>
      </x:c>
      <x:c r="AN6" s="18" t="n">
        <x:v>12</x:v>
      </x:c>
      <x:c r="AO6" s="18" t="n">
        <x:v>0</x:v>
      </x:c>
      <x:c r="AP6" s="18" t="n">
        <x:v>0</x:v>
      </x:c>
      <x:c r="AQ6" s="18" t="n">
        <x:v>0</x:v>
      </x:c>
      <x:c r="AR6" s="18" t="n">
        <x:v>0</x:v>
      </x:c>
      <x:c r="AS6" s="18" t="n">
        <x:v>1</x:v>
      </x:c>
      <x:c r="AT6" s="18" t="n">
        <x:v>0</x:v>
      </x:c>
      <x:c r="AU6" s="18" t="n">
        <x:v>1</x:v>
      </x:c>
      <x:c r="AV6" s="18" t="n">
        <x:v>50</x:v>
      </x:c>
      <x:c r="AW6" s="18" t="n">
        <x:v>0</x:v>
      </x:c>
      <x:c r="AX6" s="18" t="n">
        <x:v>0</x:v>
      </x:c>
      <x:c r="AY6" s="18" t="n">
        <x:v>0</x:v>
      </x:c>
      <x:c r="AZ6" s="18" t="n">
        <x:v>1</x:v>
      </x:c>
      <x:c r="BA6" s="18" t="n">
        <x:v>0</x:v>
      </x:c>
      <x:c r="BB6" s="18" t="n">
        <x:v>0</x:v>
      </x:c>
      <x:c r="BC6" s="18" t="n">
        <x:v>0</x:v>
      </x:c>
      <x:c r="BD6" s="18" t="n">
        <x:v>2</x:v>
      </x:c>
      <x:c r="BE6" s="18" t="n">
        <x:v>1</x:v>
      </x:c>
      <x:c r="BF6" s="18" t="n">
        <x:v>2</x:v>
      </x:c>
      <x:c r="BG6" s="18" t="n">
        <x:v>0</x:v>
      </x:c>
    </x:row>
    <x:row r="7">
      <x:c r="A7" s="29" t="str">
        <x:v>2</x:v>
      </x:c>
      <x:c r="B7" s="17" t="n">
        <x:v>2812</x:v>
      </x:c>
      <x:c r="C7" s="17" t="str">
        <x:v>בי"ס טכנולוגי אורט הכרמל</x:v>
      </x:c>
      <x:c r="D7" s="17" t="str">
        <x:v>התשעים ושלוש 8</x:v>
      </x:c>
      <x:c r="E7" s="17" t="str">
        <x:v>גבוה מאוד</x:v>
      </x:c>
      <x:c r="F7" s="18" t="n">
        <x:v>549</x:v>
      </x:c>
      <x:c r="G7" s="18" t="n">
        <x:v>152</x:v>
      </x:c>
      <x:c r="H7" s="19" t="n">
        <x:f>IFERROR(G7/F7,0)</x:f>
        <x:v>0.2768670309653916</x:v>
      </x:c>
      <x:c r="I7" s="18" t="n">
        <x:v>1</x:v>
      </x:c>
      <x:c r="J7" s="18" t="n">
        <x:v>151</x:v>
      </x:c>
      <x:c r="K7" s="18" t="n">
        <x:f>SUM(AM7,BF7,W7,AD7)</x:f>
        <x:v>31</x:v>
      </x:c>
      <x:c r="L7" s="18" t="n">
        <x:f>Q7+R7</x:f>
        <x:v>114</x:v>
      </x:c>
      <x:c r="M7" s="19" t="n">
        <x:f>IFERROR(K7/J7,0)</x:f>
        <x:v>0.2052980132450331</x:v>
      </x:c>
      <x:c r="N7" s="19" t="n">
        <x:f>IFERROR(L7/J7,0)</x:f>
        <x:v>0.7549668874172185</x:v>
      </x:c>
      <x:c r="O7" s="17" t="str">
        <x:f>IF(K7&gt;MAX(L7,S7),"קואליציית ההקמה 2022",IF(L7&gt;MAX(K7,S7),"אופוזיציה רחבה 2022","רשימות אחרות"))</x:f>
        <x:v>אופוזיציה רחבה 2022</x:v>
      </x:c>
      <x:c r="P7" s="17" t="str">
        <x:f>IF(AND(H7&lt;50%,N7&gt;50%),"כן","לא")</x:f>
        <x:v>כן</x:v>
      </x:c>
      <x:c r="Q7" s="18" t="n">
        <x:f>SUM(AV7,AJ7,AL7,T7,AN7)</x:f>
        <x:v>56</x:v>
      </x:c>
      <x:c r="R7" s="18" t="n">
        <x:f>SUM(Y7,AU7,X7)</x:f>
        <x:v>58</x:v>
      </x:c>
      <x:c r="S7" s="18" t="n">
        <x:f>J7-K7-L7</x:f>
        <x:v>6</x:v>
      </x:c>
      <x:c r="T7" s="18" t="n">
        <x:v>14</x:v>
      </x:c>
      <x:c r="U7" s="18" t="n">
        <x:v>1</x:v>
      </x:c>
      <x:c r="V7" s="18" t="n">
        <x:v>0</x:v>
      </x:c>
      <x:c r="W7" s="18" t="n">
        <x:v>0</x:v>
      </x:c>
      <x:c r="X7" s="18" t="n">
        <x:v>22</x:v>
      </x:c>
      <x:c r="Y7" s="18" t="n">
        <x:v>31</x:v>
      </x:c>
      <x:c r="Z7" s="18" t="n">
        <x:v>0</x:v>
      </x:c>
      <x:c r="AA7" s="18" t="n">
        <x:v>0</x:v>
      </x:c>
      <x:c r="AB7" s="18" t="n">
        <x:v>0</x:v>
      </x:c>
      <x:c r="AC7" s="18" t="n">
        <x:v>0</x:v>
      </x:c>
      <x:c r="AD7" s="18" t="n">
        <x:v>5</x:v>
      </x:c>
      <x:c r="AE7" s="18" t="n">
        <x:v>0</x:v>
      </x:c>
      <x:c r="AF7" s="18" t="n">
        <x:v>1</x:v>
      </x:c>
      <x:c r="AG7" s="18" t="n">
        <x:v>0</x:v>
      </x:c>
      <x:c r="AH7" s="18" t="n">
        <x:v>0</x:v>
      </x:c>
      <x:c r="AI7" s="18" t="n">
        <x:v>0</x:v>
      </x:c>
      <x:c r="AJ7" s="18" t="n">
        <x:v>9</x:v>
      </x:c>
      <x:c r="AK7" s="18" t="n">
        <x:v>1</x:v>
      </x:c>
      <x:c r="AL7" s="18" t="n">
        <x:v>5</x:v>
      </x:c>
      <x:c r="AM7" s="18" t="n">
        <x:v>25</x:v>
      </x:c>
      <x:c r="AN7" s="18" t="n">
        <x:v>11</x:v>
      </x:c>
      <x:c r="AO7" s="18" t="n">
        <x:v>0</x:v>
      </x:c>
      <x:c r="AP7" s="18" t="n">
        <x:v>0</x:v>
      </x:c>
      <x:c r="AQ7" s="18" t="n">
        <x:v>0</x:v>
      </x:c>
      <x:c r="AR7" s="18" t="n">
        <x:v>0</x:v>
      </x:c>
      <x:c r="AS7" s="18" t="n">
        <x:v>1</x:v>
      </x:c>
      <x:c r="AT7" s="18" t="n">
        <x:v>0</x:v>
      </x:c>
      <x:c r="AU7" s="18" t="n">
        <x:v>5</x:v>
      </x:c>
      <x:c r="AV7" s="18" t="n">
        <x:v>17</x:v>
      </x:c>
      <x:c r="AW7" s="18" t="n">
        <x:v>0</x:v>
      </x:c>
      <x:c r="AX7" s="18" t="n">
        <x:v>0</x:v>
      </x:c>
      <x:c r="AY7" s="18" t="n">
        <x:v>1</x:v>
      </x:c>
      <x:c r="AZ7" s="18" t="n">
        <x:v>0</x:v>
      </x:c>
      <x:c r="BA7" s="18" t="n">
        <x:v>0</x:v>
      </x:c>
      <x:c r="BB7" s="18" t="n">
        <x:v>0</x:v>
      </x:c>
      <x:c r="BC7" s="18" t="n">
        <x:v>0</x:v>
      </x:c>
      <x:c r="BD7" s="18" t="n">
        <x:v>1</x:v>
      </x:c>
      <x:c r="BE7" s="18" t="n">
        <x:v>0</x:v>
      </x:c>
      <x:c r="BF7" s="18" t="n">
        <x:v>1</x:v>
      </x:c>
      <x:c r="BG7" s="18" t="n">
        <x:v>0</x:v>
      </x:c>
    </x:row>
    <x:row r="8">
      <x:c r="A8" s="29" t="str">
        <x:v>3</x:v>
      </x:c>
      <x:c r="B8" s="17" t="n">
        <x:v>3186</x:v>
      </x:c>
      <x:c r="C8" s="17" t="str">
        <x:v>בי"ס אהרן הרואה</x:v>
      </x:c>
      <x:c r="D8" s="17" t="str">
        <x:v>שד הרא"ה 10</x:v>
      </x:c>
      <x:c r="E8" s="17" t="str">
        <x:v>גבוה מאוד</x:v>
      </x:c>
      <x:c r="F8" s="18" t="n">
        <x:v>535</x:v>
      </x:c>
      <x:c r="G8" s="18" t="n">
        <x:v>415</x:v>
      </x:c>
      <x:c r="H8" s="19" t="n">
        <x:f>IFERROR(G8/F8,0)</x:f>
        <x:v>0.7757009345794392</x:v>
      </x:c>
      <x:c r="I8" s="18" t="n">
        <x:v>1</x:v>
      </x:c>
      <x:c r="J8" s="18" t="n">
        <x:v>414</x:v>
      </x:c>
      <x:c r="K8" s="18" t="n">
        <x:f>SUM(AM8,BF8,W8,AD8)</x:f>
        <x:v>323</x:v>
      </x:c>
      <x:c r="L8" s="18" t="n">
        <x:f>Q8+R8</x:f>
        <x:v>52</x:v>
      </x:c>
      <x:c r="M8" s="19" t="n">
        <x:f>IFERROR(K8/J8,0)</x:f>
        <x:v>0.7801932367149759</x:v>
      </x:c>
      <x:c r="N8" s="19" t="n">
        <x:f>IFERROR(L8/J8,0)</x:f>
        <x:v>0.12560386473429952</x:v>
      </x:c>
      <x:c r="O8" s="17" t="str">
        <x:f>IF(K8&gt;MAX(L8,S8),"קואליציית ההקמה 2022",IF(L8&gt;MAX(K8,S8),"אופוזיציה רחבה 2022","רשימות אחרות"))</x:f>
        <x:v>קואליציית ההקמה 2022</x:v>
      </x:c>
      <x:c r="P8" s="17" t="str">
        <x:f>IF(AND(H8&lt;50%,N8&gt;50%),"כן","לא")</x:f>
        <x:v>לא</x:v>
      </x:c>
      <x:c r="Q8" s="18" t="n">
        <x:f>SUM(AV8,AJ8,AL8,T8,AN8)</x:f>
        <x:v>52</x:v>
      </x:c>
      <x:c r="R8" s="18" t="n">
        <x:f>SUM(Y8,AU8,X8)</x:f>
        <x:v>0</x:v>
      </x:c>
      <x:c r="S8" s="18" t="n">
        <x:f>J8-K8-L8</x:f>
        <x:v>39</x:v>
      </x:c>
      <x:c r="T8" s="18" t="n">
        <x:v>4</x:v>
      </x:c>
      <x:c r="U8" s="18" t="n">
        <x:v>1</x:v>
      </x:c>
      <x:c r="V8" s="18" t="n">
        <x:v>35</x:v>
      </x:c>
      <x:c r="W8" s="18" t="n">
        <x:v>20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176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18" t="n">
        <x:v>0</x:v>
      </x:c>
      <x:c r="AJ8" s="18" t="n">
        <x:v>40</x:v>
      </x:c>
      <x:c r="AK8" s="18" t="n">
        <x:v>0</x:v>
      </x:c>
      <x:c r="AL8" s="18" t="n">
        <x:v>0</x:v>
      </x:c>
      <x:c r="AM8" s="18" t="n">
        <x:v>89</x:v>
      </x:c>
      <x:c r="AN8" s="18" t="n">
        <x:v>1</x:v>
      </x:c>
      <x:c r="AO8" s="18" t="n">
        <x:v>0</x:v>
      </x:c>
      <x:c r="AP8" s="18" t="n">
        <x:v>0</x:v>
      </x:c>
      <x:c r="AQ8" s="18" t="n">
        <x:v>0</x:v>
      </x:c>
      <x:c r="AR8" s="18" t="n">
        <x:v>0</x:v>
      </x:c>
      <x:c r="AS8" s="18" t="n">
        <x:v>0</x:v>
      </x:c>
      <x:c r="AT8" s="18" t="n">
        <x:v>0</x:v>
      </x:c>
      <x:c r="AU8" s="18" t="n">
        <x:v>0</x:v>
      </x:c>
      <x:c r="AV8" s="18" t="n">
        <x:v>7</x:v>
      </x:c>
      <x:c r="AW8" s="18" t="n">
        <x:v>0</x:v>
      </x:c>
      <x:c r="AX8" s="18" t="n">
        <x:v>1</x:v>
      </x:c>
      <x:c r="AY8" s="18" t="n">
        <x:v>0</x:v>
      </x:c>
      <x:c r="AZ8" s="18" t="n">
        <x:v>0</x:v>
      </x:c>
      <x:c r="BA8" s="18" t="n">
        <x:v>0</x:v>
      </x:c>
      <x:c r="BB8" s="18" t="n">
        <x:v>0</x:v>
      </x:c>
      <x:c r="BC8" s="18" t="n">
        <x:v>0</x:v>
      </x:c>
      <x:c r="BD8" s="18" t="n">
        <x:v>1</x:v>
      </x:c>
      <x:c r="BE8" s="18" t="n">
        <x:v>0</x:v>
      </x:c>
      <x:c r="BF8" s="18" t="n">
        <x:v>38</x:v>
      </x:c>
      <x:c r="BG8" s="18" t="n">
        <x:v>1</x:v>
      </x:c>
    </x:row>
    <x:row r="9">
      <x:c r="A9" s="29" t="str">
        <x:v>13</x:v>
      </x:c>
      <x:c r="B9" s="17" t="n">
        <x:v>3187</x:v>
      </x:c>
      <x:c r="C9" s="17" t="str">
        <x:v>בי"ס אהרן הרואה</x:v>
      </x:c>
      <x:c r="D9" s="17" t="str">
        <x:v>שד הרא"ה 10</x:v>
      </x:c>
      <x:c r="E9" s="17" t="str">
        <x:v>גבוה מאוד</x:v>
      </x:c>
      <x:c r="F9" s="18" t="n">
        <x:v>519</x:v>
      </x:c>
      <x:c r="G9" s="18" t="n">
        <x:v>371</x:v>
      </x:c>
      <x:c r="H9" s="19" t="n">
        <x:f>IFERROR(G9/F9,0)</x:f>
        <x:v>0.7148362235067437</x:v>
      </x:c>
      <x:c r="I9" s="18" t="n">
        <x:v>0</x:v>
      </x:c>
      <x:c r="J9" s="18" t="n">
        <x:v>371</x:v>
      </x:c>
      <x:c r="K9" s="18" t="n">
        <x:f>SUM(AM9,BF9,W9,AD9)</x:f>
        <x:v>311</x:v>
      </x:c>
      <x:c r="L9" s="18" t="n">
        <x:f>Q9+R9</x:f>
        <x:v>36</x:v>
      </x:c>
      <x:c r="M9" s="19" t="n">
        <x:f>IFERROR(K9/J9,0)</x:f>
        <x:v>0.8382749326145552</x:v>
      </x:c>
      <x:c r="N9" s="19" t="n">
        <x:f>IFERROR(L9/J9,0)</x:f>
        <x:v>0.09703504043126684</x:v>
      </x:c>
      <x:c r="O9" s="17" t="str">
        <x:f>IF(K9&gt;MAX(L9,S9),"קואליציית ההקמה 2022",IF(L9&gt;MAX(K9,S9),"אופוזיציה רחבה 2022","רשימות אחרות"))</x:f>
        <x:v>קואליציית ההקמה 2022</x:v>
      </x:c>
      <x:c r="P9" s="17" t="str">
        <x:f>IF(AND(H9&lt;50%,N9&gt;50%),"כן","לא")</x:f>
        <x:v>לא</x:v>
      </x:c>
      <x:c r="Q9" s="18" t="n">
        <x:f>SUM(AV9,AJ9,AL9,T9,AN9)</x:f>
        <x:v>36</x:v>
      </x:c>
      <x:c r="R9" s="18" t="n">
        <x:f>SUM(Y9,AU9,X9)</x:f>
        <x:v>0</x:v>
      </x:c>
      <x:c r="S9" s="18" t="n">
        <x:f>J9-K9-L9</x:f>
        <x:v>24</x:v>
      </x:c>
      <x:c r="T9" s="18" t="n">
        <x:v>3</x:v>
      </x:c>
      <x:c r="U9" s="18" t="n">
        <x:v>0</x:v>
      </x:c>
      <x:c r="V9" s="18" t="n">
        <x:v>23</x:v>
      </x:c>
      <x:c r="W9" s="18" t="n">
        <x:v>17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142</x:v>
      </x:c>
      <x:c r="AE9" s="18" t="n">
        <x:v>0</x:v>
      </x:c>
      <x:c r="AF9" s="18" t="n">
        <x:v>1</x:v>
      </x:c>
      <x:c r="AG9" s="18" t="n">
        <x:v>0</x:v>
      </x:c>
      <x:c r="AH9" s="18" t="n">
        <x:v>0</x:v>
      </x:c>
      <x:c r="AI9" s="18" t="n">
        <x:v>0</x:v>
      </x:c>
      <x:c r="AJ9" s="18" t="n">
        <x:v>21</x:v>
      </x:c>
      <x:c r="AK9" s="18" t="n">
        <x:v>0</x:v>
      </x:c>
      <x:c r="AL9" s="18" t="n">
        <x:v>1</x:v>
      </x:c>
      <x:c r="AM9" s="18" t="n">
        <x:v>111</x:v>
      </x:c>
      <x:c r="AN9" s="18" t="n">
        <x:v>0</x:v>
      </x:c>
      <x:c r="AO9" s="18" t="n">
        <x:v>0</x:v>
      </x:c>
      <x:c r="AP9" s="18" t="n">
        <x:v>0</x:v>
      </x:c>
      <x:c r="AQ9" s="18" t="n">
        <x:v>0</x:v>
      </x:c>
      <x:c r="AR9" s="18" t="n">
        <x:v>0</x:v>
      </x:c>
      <x:c r="AS9" s="18" t="n">
        <x:v>0</x:v>
      </x:c>
      <x:c r="AT9" s="18" t="n">
        <x:v>0</x:v>
      </x:c>
      <x:c r="AU9" s="18" t="n">
        <x:v>0</x:v>
      </x:c>
      <x:c r="AV9" s="18" t="n">
        <x:v>11</x:v>
      </x:c>
      <x:c r="AW9" s="18" t="n">
        <x:v>0</x:v>
      </x:c>
      <x:c r="AX9" s="18" t="n">
        <x:v>0</x:v>
      </x:c>
      <x:c r="AY9" s="18" t="n">
        <x:v>0</x:v>
      </x:c>
      <x:c r="AZ9" s="18" t="n">
        <x:v>0</x:v>
      </x:c>
      <x:c r="BA9" s="18" t="n">
        <x:v>0</x:v>
      </x:c>
      <x:c r="BB9" s="18" t="n">
        <x:v>0</x:v>
      </x:c>
      <x:c r="BC9" s="18" t="n">
        <x:v>0</x:v>
      </x:c>
      <x:c r="BD9" s="18" t="n">
        <x:v>0</x:v>
      </x:c>
      <x:c r="BE9" s="18" t="n">
        <x:v>0</x:v>
      </x:c>
      <x:c r="BF9" s="18" t="n">
        <x:v>41</x:v>
      </x:c>
      <x:c r="BG9" s="18" t="n">
        <x:v>0</x:v>
      </x:c>
    </x:row>
    <x:row r="10">
      <x:c r="A10" s="29" t="str">
        <x:v>14.1</x:v>
      </x:c>
      <x:c r="B10" s="17" t="n">
        <x:v>3188</x:v>
      </x:c>
      <x:c r="C10" s="17" t="str">
        <x:v>ישיבת פרחי אהרן</x:v>
      </x:c>
      <x:c r="D10" s="17" t="str">
        <x:v>שטרן יוסף 9</x:v>
      </x:c>
      <x:c r="E10" s="17" t="str">
        <x:v>גבוה מאוד</x:v>
      </x:c>
      <x:c r="F10" s="18" t="n">
        <x:v>687</x:v>
      </x:c>
      <x:c r="G10" s="18" t="n">
        <x:v>420</x:v>
      </x:c>
      <x:c r="H10" s="19" t="n">
        <x:f>IFERROR(G10/F10,0)</x:f>
        <x:v>0.611353711790393</x:v>
      </x:c>
      <x:c r="I10" s="18" t="n">
        <x:v>5</x:v>
      </x:c>
      <x:c r="J10" s="18" t="n">
        <x:v>415</x:v>
      </x:c>
      <x:c r="K10" s="18" t="n">
        <x:f>SUM(AM10,BF10,W10,AD10)</x:f>
        <x:v>360</x:v>
      </x:c>
      <x:c r="L10" s="18" t="n">
        <x:f>Q10+R10</x:f>
        <x:v>44</x:v>
      </x:c>
      <x:c r="M10" s="19" t="n">
        <x:f>IFERROR(K10/J10,0)</x:f>
        <x:v>0.8674698795180723</x:v>
      </x:c>
      <x:c r="N10" s="19" t="n">
        <x:f>IFERROR(L10/J10,0)</x:f>
        <x:v>0.10602409638554217</x:v>
      </x:c>
      <x:c r="O10" s="17" t="str">
        <x:f>IF(K10&gt;MAX(L10,S10),"קואליציית ההקמה 2022",IF(L10&gt;MAX(K10,S10),"אופוזיציה רחבה 2022","רשימות אחרות"))</x:f>
        <x:v>קואליציית ההקמה 2022</x:v>
      </x:c>
      <x:c r="P10" s="17" t="str">
        <x:f>IF(AND(H10&lt;50%,N10&gt;50%),"כן","לא")</x:f>
        <x:v>לא</x:v>
      </x:c>
      <x:c r="Q10" s="18" t="n">
        <x:f>SUM(AV10,AJ10,AL10,T10,AN10)</x:f>
        <x:v>44</x:v>
      </x:c>
      <x:c r="R10" s="18" t="n">
        <x:f>SUM(Y10,AU10,X10)</x:f>
        <x:v>0</x:v>
      </x:c>
      <x:c r="S10" s="18" t="n">
        <x:f>J10-K10-L10</x:f>
        <x:v>11</x:v>
      </x:c>
      <x:c r="T10" s="18" t="n">
        <x:v>3</x:v>
      </x:c>
      <x:c r="U10" s="18" t="n">
        <x:v>1</x:v>
      </x:c>
      <x:c r="V10" s="18" t="n">
        <x:v>4</x:v>
      </x:c>
      <x:c r="W10" s="18" t="n">
        <x:v>22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1</x:v>
      </x:c>
      <x:c r="AC10" s="18" t="n">
        <x:v>0</x:v>
      </x:c>
      <x:c r="AD10" s="18" t="n">
        <x:v>78</x:v>
      </x:c>
      <x:c r="AE10" s="18" t="n">
        <x:v>0</x:v>
      </x:c>
      <x:c r="AF10" s="18" t="n">
        <x:v>1</x:v>
      </x:c>
      <x:c r="AG10" s="18" t="n">
        <x:v>1</x:v>
      </x:c>
      <x:c r="AH10" s="18" t="n">
        <x:v>1</x:v>
      </x:c>
      <x:c r="AI10" s="18" t="n">
        <x:v>0</x:v>
      </x:c>
      <x:c r="AJ10" s="18" t="n">
        <x:v>24</x:v>
      </x:c>
      <x:c r="AK10" s="18" t="n">
        <x:v>0</x:v>
      </x:c>
      <x:c r="AL10" s="18" t="n">
        <x:v>9</x:v>
      </x:c>
      <x:c r="AM10" s="18" t="n">
        <x:v>140</x:v>
      </x:c>
      <x:c r="AN10" s="18" t="n">
        <x:v>1</x:v>
      </x:c>
      <x:c r="AO10" s="18" t="n">
        <x:v>0</x:v>
      </x:c>
      <x:c r="AP10" s="18" t="n">
        <x:v>0</x:v>
      </x:c>
      <x:c r="AQ10" s="18" t="n">
        <x:v>0</x:v>
      </x:c>
      <x:c r="AR10" s="18" t="n">
        <x:v>0</x:v>
      </x:c>
      <x:c r="AS10" s="18" t="n">
        <x:v>0</x:v>
      </x:c>
      <x:c r="AT10" s="18" t="n">
        <x:v>0</x:v>
      </x:c>
      <x:c r="AU10" s="18" t="n">
        <x:v>0</x:v>
      </x:c>
      <x:c r="AV10" s="18" t="n">
        <x:v>7</x:v>
      </x:c>
      <x:c r="AW10" s="18" t="n">
        <x:v>0</x:v>
      </x:c>
      <x:c r="AX10" s="18" t="n">
        <x:v>0</x:v>
      </x:c>
      <x:c r="AY10" s="18" t="n">
        <x:v>0</x:v>
      </x:c>
      <x:c r="AZ10" s="18" t="n">
        <x:v>0</x:v>
      </x:c>
      <x:c r="BA10" s="18" t="n">
        <x:v>0</x:v>
      </x:c>
      <x:c r="BB10" s="18" t="n">
        <x:v>0</x:v>
      </x:c>
      <x:c r="BC10" s="18" t="n">
        <x:v>0</x:v>
      </x:c>
      <x:c r="BD10" s="18" t="n">
        <x:v>1</x:v>
      </x:c>
      <x:c r="BE10" s="18" t="n">
        <x:v>0</x:v>
      </x:c>
      <x:c r="BF10" s="18" t="n">
        <x:v>120</x:v>
      </x:c>
      <x:c r="BG10" s="18" t="n">
        <x:v>1</x:v>
      </x:c>
    </x:row>
    <x:row r="11">
      <x:c r="A11" s="29" t="str">
        <x:v>14.2</x:v>
      </x:c>
      <x:c r="B11" s="17" t="n">
        <x:v>3189</x:v>
      </x:c>
      <x:c r="C11" s="17" t="str">
        <x:v>ישיבת פרחי אהרן</x:v>
      </x:c>
      <x:c r="D11" s="17" t="str">
        <x:v>שטרן יוסף 9</x:v>
      </x:c>
      <x:c r="E11" s="17" t="str">
        <x:v>גבוה מאוד</x:v>
      </x:c>
      <x:c r="F11" s="18" t="n">
        <x:v>687</x:v>
      </x:c>
      <x:c r="G11" s="18" t="n">
        <x:v>430</x:v>
      </x:c>
      <x:c r="H11" s="19" t="n">
        <x:f>IFERROR(G11/F11,0)</x:f>
        <x:v>0.6259097525473072</x:v>
      </x:c>
      <x:c r="I11" s="18" t="n">
        <x:v>3</x:v>
      </x:c>
      <x:c r="J11" s="18" t="n">
        <x:v>427</x:v>
      </x:c>
      <x:c r="K11" s="18" t="n">
        <x:f>SUM(AM11,BF11,W11,AD11)</x:f>
        <x:v>380</x:v>
      </x:c>
      <x:c r="L11" s="18" t="n">
        <x:f>Q11+R11</x:f>
        <x:v>42</x:v>
      </x:c>
      <x:c r="M11" s="19" t="n">
        <x:f>IFERROR(K11/J11,0)</x:f>
        <x:v>0.8899297423887588</x:v>
      </x:c>
      <x:c r="N11" s="19" t="n">
        <x:f>IFERROR(L11/J11,0)</x:f>
        <x:v>0.09836065573770492</x:v>
      </x:c>
      <x:c r="O11" s="17" t="str">
        <x:f>IF(K11&gt;MAX(L11,S11),"קואליציית ההקמה 2022",IF(L11&gt;MAX(K11,S11),"אופוזיציה רחבה 2022","רשימות אחרות"))</x:f>
        <x:v>קואליציית ההקמה 2022</x:v>
      </x:c>
      <x:c r="P11" s="17" t="str">
        <x:f>IF(AND(H11&lt;50%,N11&gt;50%),"כן","לא")</x:f>
        <x:v>לא</x:v>
      </x:c>
      <x:c r="Q11" s="18" t="n">
        <x:f>SUM(AV11,AJ11,AL11,T11,AN11)</x:f>
        <x:v>42</x:v>
      </x:c>
      <x:c r="R11" s="18" t="n">
        <x:f>SUM(Y11,AU11,X11)</x:f>
        <x:v>0</x:v>
      </x:c>
      <x:c r="S11" s="18" t="n">
        <x:f>J11-K11-L11</x:f>
        <x:v>5</x:v>
      </x:c>
      <x:c r="T11" s="18" t="n">
        <x:v>3</x:v>
      </x:c>
      <x:c r="U11" s="18" t="n">
        <x:v>0</x:v>
      </x:c>
      <x:c r="V11" s="18" t="n">
        <x:v>3</x:v>
      </x:c>
      <x:c r="W11" s="18" t="n">
        <x:v>17</x:v>
      </x:c>
      <x:c r="X11" s="18" t="n">
        <x:v>0</x:v>
      </x:c>
      <x:c r="Y11" s="18" t="n">
        <x:v>0</x:v>
      </x:c>
      <x:c r="Z11" s="18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114</x:v>
      </x:c>
      <x:c r="AE11" s="18" t="n">
        <x:v>0</x:v>
      </x:c>
      <x:c r="AF11" s="18" t="n">
        <x:v>0</x:v>
      </x:c>
      <x:c r="AG11" s="18" t="n">
        <x:v>0</x:v>
      </x:c>
      <x:c r="AH11" s="18" t="n">
        <x:v>0</x:v>
      </x:c>
      <x:c r="AI11" s="18" t="n">
        <x:v>0</x:v>
      </x:c>
      <x:c r="AJ11" s="18" t="n">
        <x:v>6</x:v>
      </x:c>
      <x:c r="AK11" s="18" t="n">
        <x:v>0</x:v>
      </x:c>
      <x:c r="AL11" s="18" t="n">
        <x:v>21</x:v>
      </x:c>
      <x:c r="AM11" s="18" t="n">
        <x:v>129</x:v>
      </x:c>
      <x:c r="AN11" s="18" t="n">
        <x:v>0</x:v>
      </x:c>
      <x:c r="AO11" s="18" t="n">
        <x:v>0</x:v>
      </x:c>
      <x:c r="AP11" s="18" t="n">
        <x:v>2</x:v>
      </x:c>
      <x:c r="AQ11" s="18" t="n">
        <x:v>0</x:v>
      </x:c>
      <x:c r="AR11" s="18" t="n">
        <x:v>0</x:v>
      </x:c>
      <x:c r="AS11" s="18" t="n">
        <x:v>0</x:v>
      </x:c>
      <x:c r="AT11" s="18" t="n">
        <x:v>0</x:v>
      </x:c>
      <x:c r="AU11" s="18" t="n">
        <x:v>0</x:v>
      </x:c>
      <x:c r="AV11" s="18" t="n">
        <x:v>12</x:v>
      </x:c>
      <x:c r="AW11" s="18" t="n">
        <x:v>0</x:v>
      </x:c>
      <x:c r="AX11" s="18" t="n">
        <x:v>0</x:v>
      </x:c>
      <x:c r="AY11" s="18" t="n">
        <x:v>0</x:v>
      </x:c>
      <x:c r="AZ11" s="18" t="n">
        <x:v>0</x:v>
      </x:c>
      <x:c r="BA11" s="18" t="n">
        <x:v>0</x:v>
      </x:c>
      <x:c r="BB11" s="18" t="n">
        <x:v>0</x:v>
      </x:c>
      <x:c r="BC11" s="18" t="n">
        <x:v>0</x:v>
      </x:c>
      <x:c r="BD11" s="18" t="n">
        <x:v>0</x:v>
      </x:c>
      <x:c r="BE11" s="18" t="n">
        <x:v>0</x:v>
      </x:c>
      <x:c r="BF11" s="18" t="n">
        <x:v>120</x:v>
      </x:c>
      <x:c r="BG11" s="18" t="n">
        <x:v>0</x:v>
      </x:c>
    </x:row>
    <x:row r="12">
      <x:c r="A12" s="29" t="str">
        <x:v>31</x:v>
      </x:c>
      <x:c r="B12" s="17" t="n">
        <x:v>3190</x:v>
      </x:c>
      <x:c r="C12" s="17" t="str">
        <x:v>בי"ס ממ'ד אהרון הרואה - בנים</x:v>
      </x:c>
      <x:c r="D12" s="17" t="str">
        <x:v>פרומר דב 15</x:v>
      </x:c>
      <x:c r="E12" s="17" t="str">
        <x:v>גבוה מאוד</x:v>
      </x:c>
      <x:c r="F12" s="18" t="n">
        <x:v>680</x:v>
      </x:c>
      <x:c r="G12" s="18" t="n">
        <x:v>529</x:v>
      </x:c>
      <x:c r="H12" s="19" t="n">
        <x:f>IFERROR(G12/F12,0)</x:f>
        <x:v>0.7779411764705882</x:v>
      </x:c>
      <x:c r="I12" s="18" t="n">
        <x:v>2</x:v>
      </x:c>
      <x:c r="J12" s="18" t="n">
        <x:v>527</x:v>
      </x:c>
      <x:c r="K12" s="18" t="n">
        <x:f>SUM(AM12,BF12,W12,AD12)</x:f>
        <x:v>478</x:v>
      </x:c>
      <x:c r="L12" s="18" t="n">
        <x:f>Q12+R12</x:f>
        <x:v>21</x:v>
      </x:c>
      <x:c r="M12" s="19" t="n">
        <x:f>IFERROR(K12/J12,0)</x:f>
        <x:v>0.9070208728652751</x:v>
      </x:c>
      <x:c r="N12" s="19" t="n">
        <x:f>IFERROR(L12/J12,0)</x:f>
        <x:v>0.03984819734345351</x:v>
      </x:c>
      <x:c r="O12" s="17" t="str">
        <x:f>IF(K12&gt;MAX(L12,S12),"קואליציית ההקמה 2022",IF(L12&gt;MAX(K12,S12),"אופוזיציה רחבה 2022","רשימות אחרות"))</x:f>
        <x:v>קואליציית ההקמה 2022</x:v>
      </x:c>
      <x:c r="P12" s="17" t="str">
        <x:f>IF(AND(H12&lt;50%,N12&gt;50%),"כן","לא")</x:f>
        <x:v>לא</x:v>
      </x:c>
      <x:c r="Q12" s="18" t="n">
        <x:f>SUM(AV12,AJ12,AL12,T12,AN12)</x:f>
        <x:v>21</x:v>
      </x:c>
      <x:c r="R12" s="18" t="n">
        <x:f>SUM(Y12,AU12,X12)</x:f>
        <x:v>0</x:v>
      </x:c>
      <x:c r="S12" s="18" t="n">
        <x:f>J12-K12-L12</x:f>
        <x:v>28</x:v>
      </x:c>
      <x:c r="T12" s="18" t="n">
        <x:v>0</x:v>
      </x:c>
      <x:c r="U12" s="18" t="n">
        <x:v>3</x:v>
      </x:c>
      <x:c r="V12" s="18" t="n">
        <x:v>18</x:v>
      </x:c>
      <x:c r="W12" s="18" t="n">
        <x:v>34</x:v>
      </x:c>
      <x:c r="X12" s="18" t="n">
        <x:v>0</x:v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167</x:v>
      </x:c>
      <x:c r="AE12" s="18" t="n">
        <x:v>0</x:v>
      </x:c>
      <x:c r="AF12" s="18" t="n">
        <x:v>1</x:v>
      </x:c>
      <x:c r="AG12" s="18" t="n">
        <x:v>0</x:v>
      </x:c>
      <x:c r="AH12" s="18" t="n">
        <x:v>0</x:v>
      </x:c>
      <x:c r="AI12" s="18" t="n">
        <x:v>0</x:v>
      </x:c>
      <x:c r="AJ12" s="18" t="n">
        <x:v>15</x:v>
      </x:c>
      <x:c r="AK12" s="18" t="n">
        <x:v>0</x:v>
      </x:c>
      <x:c r="AL12" s="18" t="n">
        <x:v>2</x:v>
      </x:c>
      <x:c r="AM12" s="18" t="n">
        <x:v>112</x:v>
      </x:c>
      <x:c r="AN12" s="18" t="n">
        <x:v>0</x:v>
      </x:c>
      <x:c r="AO12" s="18" t="n">
        <x:v>0</x:v>
      </x:c>
      <x:c r="AP12" s="18" t="n">
        <x:v>0</x:v>
      </x:c>
      <x:c r="AQ12" s="18" t="n">
        <x:v>0</x:v>
      </x:c>
      <x:c r="AR12" s="18" t="n">
        <x:v>1</x:v>
      </x:c>
      <x:c r="AS12" s="18" t="n">
        <x:v>0</x:v>
      </x:c>
      <x:c r="AT12" s="18" t="n">
        <x:v>0</x:v>
      </x:c>
      <x:c r="AU12" s="18" t="n">
        <x:v>0</x:v>
      </x:c>
      <x:c r="AV12" s="18" t="n">
        <x:v>4</x:v>
      </x:c>
      <x:c r="AW12" s="18" t="n">
        <x:v>0</x:v>
      </x:c>
      <x:c r="AX12" s="18" t="n">
        <x:v>1</x:v>
      </x:c>
      <x:c r="AY12" s="18" t="n">
        <x:v>0</x:v>
      </x:c>
      <x:c r="AZ12" s="18" t="n">
        <x:v>0</x:v>
      </x:c>
      <x:c r="BA12" s="18" t="n">
        <x:v>0</x:v>
      </x:c>
      <x:c r="BB12" s="18" t="n">
        <x:v>1</x:v>
      </x:c>
      <x:c r="BC12" s="18" t="n">
        <x:v>0</x:v>
      </x:c>
      <x:c r="BD12" s="18" t="n">
        <x:v>3</x:v>
      </x:c>
      <x:c r="BE12" s="18" t="n">
        <x:v>0</x:v>
      </x:c>
      <x:c r="BF12" s="18" t="n">
        <x:v>165</x:v>
      </x:c>
      <x:c r="BG12" s="18" t="n">
        <x:v>0</x:v>
      </x:c>
    </x:row>
    <x:row r="13">
      <x:c r="A13" s="29" t="str">
        <x:v>33</x:v>
      </x:c>
      <x:c r="B13" s="17" t="n">
        <x:v>3191</x:v>
      </x:c>
      <x:c r="C13" s="17" t="str">
        <x:v>בי"ס אהרן הרואה</x:v>
      </x:c>
      <x:c r="D13" s="17" t="str">
        <x:v>שד הרא"ה 10</x:v>
      </x:c>
      <x:c r="E13" s="17" t="str">
        <x:v>גבוה מאוד</x:v>
      </x:c>
      <x:c r="F13" s="18" t="n">
        <x:v>561</x:v>
      </x:c>
      <x:c r="G13" s="18" t="n">
        <x:v>419</x:v>
      </x:c>
      <x:c r="H13" s="19" t="n">
        <x:f>IFERROR(G13/F13,0)</x:f>
        <x:v>0.7468805704099821</x:v>
      </x:c>
      <x:c r="I13" s="18" t="n">
        <x:v>0</x:v>
      </x:c>
      <x:c r="J13" s="18" t="n">
        <x:v>419</x:v>
      </x:c>
      <x:c r="K13" s="18" t="n">
        <x:f>SUM(AM13,BF13,W13,AD13)</x:f>
        <x:v>344</x:v>
      </x:c>
      <x:c r="L13" s="18" t="n">
        <x:f>Q13+R13</x:f>
        <x:v>41</x:v>
      </x:c>
      <x:c r="M13" s="19" t="n">
        <x:f>IFERROR(K13/J13,0)</x:f>
        <x:v>0.8210023866348448</x:v>
      </x:c>
      <x:c r="N13" s="19" t="n">
        <x:f>IFERROR(L13/J13,0)</x:f>
        <x:v>0.09785202863961814</x:v>
      </x:c>
      <x:c r="O13" s="17" t="str">
        <x:f>IF(K13&gt;MAX(L13,S13),"קואליציית ההקמה 2022",IF(L13&gt;MAX(K13,S13),"אופוזיציה רחבה 2022","רשימות אחרות"))</x:f>
        <x:v>קואליציית ההקמה 2022</x:v>
      </x:c>
      <x:c r="P13" s="17" t="str">
        <x:f>IF(AND(H13&lt;50%,N13&gt;50%),"כן","לא")</x:f>
        <x:v>לא</x:v>
      </x:c>
      <x:c r="Q13" s="18" t="n">
        <x:f>SUM(AV13,AJ13,AL13,T13,AN13)</x:f>
        <x:v>41</x:v>
      </x:c>
      <x:c r="R13" s="18" t="n">
        <x:f>SUM(Y13,AU13,X13)</x:f>
        <x:v>0</x:v>
      </x:c>
      <x:c r="S13" s="18" t="n">
        <x:f>J13-K13-L13</x:f>
        <x:v>34</x:v>
      </x:c>
      <x:c r="T13" s="18" t="n">
        <x:v>2</x:v>
      </x:c>
      <x:c r="U13" s="18" t="n">
        <x:v>1</x:v>
      </x:c>
      <x:c r="V13" s="18" t="n">
        <x:v>32</x:v>
      </x:c>
      <x:c r="W13" s="18" t="n">
        <x:v>18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155</x:v>
      </x:c>
      <x:c r="AE13" s="18" t="n">
        <x:v>0</x:v>
      </x:c>
      <x:c r="AF13" s="18" t="n">
        <x:v>1</x:v>
      </x:c>
      <x:c r="AG13" s="18" t="n">
        <x:v>0</x:v>
      </x:c>
      <x:c r="AH13" s="18" t="n">
        <x:v>0</x:v>
      </x:c>
      <x:c r="AI13" s="18" t="n">
        <x:v>0</x:v>
      </x:c>
      <x:c r="AJ13" s="18" t="n">
        <x:v>32</x:v>
      </x:c>
      <x:c r="AK13" s="18" t="n">
        <x:v>0</x:v>
      </x:c>
      <x:c r="AL13" s="18" t="n">
        <x:v>0</x:v>
      </x:c>
      <x:c r="AM13" s="18" t="n">
        <x:v>107</x:v>
      </x:c>
      <x:c r="AN13" s="18" t="n">
        <x:v>0</x:v>
      </x:c>
      <x:c r="AO13" s="18" t="n">
        <x:v>0</x:v>
      </x:c>
      <x:c r="AP13" s="18" t="n">
        <x:v>0</x:v>
      </x:c>
      <x:c r="AQ13" s="18" t="n">
        <x:v>0</x:v>
      </x:c>
      <x:c r="AR13" s="18" t="n">
        <x:v>0</x:v>
      </x:c>
      <x:c r="AS13" s="18" t="n">
        <x:v>0</x:v>
      </x:c>
      <x:c r="AT13" s="18" t="n">
        <x:v>0</x:v>
      </x:c>
      <x:c r="AU13" s="18" t="n">
        <x:v>0</x:v>
      </x:c>
      <x:c r="AV13" s="18" t="n">
        <x:v>7</x:v>
      </x:c>
      <x:c r="AW13" s="18" t="n">
        <x:v>0</x:v>
      </x:c>
      <x:c r="AX13" s="18" t="n">
        <x:v>0</x:v>
      </x:c>
      <x:c r="AY13" s="18" t="n">
        <x:v>0</x:v>
      </x:c>
      <x:c r="AZ13" s="18" t="n">
        <x:v>0</x:v>
      </x:c>
      <x:c r="BA13" s="18" t="n">
        <x:v>0</x:v>
      </x:c>
      <x:c r="BB13" s="18" t="n">
        <x:v>0</x:v>
      </x:c>
      <x:c r="BC13" s="18" t="n">
        <x:v>0</x:v>
      </x:c>
      <x:c r="BD13" s="18" t="n">
        <x:v>0</x:v>
      </x:c>
      <x:c r="BE13" s="18" t="n">
        <x:v>0</x:v>
      </x:c>
      <x:c r="BF13" s="18" t="n">
        <x:v>64</x:v>
      </x:c>
      <x:c r="BG13" s="18" t="n">
        <x:v>0</x:v>
      </x:c>
    </x:row>
    <x:row r="14">
      <x:c r="A14" s="29" t="str">
        <x:v>34</x:v>
      </x:c>
      <x:c r="B14" s="17" t="n">
        <x:v>3192</x:v>
      </x:c>
      <x:c r="C14" s="17" t="str">
        <x:v>בי"ס ממ'ד אהרון הרואה - בנים</x:v>
      </x:c>
      <x:c r="D14" s="17" t="str">
        <x:v>פרומר דב 15</x:v>
      </x:c>
      <x:c r="E14" s="17" t="str">
        <x:v>גבוה מאוד</x:v>
      </x:c>
      <x:c r="F14" s="18" t="n">
        <x:v>576</x:v>
      </x:c>
      <x:c r="G14" s="18" t="n">
        <x:v>396</x:v>
      </x:c>
      <x:c r="H14" s="19" t="n">
        <x:f>IFERROR(G14/F14,0)</x:f>
        <x:v>0.6875</x:v>
      </x:c>
      <x:c r="I14" s="18" t="n">
        <x:v>2</x:v>
      </x:c>
      <x:c r="J14" s="18" t="n">
        <x:v>394</x:v>
      </x:c>
      <x:c r="K14" s="18" t="n">
        <x:f>SUM(AM14,BF14,W14,AD14)</x:f>
        <x:v>365</x:v>
      </x:c>
      <x:c r="L14" s="18" t="n">
        <x:f>Q14+R14</x:f>
        <x:v>21</x:v>
      </x:c>
      <x:c r="M14" s="19" t="n">
        <x:f>IFERROR(K14/J14,0)</x:f>
        <x:v>0.9263959390862944</x:v>
      </x:c>
      <x:c r="N14" s="19" t="n">
        <x:f>IFERROR(L14/J14,0)</x:f>
        <x:v>0.0532994923857868</x:v>
      </x:c>
      <x:c r="O14" s="17" t="str">
        <x:f>IF(K14&gt;MAX(L14,S14),"קואליציית ההקמה 2022",IF(L14&gt;MAX(K14,S14),"אופוזיציה רחבה 2022","רשימות אחרות"))</x:f>
        <x:v>קואליציית ההקמה 2022</x:v>
      </x:c>
      <x:c r="P14" s="17" t="str">
        <x:f>IF(AND(H14&lt;50%,N14&gt;50%),"כן","לא")</x:f>
        <x:v>לא</x:v>
      </x:c>
      <x:c r="Q14" s="18" t="n">
        <x:f>SUM(AV14,AJ14,AL14,T14,AN14)</x:f>
        <x:v>21</x:v>
      </x:c>
      <x:c r="R14" s="18" t="n">
        <x:f>SUM(Y14,AU14,X14)</x:f>
        <x:v>0</x:v>
      </x:c>
      <x:c r="S14" s="18" t="n">
        <x:f>J14-K14-L14</x:f>
        <x:v>8</x:v>
      </x:c>
      <x:c r="T14" s="18" t="n">
        <x:v>1</x:v>
      </x:c>
      <x:c r="U14" s="18" t="n">
        <x:v>0</x:v>
      </x:c>
      <x:c r="V14" s="18" t="n">
        <x:v>7</x:v>
      </x:c>
      <x:c r="W14" s="18" t="n">
        <x:v>28</x:v>
      </x:c>
      <x:c r="X14" s="18" t="n">
        <x:v>0</x:v>
      </x:c>
      <x:c r="Y14" s="18" t="n">
        <x:v>0</x:v>
      </x:c>
      <x:c r="Z14" s="18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119</x:v>
      </x:c>
      <x:c r="AE14" s="18" t="n">
        <x:v>0</x:v>
      </x:c>
      <x:c r="AF14" s="18" t="n">
        <x:v>0</x:v>
      </x:c>
      <x:c r="AG14" s="18" t="n">
        <x:v>0</x:v>
      </x:c>
      <x:c r="AH14" s="18" t="n">
        <x:v>0</x:v>
      </x:c>
      <x:c r="AI14" s="18" t="n">
        <x:v>0</x:v>
      </x:c>
      <x:c r="AJ14" s="18" t="n">
        <x:v>13</x:v>
      </x:c>
      <x:c r="AK14" s="18" t="n">
        <x:v>0</x:v>
      </x:c>
      <x:c r="AL14" s="18" t="n">
        <x:v>1</x:v>
      </x:c>
      <x:c r="AM14" s="18" t="n">
        <x:v>76</x:v>
      </x:c>
      <x:c r="AN14" s="18" t="n">
        <x:v>1</x:v>
      </x:c>
      <x:c r="AO14" s="18" t="n">
        <x:v>0</x:v>
      </x:c>
      <x:c r="AP14" s="18" t="n">
        <x:v>0</x:v>
      </x:c>
      <x:c r="AQ14" s="18" t="n">
        <x:v>0</x:v>
      </x:c>
      <x:c r="AR14" s="18" t="n">
        <x:v>0</x:v>
      </x:c>
      <x:c r="AS14" s="18" t="n">
        <x:v>0</x:v>
      </x:c>
      <x:c r="AT14" s="18" t="n">
        <x:v>0</x:v>
      </x:c>
      <x:c r="AU14" s="18" t="n">
        <x:v>0</x:v>
      </x:c>
      <x:c r="AV14" s="18" t="n">
        <x:v>5</x:v>
      </x:c>
      <x:c r="AW14" s="18" t="n">
        <x:v>0</x:v>
      </x:c>
      <x:c r="AX14" s="18" t="n">
        <x:v>1</x:v>
      </x:c>
      <x:c r="AY14" s="18" t="n">
        <x:v>0</x:v>
      </x:c>
      <x:c r="AZ14" s="18" t="n">
        <x:v>0</x:v>
      </x:c>
      <x:c r="BA14" s="18" t="n">
        <x:v>0</x:v>
      </x:c>
      <x:c r="BB14" s="18" t="n">
        <x:v>0</x:v>
      </x:c>
      <x:c r="BC14" s="18" t="n">
        <x:v>0</x:v>
      </x:c>
      <x:c r="BD14" s="18" t="n">
        <x:v>0</x:v>
      </x:c>
      <x:c r="BE14" s="18" t="n">
        <x:v>0</x:v>
      </x:c>
      <x:c r="BF14" s="18" t="n">
        <x:v>142</x:v>
      </x:c>
      <x:c r="BG14" s="18" t="n">
        <x:v>0</x:v>
      </x:c>
    </x:row>
    <x:row r="15">
      <x:c r="A15" s="29" t="str">
        <x:v>37.1</x:v>
      </x:c>
      <x:c r="B15" s="17" t="n">
        <x:v>3193</x:v>
      </x:c>
      <x:c r="C15" s="17" t="str">
        <x:v>חט"ב פרחי אהרון - עירוני ב'</x:v>
      </x:c>
      <x:c r="D15" s="17" t="str">
        <x:v>הים התיכון 2</x:v>
      </x:c>
      <x:c r="E15" s="17" t="str">
        <x:v>גבוה מאוד</x:v>
      </x:c>
      <x:c r="F15" s="18" t="n">
        <x:v>613</x:v>
      </x:c>
      <x:c r="G15" s="18" t="n">
        <x:v>490</x:v>
      </x:c>
      <x:c r="H15" s="19" t="n">
        <x:f>IFERROR(G15/F15,0)</x:f>
        <x:v>0.799347471451876</x:v>
      </x:c>
      <x:c r="I15" s="18" t="n">
        <x:v>1</x:v>
      </x:c>
      <x:c r="J15" s="18" t="n">
        <x:v>489</x:v>
      </x:c>
      <x:c r="K15" s="18" t="n">
        <x:f>SUM(AM15,BF15,W15,AD15)</x:f>
        <x:v>446</x:v>
      </x:c>
      <x:c r="L15" s="18" t="n">
        <x:f>Q15+R15</x:f>
        <x:v>35</x:v>
      </x:c>
      <x:c r="M15" s="19" t="n">
        <x:f>IFERROR(K15/J15,0)</x:f>
        <x:v>0.9120654396728016</x:v>
      </x:c>
      <x:c r="N15" s="19" t="n">
        <x:f>IFERROR(L15/J15,0)</x:f>
        <x:v>0.07157464212678936</x:v>
      </x:c>
      <x:c r="O15" s="17" t="str">
        <x:f>IF(K15&gt;MAX(L15,S15),"קואליציית ההקמה 2022",IF(L15&gt;MAX(K15,S15),"אופוזיציה רחבה 2022","רשימות אחרות"))</x:f>
        <x:v>קואליציית ההקמה 2022</x:v>
      </x:c>
      <x:c r="P15" s="17" t="str">
        <x:f>IF(AND(H15&lt;50%,N15&gt;50%),"כן","לא")</x:f>
        <x:v>לא</x:v>
      </x:c>
      <x:c r="Q15" s="18" t="n">
        <x:f>SUM(AV15,AJ15,AL15,T15,AN15)</x:f>
        <x:v>34</x:v>
      </x:c>
      <x:c r="R15" s="18" t="n">
        <x:f>SUM(Y15,AU15,X15)</x:f>
        <x:v>1</x:v>
      </x:c>
      <x:c r="S15" s="18" t="n">
        <x:f>J15-K15-L15</x:f>
        <x:v>8</x:v>
      </x:c>
      <x:c r="T15" s="18" t="n">
        <x:v>2</x:v>
      </x:c>
      <x:c r="U15" s="18" t="n">
        <x:v>1</x:v>
      </x:c>
      <x:c r="V15" s="18" t="n">
        <x:v>6</x:v>
      </x:c>
      <x:c r="W15" s="18" t="n">
        <x:v>16</x:v>
      </x:c>
      <x:c r="X15" s="18" t="n">
        <x:v>0</x:v>
      </x:c>
      <x:c r="Y15" s="18" t="n">
        <x:v>0</x:v>
      </x:c>
      <x:c r="Z15" s="18" t="n">
        <x:v>0</x:v>
      </x:c>
      <x:c r="AA15" s="18" t="n">
        <x:v>0</x:v>
      </x:c>
      <x:c r="AB15" s="18" t="n">
        <x:v>0</x:v>
      </x:c>
      <x:c r="AC15" s="18" t="n">
        <x:v>0</x:v>
      </x:c>
      <x:c r="AD15" s="18" t="n">
        <x:v>144</x:v>
      </x:c>
      <x:c r="AE15" s="18" t="n">
        <x:v>0</x:v>
      </x:c>
      <x:c r="AF15" s="18" t="n">
        <x:v>0</x:v>
      </x:c>
      <x:c r="AG15" s="18" t="n">
        <x:v>0</x:v>
      </x:c>
      <x:c r="AH15" s="18" t="n">
        <x:v>0</x:v>
      </x:c>
      <x:c r="AI15" s="18" t="n">
        <x:v>0</x:v>
      </x:c>
      <x:c r="AJ15" s="18" t="n">
        <x:v>19</x:v>
      </x:c>
      <x:c r="AK15" s="18" t="n">
        <x:v>0</x:v>
      </x:c>
      <x:c r="AL15" s="18" t="n">
        <x:v>9</x:v>
      </x:c>
      <x:c r="AM15" s="18" t="n">
        <x:v>121</x:v>
      </x:c>
      <x:c r="AN15" s="18" t="n">
        <x:v>0</x:v>
      </x:c>
      <x:c r="AO15" s="18" t="n">
        <x:v>0</x:v>
      </x:c>
      <x:c r="AP15" s="18" t="n">
        <x:v>0</x:v>
      </x:c>
      <x:c r="AQ15" s="18" t="n">
        <x:v>0</x:v>
      </x:c>
      <x:c r="AR15" s="18" t="n">
        <x:v>0</x:v>
      </x:c>
      <x:c r="AS15" s="18" t="n">
        <x:v>0</x:v>
      </x:c>
      <x:c r="AT15" s="18" t="n">
        <x:v>0</x:v>
      </x:c>
      <x:c r="AU15" s="18" t="n">
        <x:v>1</x:v>
      </x:c>
      <x:c r="AV15" s="18" t="n">
        <x:v>4</x:v>
      </x:c>
      <x:c r="AW15" s="18" t="n">
        <x:v>0</x:v>
      </x:c>
      <x:c r="AX15" s="18" t="n">
        <x:v>0</x:v>
      </x:c>
      <x:c r="AY15" s="18" t="n">
        <x:v>0</x:v>
      </x:c>
      <x:c r="AZ15" s="18" t="n">
        <x:v>0</x:v>
      </x:c>
      <x:c r="BA15" s="18" t="n">
        <x:v>0</x:v>
      </x:c>
      <x:c r="BB15" s="18" t="n">
        <x:v>0</x:v>
      </x:c>
      <x:c r="BC15" s="18" t="n">
        <x:v>0</x:v>
      </x:c>
      <x:c r="BD15" s="18" t="n">
        <x:v>0</x:v>
      </x:c>
      <x:c r="BE15" s="18" t="n">
        <x:v>0</x:v>
      </x:c>
      <x:c r="BF15" s="18" t="n">
        <x:v>165</x:v>
      </x:c>
      <x:c r="BG15" s="18" t="n">
        <x:v>1</x:v>
      </x:c>
    </x:row>
    <x:row r="16">
      <x:c r="A16" s="29" t="str">
        <x:v>37.2</x:v>
      </x:c>
      <x:c r="B16" s="17" t="n">
        <x:v>3194</x:v>
      </x:c>
      <x:c r="C16" s="17" t="str">
        <x:v>חט"ב פרחי אהרון - עירוני ב'</x:v>
      </x:c>
      <x:c r="D16" s="17" t="str">
        <x:v>הים התיכון 2</x:v>
      </x:c>
      <x:c r="E16" s="17" t="str">
        <x:v>גבוה מאוד</x:v>
      </x:c>
      <x:c r="F16" s="18" t="n">
        <x:v>612</x:v>
      </x:c>
      <x:c r="G16" s="18" t="n">
        <x:v>453</x:v>
      </x:c>
      <x:c r="H16" s="19" t="n">
        <x:f>IFERROR(G16/F16,0)</x:f>
        <x:v>0.7401960784313726</x:v>
      </x:c>
      <x:c r="I16" s="18" t="n">
        <x:v>3</x:v>
      </x:c>
      <x:c r="J16" s="18" t="n">
        <x:v>450</x:v>
      </x:c>
      <x:c r="K16" s="18" t="n">
        <x:f>SUM(AM16,BF16,W16,AD16)</x:f>
        <x:v>413</x:v>
      </x:c>
      <x:c r="L16" s="18" t="n">
        <x:f>Q16+R16</x:f>
        <x:v>22</x:v>
      </x:c>
      <x:c r="M16" s="19" t="n">
        <x:f>IFERROR(K16/J16,0)</x:f>
        <x:v>0.9177777777777778</x:v>
      </x:c>
      <x:c r="N16" s="19" t="n">
        <x:f>IFERROR(L16/J16,0)</x:f>
        <x:v>0.04888888888888889</x:v>
      </x:c>
      <x:c r="O16" s="17" t="str">
        <x:f>IF(K16&gt;MAX(L16,S16),"קואליציית ההקמה 2022",IF(L16&gt;MAX(K16,S16),"אופוזיציה רחבה 2022","רשימות אחרות"))</x:f>
        <x:v>קואליציית ההקמה 2022</x:v>
      </x:c>
      <x:c r="P16" s="17" t="str">
        <x:f>IF(AND(H16&lt;50%,N16&gt;50%),"כן","לא")</x:f>
        <x:v>לא</x:v>
      </x:c>
      <x:c r="Q16" s="18" t="n">
        <x:f>SUM(AV16,AJ16,AL16,T16,AN16)</x:f>
        <x:v>22</x:v>
      </x:c>
      <x:c r="R16" s="18" t="n">
        <x:f>SUM(Y16,AU16,X16)</x:f>
        <x:v>0</x:v>
      </x:c>
      <x:c r="S16" s="18" t="n">
        <x:f>J16-K16-L16</x:f>
        <x:v>15</x:v>
      </x:c>
      <x:c r="T16" s="18" t="n">
        <x:v>2</x:v>
      </x:c>
      <x:c r="U16" s="18" t="n">
        <x:v>1</x:v>
      </x:c>
      <x:c r="V16" s="18" t="n">
        <x:v>14</x:v>
      </x:c>
      <x:c r="W16" s="18" t="n">
        <x:v>26</x:v>
      </x:c>
      <x:c r="X16" s="18" t="n">
        <x:v>0</x:v>
      </x:c>
      <x:c r="Y16" s="18" t="n">
        <x:v>0</x:v>
      </x:c>
      <x:c r="Z16" s="18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149</x:v>
      </x:c>
      <x:c r="AE16" s="18" t="n">
        <x:v>0</x:v>
      </x:c>
      <x:c r="AF16" s="18" t="n">
        <x:v>0</x:v>
      </x:c>
      <x:c r="AG16" s="18" t="n">
        <x:v>0</x:v>
      </x:c>
      <x:c r="AH16" s="18" t="n">
        <x:v>0</x:v>
      </x:c>
      <x:c r="AI16" s="18" t="n">
        <x:v>0</x:v>
      </x:c>
      <x:c r="AJ16" s="18" t="n">
        <x:v>4</x:v>
      </x:c>
      <x:c r="AK16" s="18" t="n">
        <x:v>0</x:v>
      </x:c>
      <x:c r="AL16" s="18" t="n">
        <x:v>3</x:v>
      </x:c>
      <x:c r="AM16" s="18" t="n">
        <x:v>99</x:v>
      </x:c>
      <x:c r="AN16" s="18" t="n">
        <x:v>0</x:v>
      </x:c>
      <x:c r="AO16" s="18" t="n">
        <x:v>0</x:v>
      </x:c>
      <x:c r="AP16" s="18" t="n">
        <x:v>0</x:v>
      </x:c>
      <x:c r="AQ16" s="18" t="n">
        <x:v>0</x:v>
      </x:c>
      <x:c r="AR16" s="18" t="n">
        <x:v>0</x:v>
      </x:c>
      <x:c r="AS16" s="18" t="n">
        <x:v>0</x:v>
      </x:c>
      <x:c r="AT16" s="18" t="n">
        <x:v>0</x:v>
      </x:c>
      <x:c r="AU16" s="18" t="n">
        <x:v>0</x:v>
      </x:c>
      <x:c r="AV16" s="18" t="n">
        <x:v>13</x:v>
      </x:c>
      <x:c r="AW16" s="18" t="n">
        <x:v>0</x:v>
      </x:c>
      <x:c r="AX16" s="18" t="n">
        <x:v>0</x:v>
      </x:c>
      <x:c r="AY16" s="18" t="n">
        <x:v>0</x:v>
      </x:c>
      <x:c r="AZ16" s="18" t="n">
        <x:v>0</x:v>
      </x:c>
      <x:c r="BA16" s="18" t="n">
        <x:v>0</x:v>
      </x:c>
      <x:c r="BB16" s="18" t="n">
        <x:v>0</x:v>
      </x:c>
      <x:c r="BC16" s="18" t="n">
        <x:v>0</x:v>
      </x:c>
      <x:c r="BD16" s="18" t="n">
        <x:v>0</x:v>
      </x:c>
      <x:c r="BE16" s="18" t="n">
        <x:v>0</x:v>
      </x:c>
      <x:c r="BF16" s="18" t="n">
        <x:v>139</x:v>
      </x:c>
      <x:c r="BG16" s="18" t="n">
        <x:v>0</x:v>
      </x:c>
    </x:row>
    <x:row r="17">
      <x:c r="A17" s="29" t="str">
        <x:v>50</x:v>
      </x:c>
      <x:c r="B17" s="17" t="n">
        <x:v>2813</x:v>
      </x:c>
      <x:c r="C17" s="17" t="str">
        <x:v>בי"ס אחוה</x:v>
      </x:c>
      <x:c r="D17" s="17" t="str">
        <x:v>קיסריה 20</x:v>
      </x:c>
      <x:c r="E17" s="17" t="str">
        <x:v>גבוה מאוד</x:v>
      </x:c>
      <x:c r="F17" s="18" t="n">
        <x:v>514</x:v>
      </x:c>
      <x:c r="G17" s="18" t="n">
        <x:v>212</x:v>
      </x:c>
      <x:c r="H17" s="19" t="n">
        <x:f>IFERROR(G17/F17,0)</x:f>
        <x:v>0.41245136186770426</x:v>
      </x:c>
      <x:c r="I17" s="18" t="n">
        <x:v>6</x:v>
      </x:c>
      <x:c r="J17" s="18" t="n">
        <x:v>206</x:v>
      </x:c>
      <x:c r="K17" s="18" t="n">
        <x:f>SUM(AM17,BF17,W17,AD17)</x:f>
        <x:v>6</x:v>
      </x:c>
      <x:c r="L17" s="18" t="n">
        <x:f>Q17+R17</x:f>
        <x:v>196</x:v>
      </x:c>
      <x:c r="M17" s="19" t="n">
        <x:f>IFERROR(K17/J17,0)</x:f>
        <x:v>0.02912621359223301</x:v>
      </x:c>
      <x:c r="N17" s="19" t="n">
        <x:f>IFERROR(L17/J17,0)</x:f>
        <x:v>0.9514563106796117</x:v>
      </x:c>
      <x:c r="O17" s="17" t="str">
        <x:f>IF(K17&gt;MAX(L17,S17),"קואליציית ההקמה 2022",IF(L17&gt;MAX(K17,S17),"אופוזיציה רחבה 2022","רשימות אחרות"))</x:f>
        <x:v>אופוזיציה רחבה 2022</x:v>
      </x:c>
      <x:c r="P17" s="17" t="str">
        <x:f>IF(AND(H17&lt;50%,N17&gt;50%),"כן","לא")</x:f>
        <x:v>כן</x:v>
      </x:c>
      <x:c r="Q17" s="18" t="n">
        <x:f>SUM(AV17,AJ17,AL17,T17,AN17)</x:f>
        <x:v>21</x:v>
      </x:c>
      <x:c r="R17" s="18" t="n">
        <x:f>SUM(Y17,AU17,X17)</x:f>
        <x:v>175</x:v>
      </x:c>
      <x:c r="S17" s="18" t="n">
        <x:f>J17-K17-L17</x:f>
        <x:v>4</x:v>
      </x:c>
      <x:c r="T17" s="18" t="n">
        <x:v>0</x:v>
      </x:c>
      <x:c r="U17" s="18" t="n">
        <x:v>0</x:v>
      </x:c>
      <x:c r="V17" s="18" t="n">
        <x:v>0</x:v>
      </x:c>
      <x:c r="W17" s="18" t="n">
        <x:v>0</x:v>
      </x:c>
      <x:c r="X17" s="18" t="n">
        <x:v>39</x:v>
      </x:c>
      <x:c r="Y17" s="18" t="n">
        <x:v>118</x:v>
      </x:c>
      <x:c r="Z17" s="18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  <x:c r="AE17" s="18" t="n">
        <x:v>1</x:v>
      </x:c>
      <x:c r="AF17" s="18" t="n">
        <x:v>2</x:v>
      </x:c>
      <x:c r="AG17" s="18" t="n">
        <x:v>0</x:v>
      </x:c>
      <x:c r="AH17" s="18" t="n">
        <x:v>0</x:v>
      </x:c>
      <x:c r="AI17" s="18" t="n">
        <x:v>0</x:v>
      </x:c>
      <x:c r="AJ17" s="18" t="n">
        <x:v>1</x:v>
      </x:c>
      <x:c r="AK17" s="18" t="n">
        <x:v>0</x:v>
      </x:c>
      <x:c r="AL17" s="18" t="n">
        <x:v>0</x:v>
      </x:c>
      <x:c r="AM17" s="18" t="n">
        <x:v>6</x:v>
      </x:c>
      <x:c r="AN17" s="18" t="n">
        <x:v>10</x:v>
      </x:c>
      <x:c r="AO17" s="18" t="n">
        <x:v>0</x:v>
      </x:c>
      <x:c r="AP17" s="18" t="n">
        <x:v>0</x:v>
      </x:c>
      <x:c r="AQ17" s="18" t="n">
        <x:v>0</x:v>
      </x:c>
      <x:c r="AR17" s="18" t="n">
        <x:v>0</x:v>
      </x:c>
      <x:c r="AS17" s="18" t="n">
        <x:v>0</x:v>
      </x:c>
      <x:c r="AT17" s="18" t="n">
        <x:v>0</x:v>
      </x:c>
      <x:c r="AU17" s="18" t="n">
        <x:v>18</x:v>
      </x:c>
      <x:c r="AV17" s="18" t="n">
        <x:v>10</x:v>
      </x:c>
      <x:c r="AW17" s="18" t="n">
        <x:v>0</x:v>
      </x:c>
      <x:c r="AX17" s="18" t="n">
        <x:v>0</x:v>
      </x:c>
      <x:c r="AY17" s="18" t="n">
        <x:v>0</x:v>
      </x:c>
      <x:c r="AZ17" s="18" t="n">
        <x:v>0</x:v>
      </x:c>
      <x:c r="BA17" s="18" t="n">
        <x:v>0</x:v>
      </x:c>
      <x:c r="BB17" s="18" t="n">
        <x:v>0</x:v>
      </x:c>
      <x:c r="BC17" s="18" t="n">
        <x:v>1</x:v>
      </x:c>
      <x:c r="BD17" s="18" t="n">
        <x:v>0</x:v>
      </x:c>
      <x:c r="BE17" s="18" t="n">
        <x:v>0</x:v>
      </x:c>
      <x:c r="BF17" s="18" t="n">
        <x:v>0</x:v>
      </x:c>
      <x:c r="BG17" s="18" t="n">
        <x:v>0</x:v>
      </x:c>
    </x:row>
    <x:row r="18">
      <x:c r="A18" s="29" t="str">
        <x:v>52.1</x:v>
      </x:c>
      <x:c r="B18" s="17" t="n">
        <x:v>2838</x:v>
      </x:c>
      <x:c r="C18" s="17" t="str">
        <x:v>בי"ס שערי תורה</x:v>
      </x:c>
      <x:c r="D18" s="17" t="str">
        <x:v>הגבורים 17</x:v>
      </x:c>
      <x:c r="E18" s="17" t="str">
        <x:v>גבוה מאוד</x:v>
      </x:c>
      <x:c r="F18" s="18" t="n">
        <x:v>640</x:v>
      </x:c>
      <x:c r="G18" s="18" t="n">
        <x:v>261</x:v>
      </x:c>
      <x:c r="H18" s="19" t="n">
        <x:f>IFERROR(G18/F18,0)</x:f>
        <x:v>0.4078125</x:v>
      </x:c>
      <x:c r="I18" s="18" t="n">
        <x:v>5</x:v>
      </x:c>
      <x:c r="J18" s="18" t="n">
        <x:v>256</x:v>
      </x:c>
      <x:c r="K18" s="18" t="n">
        <x:f>SUM(AM18,BF18,W18,AD18)</x:f>
        <x:v>62</x:v>
      </x:c>
      <x:c r="L18" s="18" t="n">
        <x:f>Q18+R18</x:f>
        <x:v>191</x:v>
      </x:c>
      <x:c r="M18" s="19" t="n">
        <x:f>IFERROR(K18/J18,0)</x:f>
        <x:v>0.2421875</x:v>
      </x:c>
      <x:c r="N18" s="19" t="n">
        <x:f>IFERROR(L18/J18,0)</x:f>
        <x:v>0.74609375</x:v>
      </x:c>
      <x:c r="O18" s="17" t="str">
        <x:f>IF(K18&gt;MAX(L18,S18),"קואליציית ההקמה 2022",IF(L18&gt;MAX(K18,S18),"אופוזיציה רחבה 2022","רשימות אחרות"))</x:f>
        <x:v>אופוזיציה רחבה 2022</x:v>
      </x:c>
      <x:c r="P18" s="17" t="str">
        <x:f>IF(AND(H18&lt;50%,N18&gt;50%),"כן","לא")</x:f>
        <x:v>כן</x:v>
      </x:c>
      <x:c r="Q18" s="18" t="n">
        <x:f>SUM(AV18,AJ18,AL18,T18,AN18)</x:f>
        <x:v>41</x:v>
      </x:c>
      <x:c r="R18" s="18" t="n">
        <x:f>SUM(Y18,AU18,X18)</x:f>
        <x:v>150</x:v>
      </x:c>
      <x:c r="S18" s="18" t="n">
        <x:f>J18-K18-L18</x:f>
        <x:v>3</x:v>
      </x:c>
      <x:c r="T18" s="18" t="n">
        <x:v>5</x:v>
      </x:c>
      <x:c r="U18" s="18" t="n">
        <x:v>0</x:v>
      </x:c>
      <x:c r="V18" s="18" t="n">
        <x:v>0</x:v>
      </x:c>
      <x:c r="W18" s="18" t="n">
        <x:v>2</x:v>
      </x:c>
      <x:c r="X18" s="18" t="n">
        <x:v>36</x:v>
      </x:c>
      <x:c r="Y18" s="18" t="n">
        <x:v>78</x:v>
      </x:c>
      <x:c r="Z18" s="18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15</x:v>
      </x:c>
      <x:c r="AE18" s="18" t="n">
        <x:v>0</x:v>
      </x:c>
      <x:c r="AF18" s="18" t="n">
        <x:v>1</x:v>
      </x:c>
      <x:c r="AG18" s="18" t="n">
        <x:v>0</x:v>
      </x:c>
      <x:c r="AH18" s="18" t="n">
        <x:v>0</x:v>
      </x:c>
      <x:c r="AI18" s="18" t="n">
        <x:v>0</x:v>
      </x:c>
      <x:c r="AJ18" s="18" t="n">
        <x:v>5</x:v>
      </x:c>
      <x:c r="AK18" s="18" t="n">
        <x:v>0</x:v>
      </x:c>
      <x:c r="AL18" s="18" t="n">
        <x:v>11</x:v>
      </x:c>
      <x:c r="AM18" s="18" t="n">
        <x:v>42</x:v>
      </x:c>
      <x:c r="AN18" s="18" t="n">
        <x:v>3</x:v>
      </x:c>
      <x:c r="AO18" s="18" t="n">
        <x:v>0</x:v>
      </x:c>
      <x:c r="AP18" s="18" t="n">
        <x:v>1</x:v>
      </x:c>
      <x:c r="AQ18" s="18" t="n">
        <x:v>0</x:v>
      </x:c>
      <x:c r="AR18" s="18" t="n">
        <x:v>0</x:v>
      </x:c>
      <x:c r="AS18" s="18" t="n">
        <x:v>0</x:v>
      </x:c>
      <x:c r="AT18" s="18" t="n">
        <x:v>0</x:v>
      </x:c>
      <x:c r="AU18" s="18" t="n">
        <x:v>36</x:v>
      </x:c>
      <x:c r="AV18" s="18" t="n">
        <x:v>17</x:v>
      </x:c>
      <x:c r="AW18" s="18" t="n">
        <x:v>0</x:v>
      </x:c>
      <x:c r="AX18" s="18" t="n">
        <x:v>0</x:v>
      </x:c>
      <x:c r="AY18" s="18" t="n">
        <x:v>0</x:v>
      </x:c>
      <x:c r="AZ18" s="18" t="n">
        <x:v>0</x:v>
      </x:c>
      <x:c r="BA18" s="18" t="n">
        <x:v>0</x:v>
      </x:c>
      <x:c r="BB18" s="18" t="n">
        <x:v>0</x:v>
      </x:c>
      <x:c r="BC18" s="18" t="n">
        <x:v>0</x:v>
      </x:c>
      <x:c r="BD18" s="18" t="n">
        <x:v>0</x:v>
      </x:c>
      <x:c r="BE18" s="18" t="n">
        <x:v>0</x:v>
      </x:c>
      <x:c r="BF18" s="18" t="n">
        <x:v>3</x:v>
      </x:c>
      <x:c r="BG18" s="18" t="n">
        <x:v>1</x:v>
      </x:c>
    </x:row>
    <x:row r="19">
      <x:c r="A19" s="29" t="str">
        <x:v>52.2</x:v>
      </x:c>
      <x:c r="B19" s="17" t="n">
        <x:v>2839</x:v>
      </x:c>
      <x:c r="C19" s="17" t="str">
        <x:v>בי"ס שערי תורה</x:v>
      </x:c>
      <x:c r="D19" s="17" t="str">
        <x:v>הגבורים 17</x:v>
      </x:c>
      <x:c r="E19" s="17" t="str">
        <x:v>גבוה מאוד</x:v>
      </x:c>
      <x:c r="F19" s="18" t="n">
        <x:v>640</x:v>
      </x:c>
      <x:c r="G19" s="18" t="n">
        <x:v>202</x:v>
      </x:c>
      <x:c r="H19" s="19" t="n">
        <x:f>IFERROR(G19/F19,0)</x:f>
        <x:v>0.315625</x:v>
      </x:c>
      <x:c r="I19" s="18" t="n">
        <x:v>4</x:v>
      </x:c>
      <x:c r="J19" s="18" t="n">
        <x:v>198</x:v>
      </x:c>
      <x:c r="K19" s="18" t="n">
        <x:f>SUM(AM19,BF19,W19,AD19)</x:f>
        <x:v>26</x:v>
      </x:c>
      <x:c r="L19" s="18" t="n">
        <x:f>Q19+R19</x:f>
        <x:v>167</x:v>
      </x:c>
      <x:c r="M19" s="19" t="n">
        <x:f>IFERROR(K19/J19,0)</x:f>
        <x:v>0.13131313131313133</x:v>
      </x:c>
      <x:c r="N19" s="19" t="n">
        <x:f>IFERROR(L19/J19,0)</x:f>
        <x:v>0.8434343434343434</x:v>
      </x:c>
      <x:c r="O19" s="17" t="str">
        <x:f>IF(K19&gt;MAX(L19,S19),"קואליציית ההקמה 2022",IF(L19&gt;MAX(K19,S19),"אופוזיציה רחבה 2022","רשימות אחרות"))</x:f>
        <x:v>אופוזיציה רחבה 2022</x:v>
      </x:c>
      <x:c r="P19" s="17" t="str">
        <x:f>IF(AND(H19&lt;50%,N19&gt;50%),"כן","לא")</x:f>
        <x:v>כן</x:v>
      </x:c>
      <x:c r="Q19" s="18" t="n">
        <x:f>SUM(AV19,AJ19,AL19,T19,AN19)</x:f>
        <x:v>58</x:v>
      </x:c>
      <x:c r="R19" s="18" t="n">
        <x:f>SUM(Y19,AU19,X19)</x:f>
        <x:v>109</x:v>
      </x:c>
      <x:c r="S19" s="18" t="n">
        <x:f>J19-K19-L19</x:f>
        <x:v>5</x:v>
      </x:c>
      <x:c r="T19" s="18" t="n">
        <x:v>2</x:v>
      </x:c>
      <x:c r="U19" s="18" t="n">
        <x:v>0</x:v>
      </x:c>
      <x:c r="V19" s="18" t="n">
        <x:v>0</x:v>
      </x:c>
      <x:c r="W19" s="18" t="n">
        <x:v>2</x:v>
      </x:c>
      <x:c r="X19" s="18" t="n">
        <x:v>31</x:v>
      </x:c>
      <x:c r="Y19" s="18" t="n">
        <x:v>49</x:v>
      </x:c>
      <x:c r="Z19" s="18" t="n">
        <x:v>0</x:v>
      </x:c>
      <x:c r="AA19" s="18" t="n">
        <x:v>0</x:v>
      </x:c>
      <x:c r="AB19" s="18" t="n">
        <x:v>0</x:v>
      </x:c>
      <x:c r="AC19" s="18" t="n">
        <x:v>0</x:v>
      </x:c>
      <x:c r="AD19" s="18" t="n">
        <x:v>8</x:v>
      </x:c>
      <x:c r="AE19" s="18" t="n">
        <x:v>0</x:v>
      </x:c>
      <x:c r="AF19" s="18" t="n">
        <x:v>1</x:v>
      </x:c>
      <x:c r="AG19" s="18" t="n">
        <x:v>0</x:v>
      </x:c>
      <x:c r="AH19" s="18" t="n">
        <x:v>0</x:v>
      </x:c>
      <x:c r="AI19" s="18" t="n">
        <x:v>1</x:v>
      </x:c>
      <x:c r="AJ19" s="18" t="n">
        <x:v>6</x:v>
      </x:c>
      <x:c r="AK19" s="18" t="n">
        <x:v>0</x:v>
      </x:c>
      <x:c r="AL19" s="18" t="n">
        <x:v>28</x:v>
      </x:c>
      <x:c r="AM19" s="18" t="n">
        <x:v>14</x:v>
      </x:c>
      <x:c r="AN19" s="18" t="n">
        <x:v>7</x:v>
      </x:c>
      <x:c r="AO19" s="18" t="n">
        <x:v>0</x:v>
      </x:c>
      <x:c r="AP19" s="18" t="n">
        <x:v>0</x:v>
      </x:c>
      <x:c r="AQ19" s="18" t="n">
        <x:v>0</x:v>
      </x:c>
      <x:c r="AR19" s="18" t="n">
        <x:v>0</x:v>
      </x:c>
      <x:c r="AS19" s="18" t="n">
        <x:v>0</x:v>
      </x:c>
      <x:c r="AT19" s="18" t="n">
        <x:v>0</x:v>
      </x:c>
      <x:c r="AU19" s="18" t="n">
        <x:v>29</x:v>
      </x:c>
      <x:c r="AV19" s="18" t="n">
        <x:v>15</x:v>
      </x:c>
      <x:c r="AW19" s="18" t="n">
        <x:v>0</x:v>
      </x:c>
      <x:c r="AX19" s="18" t="n">
        <x:v>0</x:v>
      </x:c>
      <x:c r="AY19" s="18" t="n">
        <x:v>0</x:v>
      </x:c>
      <x:c r="AZ19" s="18" t="n">
        <x:v>1</x:v>
      </x:c>
      <x:c r="BA19" s="18" t="n">
        <x:v>0</x:v>
      </x:c>
      <x:c r="BB19" s="18" t="n">
        <x:v>1</x:v>
      </x:c>
      <x:c r="BC19" s="18" t="n">
        <x:v>0</x:v>
      </x:c>
      <x:c r="BD19" s="18" t="n">
        <x:v>1</x:v>
      </x:c>
      <x:c r="BE19" s="18" t="n">
        <x:v>0</x:v>
      </x:c>
      <x:c r="BF19" s="18" t="n">
        <x:v>2</x:v>
      </x:c>
      <x:c r="BG19" s="18" t="n">
        <x:v>0</x:v>
      </x:c>
    </x:row>
    <x:row r="20">
      <x:c r="A20" s="29" t="str">
        <x:v>52.3</x:v>
      </x:c>
      <x:c r="B20" s="17" t="n">
        <x:v>2840</x:v>
      </x:c>
      <x:c r="C20" s="17" t="str">
        <x:v>בי"ס שערי תורה</x:v>
      </x:c>
      <x:c r="D20" s="17" t="str">
        <x:v>הגבורים 17</x:v>
      </x:c>
      <x:c r="E20" s="17" t="str">
        <x:v>גבוה מאוד</x:v>
      </x:c>
      <x:c r="F20" s="18" t="n">
        <x:v>640</x:v>
      </x:c>
      <x:c r="G20" s="18" t="n">
        <x:v>186</x:v>
      </x:c>
      <x:c r="H20" s="19" t="n">
        <x:f>IFERROR(G20/F20,0)</x:f>
        <x:v>0.290625</x:v>
      </x:c>
      <x:c r="I20" s="18" t="n">
        <x:v>6</x:v>
      </x:c>
      <x:c r="J20" s="18" t="n">
        <x:v>180</x:v>
      </x:c>
      <x:c r="K20" s="18" t="n">
        <x:f>SUM(AM20,BF20,W20,AD20)</x:f>
        <x:v>43</x:v>
      </x:c>
      <x:c r="L20" s="18" t="n">
        <x:f>Q20+R20</x:f>
        <x:v>136</x:v>
      </x:c>
      <x:c r="M20" s="19" t="n">
        <x:f>IFERROR(K20/J20,0)</x:f>
        <x:v>0.2388888888888889</x:v>
      </x:c>
      <x:c r="N20" s="19" t="n">
        <x:f>IFERROR(L20/J20,0)</x:f>
        <x:v>0.7555555555555555</x:v>
      </x:c>
      <x:c r="O20" s="17" t="str">
        <x:f>IF(K20&gt;MAX(L20,S20),"קואליציית ההקמה 2022",IF(L20&gt;MAX(K20,S20),"אופוזיציה רחבה 2022","רשימות אחרות"))</x:f>
        <x:v>אופוזיציה רחבה 2022</x:v>
      </x:c>
      <x:c r="P20" s="17" t="str">
        <x:f>IF(AND(H20&lt;50%,N20&gt;50%),"כן","לא")</x:f>
        <x:v>כן</x:v>
      </x:c>
      <x:c r="Q20" s="18" t="n">
        <x:f>SUM(AV20,AJ20,AL20,T20,AN20)</x:f>
        <x:v>32</x:v>
      </x:c>
      <x:c r="R20" s="18" t="n">
        <x:f>SUM(Y20,AU20,X20)</x:f>
        <x:v>104</x:v>
      </x:c>
      <x:c r="S20" s="18" t="n">
        <x:f>J20-K20-L20</x:f>
        <x:v>1</x:v>
      </x:c>
      <x:c r="T20" s="18" t="n">
        <x:v>0</x:v>
      </x:c>
      <x:c r="U20" s="18" t="n">
        <x:v>0</x:v>
      </x:c>
      <x:c r="V20" s="18" t="n">
        <x:v>0</x:v>
      </x:c>
      <x:c r="W20" s="18" t="n">
        <x:v>7</x:v>
      </x:c>
      <x:c r="X20" s="18" t="n">
        <x:v>22</x:v>
      </x:c>
      <x:c r="Y20" s="18" t="n">
        <x:v>53</x:v>
      </x:c>
      <x:c r="Z20" s="18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3</x:v>
      </x:c>
      <x:c r="AE20" s="18" t="n">
        <x:v>0</x:v>
      </x:c>
      <x:c r="AF20" s="18" t="n">
        <x:v>0</x:v>
      </x:c>
      <x:c r="AG20" s="18" t="n">
        <x:v>1</x:v>
      </x:c>
      <x:c r="AH20" s="18" t="n">
        <x:v>0</x:v>
      </x:c>
      <x:c r="AI20" s="18" t="n">
        <x:v>0</x:v>
      </x:c>
      <x:c r="AJ20" s="18" t="n">
        <x:v>2</x:v>
      </x:c>
      <x:c r="AK20" s="18" t="n">
        <x:v>0</x:v>
      </x:c>
      <x:c r="AL20" s="18" t="n">
        <x:v>13</x:v>
      </x:c>
      <x:c r="AM20" s="18" t="n">
        <x:v>27</x:v>
      </x:c>
      <x:c r="AN20" s="18" t="n">
        <x:v>3</x:v>
      </x:c>
      <x:c r="AO20" s="18" t="n">
        <x:v>0</x:v>
      </x:c>
      <x:c r="AP20" s="18" t="n">
        <x:v>0</x:v>
      </x:c>
      <x:c r="AQ20" s="18" t="n">
        <x:v>0</x:v>
      </x:c>
      <x:c r="AR20" s="18" t="n">
        <x:v>0</x:v>
      </x:c>
      <x:c r="AS20" s="18" t="n">
        <x:v>0</x:v>
      </x:c>
      <x:c r="AT20" s="18" t="n">
        <x:v>0</x:v>
      </x:c>
      <x:c r="AU20" s="18" t="n">
        <x:v>29</x:v>
      </x:c>
      <x:c r="AV20" s="18" t="n">
        <x:v>14</x:v>
      </x:c>
      <x:c r="AW20" s="18" t="n">
        <x:v>0</x:v>
      </x:c>
      <x:c r="AX20" s="18" t="n">
        <x:v>0</x:v>
      </x:c>
      <x:c r="AY20" s="18" t="n">
        <x:v>0</x:v>
      </x:c>
      <x:c r="AZ20" s="18" t="n">
        <x:v>0</x:v>
      </x:c>
      <x:c r="BA20" s="18" t="n">
        <x:v>0</x:v>
      </x:c>
      <x:c r="BB20" s="18" t="n">
        <x:v>0</x:v>
      </x:c>
      <x:c r="BC20" s="18" t="n">
        <x:v>0</x:v>
      </x:c>
      <x:c r="BD20" s="18" t="n">
        <x:v>0</x:v>
      </x:c>
      <x:c r="BE20" s="18" t="n">
        <x:v>0</x:v>
      </x:c>
      <x:c r="BF20" s="18" t="n">
        <x:v>6</x:v>
      </x:c>
      <x:c r="BG20" s="18" t="n">
        <x:v>0</x:v>
      </x:c>
    </x:row>
    <x:row r="21">
      <x:c r="A21" s="29" t="str">
        <x:v>52.4</x:v>
      </x:c>
      <x:c r="B21" s="17" t="n">
        <x:v>2841</x:v>
      </x:c>
      <x:c r="C21" s="17" t="str">
        <x:v>בי"ס שערי תורה</x:v>
      </x:c>
      <x:c r="D21" s="17" t="str">
        <x:v>הגבורים 17</x:v>
      </x:c>
      <x:c r="E21" s="17" t="str">
        <x:v>גבוה מאוד</x:v>
      </x:c>
      <x:c r="F21" s="18" t="n">
        <x:v>640</x:v>
      </x:c>
      <x:c r="G21" s="18" t="n">
        <x:v>214</x:v>
      </x:c>
      <x:c r="H21" s="19" t="n">
        <x:f>IFERROR(G21/F21,0)</x:f>
        <x:v>0.334375</x:v>
      </x:c>
      <x:c r="I21" s="18" t="n">
        <x:v>2</x:v>
      </x:c>
      <x:c r="J21" s="18" t="n">
        <x:v>212</x:v>
      </x:c>
      <x:c r="K21" s="18" t="n">
        <x:f>SUM(AM21,BF21,W21,AD21)</x:f>
        <x:v>51</x:v>
      </x:c>
      <x:c r="L21" s="18" t="n">
        <x:f>Q21+R21</x:f>
        <x:v>157</x:v>
      </x:c>
      <x:c r="M21" s="19" t="n">
        <x:f>IFERROR(K21/J21,0)</x:f>
        <x:v>0.24056603773584906</x:v>
      </x:c>
      <x:c r="N21" s="19" t="n">
        <x:f>IFERROR(L21/J21,0)</x:f>
        <x:v>0.7405660377358491</x:v>
      </x:c>
      <x:c r="O21" s="17" t="str">
        <x:f>IF(K21&gt;MAX(L21,S21),"קואליציית ההקמה 2022",IF(L21&gt;MAX(K21,S21),"אופוזיציה רחבה 2022","רשימות אחרות"))</x:f>
        <x:v>אופוזיציה רחבה 2022</x:v>
      </x:c>
      <x:c r="P21" s="17" t="str">
        <x:f>IF(AND(H21&lt;50%,N21&gt;50%),"כן","לא")</x:f>
        <x:v>כן</x:v>
      </x:c>
      <x:c r="Q21" s="18" t="n">
        <x:f>SUM(AV21,AJ21,AL21,T21,AN21)</x:f>
        <x:v>70</x:v>
      </x:c>
      <x:c r="R21" s="18" t="n">
        <x:f>SUM(Y21,AU21,X21)</x:f>
        <x:v>87</x:v>
      </x:c>
      <x:c r="S21" s="18" t="n">
        <x:f>J21-K21-L21</x:f>
        <x:v>4</x:v>
      </x:c>
      <x:c r="T21" s="18" t="n">
        <x:v>3</x:v>
      </x:c>
      <x:c r="U21" s="18" t="n">
        <x:v>0</x:v>
      </x:c>
      <x:c r="V21" s="18" t="n">
        <x:v>0</x:v>
      </x:c>
      <x:c r="W21" s="18" t="n">
        <x:v>9</x:v>
      </x:c>
      <x:c r="X21" s="18" t="n">
        <x:v>17</x:v>
      </x:c>
      <x:c r="Y21" s="18" t="n">
        <x:v>48</x:v>
      </x:c>
      <x:c r="Z21" s="18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6</x:v>
      </x:c>
      <x:c r="AE21" s="18" t="n">
        <x:v>0</x:v>
      </x:c>
      <x:c r="AF21" s="18" t="n">
        <x:v>0</x:v>
      </x:c>
      <x:c r="AG21" s="18" t="n">
        <x:v>0</x:v>
      </x:c>
      <x:c r="AH21" s="18" t="n">
        <x:v>0</x:v>
      </x:c>
      <x:c r="AI21" s="18" t="n">
        <x:v>0</x:v>
      </x:c>
      <x:c r="AJ21" s="18" t="n">
        <x:v>7</x:v>
      </x:c>
      <x:c r="AK21" s="18" t="n">
        <x:v>0</x:v>
      </x:c>
      <x:c r="AL21" s="18" t="n">
        <x:v>26</x:v>
      </x:c>
      <x:c r="AM21" s="18" t="n">
        <x:v>35</x:v>
      </x:c>
      <x:c r="AN21" s="18" t="n">
        <x:v>3</x:v>
      </x:c>
      <x:c r="AO21" s="18" t="n">
        <x:v>0</x:v>
      </x:c>
      <x:c r="AP21" s="18" t="n">
        <x:v>0</x:v>
      </x:c>
      <x:c r="AQ21" s="18" t="n">
        <x:v>0</x:v>
      </x:c>
      <x:c r="AR21" s="18" t="n">
        <x:v>0</x:v>
      </x:c>
      <x:c r="AS21" s="18" t="n">
        <x:v>0</x:v>
      </x:c>
      <x:c r="AT21" s="18" t="n">
        <x:v>0</x:v>
      </x:c>
      <x:c r="AU21" s="18" t="n">
        <x:v>22</x:v>
      </x:c>
      <x:c r="AV21" s="18" t="n">
        <x:v>31</x:v>
      </x:c>
      <x:c r="AW21" s="18" t="n">
        <x:v>1</x:v>
      </x:c>
      <x:c r="AX21" s="18" t="n">
        <x:v>2</x:v>
      </x:c>
      <x:c r="AY21" s="18" t="n">
        <x:v>0</x:v>
      </x:c>
      <x:c r="AZ21" s="18" t="n">
        <x:v>0</x:v>
      </x:c>
      <x:c r="BA21" s="18" t="n">
        <x:v>0</x:v>
      </x:c>
      <x:c r="BB21" s="18" t="n">
        <x:v>0</x:v>
      </x:c>
      <x:c r="BC21" s="18" t="n">
        <x:v>0</x:v>
      </x:c>
      <x:c r="BD21" s="18" t="n">
        <x:v>1</x:v>
      </x:c>
      <x:c r="BE21" s="18" t="n">
        <x:v>0</x:v>
      </x:c>
      <x:c r="BF21" s="18" t="n">
        <x:v>1</x:v>
      </x:c>
      <x:c r="BG21" s="18" t="n">
        <x:v>0</x:v>
      </x:c>
    </x:row>
    <x:row r="22">
      <x:c r="A22" s="29" t="str">
        <x:v>58.1</x:v>
      </x:c>
      <x:c r="B22" s="17" t="n">
        <x:v>2856</x:v>
      </x:c>
      <x:c r="C22" s="17" t="str">
        <x:v>אגף חינוך של העירייה</x:v>
      </x:c>
      <x:c r="D22" s="17" t="str">
        <x:v>מרכוס הרב 9</x:v>
      </x:c>
      <x:c r="E22" s="17" t="str">
        <x:v>גבוה מאוד</x:v>
      </x:c>
      <x:c r="F22" s="18" t="n">
        <x:v>530</x:v>
      </x:c>
      <x:c r="G22" s="18" t="n">
        <x:v>181</x:v>
      </x:c>
      <x:c r="H22" s="19" t="n">
        <x:f>IFERROR(G22/F22,0)</x:f>
        <x:v>0.34150943396226413</x:v>
      </x:c>
      <x:c r="I22" s="18" t="n">
        <x:v>3</x:v>
      </x:c>
      <x:c r="J22" s="18" t="n">
        <x:v>178</x:v>
      </x:c>
      <x:c r="K22" s="18" t="n">
        <x:f>SUM(AM22,BF22,W22,AD22)</x:f>
        <x:v>37</x:v>
      </x:c>
      <x:c r="L22" s="18" t="n">
        <x:f>Q22+R22</x:f>
        <x:v>130</x:v>
      </x:c>
      <x:c r="M22" s="19" t="n">
        <x:f>IFERROR(K22/J22,0)</x:f>
        <x:v>0.20786516853932585</x:v>
      </x:c>
      <x:c r="N22" s="19" t="n">
        <x:f>IFERROR(L22/J22,0)</x:f>
        <x:v>0.7303370786516854</x:v>
      </x:c>
      <x:c r="O22" s="17" t="str">
        <x:f>IF(K22&gt;MAX(L22,S22),"קואליציית ההקמה 2022",IF(L22&gt;MAX(K22,S22),"אופוזיציה רחבה 2022","רשימות אחרות"))</x:f>
        <x:v>אופוזיציה רחבה 2022</x:v>
      </x:c>
      <x:c r="P22" s="17" t="str">
        <x:f>IF(AND(H22&lt;50%,N22&gt;50%),"כן","לא")</x:f>
        <x:v>כן</x:v>
      </x:c>
      <x:c r="Q22" s="18" t="n">
        <x:f>SUM(AV22,AJ22,AL22,T22,AN22)</x:f>
        <x:v>59</x:v>
      </x:c>
      <x:c r="R22" s="18" t="n">
        <x:f>SUM(Y22,AU22,X22)</x:f>
        <x:v>71</x:v>
      </x:c>
      <x:c r="S22" s="18" t="n">
        <x:f>J22-K22-L22</x:f>
        <x:v>11</x:v>
      </x:c>
      <x:c r="T22" s="18" t="n">
        <x:v>7</x:v>
      </x:c>
      <x:c r="U22" s="18" t="n">
        <x:v>2</x:v>
      </x:c>
      <x:c r="V22" s="18" t="n">
        <x:v>1</x:v>
      </x:c>
      <x:c r="W22" s="18" t="n">
        <x:v>1</x:v>
      </x:c>
      <x:c r="X22" s="18" t="n">
        <x:v>19</x:v>
      </x:c>
      <x:c r="Y22" s="18" t="n">
        <x:v>29</x:v>
      </x:c>
      <x:c r="Z22" s="18" t="n">
        <x:v>2</x:v>
      </x:c>
      <x:c r="AA22" s="18" t="n">
        <x:v>0</x:v>
      </x:c>
      <x:c r="AB22" s="18" t="n">
        <x:v>0</x:v>
      </x:c>
      <x:c r="AC22" s="18" t="n">
        <x:v>0</x:v>
      </x:c>
      <x:c r="AD22" s="18" t="n">
        <x:v>6</x:v>
      </x:c>
      <x:c r="AE22" s="18" t="n">
        <x:v>0</x:v>
      </x:c>
      <x:c r="AF22" s="18" t="n">
        <x:v>0</x:v>
      </x:c>
      <x:c r="AG22" s="18" t="n">
        <x:v>0</x:v>
      </x:c>
      <x:c r="AH22" s="18" t="n">
        <x:v>0</x:v>
      </x:c>
      <x:c r="AI22" s="18" t="n">
        <x:v>0</x:v>
      </x:c>
      <x:c r="AJ22" s="18" t="n">
        <x:v>6</x:v>
      </x:c>
      <x:c r="AK22" s="18" t="n">
        <x:v>3</x:v>
      </x:c>
      <x:c r="AL22" s="18" t="n">
        <x:v>10</x:v>
      </x:c>
      <x:c r="AM22" s="18" t="n">
        <x:v>23</x:v>
      </x:c>
      <x:c r="AN22" s="18" t="n">
        <x:v>10</x:v>
      </x:c>
      <x:c r="AO22" s="18" t="n">
        <x:v>0</x:v>
      </x:c>
      <x:c r="AP22" s="18" t="n">
        <x:v>0</x:v>
      </x:c>
      <x:c r="AQ22" s="18" t="n">
        <x:v>1</x:v>
      </x:c>
      <x:c r="AR22" s="18" t="n">
        <x:v>0</x:v>
      </x:c>
      <x:c r="AS22" s="18" t="n">
        <x:v>1</x:v>
      </x:c>
      <x:c r="AT22" s="18" t="n">
        <x:v>0</x:v>
      </x:c>
      <x:c r="AU22" s="18" t="n">
        <x:v>23</x:v>
      </x:c>
      <x:c r="AV22" s="18" t="n">
        <x:v>26</x:v>
      </x:c>
      <x:c r="AW22" s="18" t="n">
        <x:v>0</x:v>
      </x:c>
      <x:c r="AX22" s="18" t="n">
        <x:v>1</x:v>
      </x:c>
      <x:c r="AY22" s="18" t="n">
        <x:v>0</x:v>
      </x:c>
      <x:c r="AZ22" s="18" t="n">
        <x:v>0</x:v>
      </x:c>
      <x:c r="BA22" s="18" t="n">
        <x:v>0</x:v>
      </x:c>
      <x:c r="BB22" s="18" t="n">
        <x:v>0</x:v>
      </x:c>
      <x:c r="BC22" s="18" t="n">
        <x:v>0</x:v>
      </x:c>
      <x:c r="BD22" s="18" t="n">
        <x:v>0</x:v>
      </x:c>
      <x:c r="BE22" s="18" t="n">
        <x:v>0</x:v>
      </x:c>
      <x:c r="BF22" s="18" t="n">
        <x:v>7</x:v>
      </x:c>
      <x:c r="BG22" s="18" t="n">
        <x:v>0</x:v>
      </x:c>
    </x:row>
    <x:row r="23">
      <x:c r="A23" s="29" t="str">
        <x:v>58.2</x:v>
      </x:c>
      <x:c r="B23" s="17" t="n">
        <x:v>2857</x:v>
      </x:c>
      <x:c r="C23" s="17" t="str">
        <x:v>אגף חינוך של העירייה</x:v>
      </x:c>
      <x:c r="D23" s="17" t="str">
        <x:v>מרכוס הרב 9</x:v>
      </x:c>
      <x:c r="E23" s="17" t="str">
        <x:v>גבוה מאוד</x:v>
      </x:c>
      <x:c r="F23" s="18" t="n">
        <x:v>530</x:v>
      </x:c>
      <x:c r="G23" s="18" t="n">
        <x:v>169</x:v>
      </x:c>
      <x:c r="H23" s="19" t="n">
        <x:f>IFERROR(G23/F23,0)</x:f>
        <x:v>0.31886792452830187</x:v>
      </x:c>
      <x:c r="I23" s="18" t="n">
        <x:v>2</x:v>
      </x:c>
      <x:c r="J23" s="18" t="n">
        <x:v>167</x:v>
      </x:c>
      <x:c r="K23" s="18" t="n">
        <x:f>SUM(AM23,BF23,W23,AD23)</x:f>
        <x:v>35</x:v>
      </x:c>
      <x:c r="L23" s="18" t="n">
        <x:f>Q23+R23</x:f>
        <x:v>128</x:v>
      </x:c>
      <x:c r="M23" s="19" t="n">
        <x:f>IFERROR(K23/J23,0)</x:f>
        <x:v>0.20958083832335328</x:v>
      </x:c>
      <x:c r="N23" s="19" t="n">
        <x:f>IFERROR(L23/J23,0)</x:f>
        <x:v>0.7664670658682635</x:v>
      </x:c>
      <x:c r="O23" s="17" t="str">
        <x:f>IF(K23&gt;MAX(L23,S23),"קואליציית ההקמה 2022",IF(L23&gt;MAX(K23,S23),"אופוזיציה רחבה 2022","רשימות אחרות"))</x:f>
        <x:v>אופוזיציה רחבה 2022</x:v>
      </x:c>
      <x:c r="P23" s="17" t="str">
        <x:f>IF(AND(H23&lt;50%,N23&gt;50%),"כן","לא")</x:f>
        <x:v>כן</x:v>
      </x:c>
      <x:c r="Q23" s="18" t="n">
        <x:f>SUM(AV23,AJ23,AL23,T23,AN23)</x:f>
        <x:v>79</x:v>
      </x:c>
      <x:c r="R23" s="18" t="n">
        <x:f>SUM(Y23,AU23,X23)</x:f>
        <x:v>49</x:v>
      </x:c>
      <x:c r="S23" s="18" t="n">
        <x:f>J23-K23-L23</x:f>
        <x:v>4</x:v>
      </x:c>
      <x:c r="T23" s="18" t="n">
        <x:v>14</x:v>
      </x:c>
      <x:c r="U23" s="18" t="n">
        <x:v>0</x:v>
      </x:c>
      <x:c r="V23" s="18" t="n">
        <x:v>0</x:v>
      </x:c>
      <x:c r="W23" s="18" t="n">
        <x:v>0</x:v>
      </x:c>
      <x:c r="X23" s="18" t="n">
        <x:v>14</x:v>
      </x:c>
      <x:c r="Y23" s="18" t="n">
        <x:v>22</x:v>
      </x:c>
      <x:c r="Z23" s="18" t="n">
        <x:v>0</x:v>
      </x:c>
      <x:c r="AA23" s="18" t="n">
        <x:v>0</x:v>
      </x:c>
      <x:c r="AB23" s="18" t="n">
        <x:v>0</x:v>
      </x:c>
      <x:c r="AC23" s="18" t="n">
        <x:v>0</x:v>
      </x:c>
      <x:c r="AD23" s="18" t="n">
        <x:v>9</x:v>
      </x:c>
      <x:c r="AE23" s="18" t="n">
        <x:v>1</x:v>
      </x:c>
      <x:c r="AF23" s="18" t="n">
        <x:v>1</x:v>
      </x:c>
      <x:c r="AG23" s="18" t="n">
        <x:v>0</x:v>
      </x:c>
      <x:c r="AH23" s="18" t="n">
        <x:v>0</x:v>
      </x:c>
      <x:c r="AI23" s="18" t="n">
        <x:v>0</x:v>
      </x:c>
      <x:c r="AJ23" s="18" t="n">
        <x:v>5</x:v>
      </x:c>
      <x:c r="AK23" s="18" t="n">
        <x:v>0</x:v>
      </x:c>
      <x:c r="AL23" s="18" t="n">
        <x:v>19</x:v>
      </x:c>
      <x:c r="AM23" s="18" t="n">
        <x:v>24</x:v>
      </x:c>
      <x:c r="AN23" s="18" t="n">
        <x:v>6</x:v>
      </x:c>
      <x:c r="AO23" s="18" t="n">
        <x:v>0</x:v>
      </x:c>
      <x:c r="AP23" s="18" t="n">
        <x:v>0</x:v>
      </x:c>
      <x:c r="AQ23" s="18" t="n">
        <x:v>0</x:v>
      </x:c>
      <x:c r="AR23" s="18" t="n">
        <x:v>0</x:v>
      </x:c>
      <x:c r="AS23" s="18" t="n">
        <x:v>0</x:v>
      </x:c>
      <x:c r="AT23" s="18" t="n">
        <x:v>0</x:v>
      </x:c>
      <x:c r="AU23" s="18" t="n">
        <x:v>13</x:v>
      </x:c>
      <x:c r="AV23" s="18" t="n">
        <x:v>35</x:v>
      </x:c>
      <x:c r="AW23" s="18" t="n">
        <x:v>0</x:v>
      </x:c>
      <x:c r="AX23" s="18" t="n">
        <x:v>0</x:v>
      </x:c>
      <x:c r="AY23" s="18" t="n">
        <x:v>0</x:v>
      </x:c>
      <x:c r="AZ23" s="18" t="n">
        <x:v>1</x:v>
      </x:c>
      <x:c r="BA23" s="18" t="n">
        <x:v>0</x:v>
      </x:c>
      <x:c r="BB23" s="18" t="n">
        <x:v>0</x:v>
      </x:c>
      <x:c r="BC23" s="18" t="n">
        <x:v>0</x:v>
      </x:c>
      <x:c r="BD23" s="18" t="n">
        <x:v>1</x:v>
      </x:c>
      <x:c r="BE23" s="18" t="n">
        <x:v>0</x:v>
      </x:c>
      <x:c r="BF23" s="18" t="n">
        <x:v>2</x:v>
      </x:c>
      <x:c r="BG23" s="18" t="n">
        <x:v>0</x:v>
      </x:c>
    </x:row>
    <x:row r="24">
      <x:c r="A24" s="29" t="str">
        <x:v>71</x:v>
      </x:c>
      <x:c r="B24" s="17" t="n">
        <x:v>2912</x:v>
      </x:c>
      <x:c r="C24" s="17" t="str">
        <x:v>המכללה האקדמית ויצו</x:v>
      </x:c>
      <x:c r="D24" s="17" t="str">
        <x:v>הגנים 21</x:v>
      </x:c>
      <x:c r="E24" s="17" t="str">
        <x:v>גבוה מאוד</x:v>
      </x:c>
      <x:c r="F24" s="18" t="n">
        <x:v>688</x:v>
      </x:c>
      <x:c r="G24" s="18" t="n">
        <x:v>291</x:v>
      </x:c>
      <x:c r="H24" s="19" t="n">
        <x:f>IFERROR(G24/F24,0)</x:f>
        <x:v>0.42296511627906974</x:v>
      </x:c>
      <x:c r="I24" s="18" t="n">
        <x:v>2</x:v>
      </x:c>
      <x:c r="J24" s="18" t="n">
        <x:v>289</x:v>
      </x:c>
      <x:c r="K24" s="18" t="n">
        <x:f>SUM(AM24,BF24,W24,AD24)</x:f>
        <x:v>18</x:v>
      </x:c>
      <x:c r="L24" s="18" t="n">
        <x:f>Q24+R24</x:f>
        <x:v>265</x:v>
      </x:c>
      <x:c r="M24" s="19" t="n">
        <x:f>IFERROR(K24/J24,0)</x:f>
        <x:v>0.06228373702422145</x:v>
      </x:c>
      <x:c r="N24" s="19" t="n">
        <x:f>IFERROR(L24/J24,0)</x:f>
        <x:v>0.916955017301038</x:v>
      </x:c>
      <x:c r="O24" s="17" t="str">
        <x:f>IF(K24&gt;MAX(L24,S24),"קואליציית ההקמה 2022",IF(L24&gt;MAX(K24,S24),"אופוזיציה רחבה 2022","רשימות אחרות"))</x:f>
        <x:v>אופוזיציה רחבה 2022</x:v>
      </x:c>
      <x:c r="P24" s="17" t="str">
        <x:f>IF(AND(H24&lt;50%,N24&gt;50%),"כן","לא")</x:f>
        <x:v>כן</x:v>
      </x:c>
      <x:c r="Q24" s="18" t="n">
        <x:f>SUM(AV24,AJ24,AL24,T24,AN24)</x:f>
        <x:v>67</x:v>
      </x:c>
      <x:c r="R24" s="18" t="n">
        <x:f>SUM(Y24,AU24,X24)</x:f>
        <x:v>198</x:v>
      </x:c>
      <x:c r="S24" s="18" t="n">
        <x:f>J24-K24-L24</x:f>
        <x:v>6</x:v>
      </x:c>
      <x:c r="T24" s="18" t="n">
        <x:v>7</x:v>
      </x:c>
      <x:c r="U24" s="18" t="n">
        <x:v>0</x:v>
      </x:c>
      <x:c r="V24" s="18" t="n">
        <x:v>0</x:v>
      </x:c>
      <x:c r="W24" s="18" t="n">
        <x:v>0</x:v>
      </x:c>
      <x:c r="X24" s="18" t="n">
        <x:v>61</x:v>
      </x:c>
      <x:c r="Y24" s="18" t="n">
        <x:v>120</x:v>
      </x:c>
      <x:c r="Z24" s="18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  <x:c r="AE24" s="18" t="n">
        <x:v>1</x:v>
      </x:c>
      <x:c r="AF24" s="18" t="n">
        <x:v>0</x:v>
      </x:c>
      <x:c r="AG24" s="18" t="n">
        <x:v>1</x:v>
      </x:c>
      <x:c r="AH24" s="18" t="n">
        <x:v>0</x:v>
      </x:c>
      <x:c r="AI24" s="18" t="n">
        <x:v>0</x:v>
      </x:c>
      <x:c r="AJ24" s="18" t="n">
        <x:v>9</x:v>
      </x:c>
      <x:c r="AK24" s="18" t="n">
        <x:v>0</x:v>
      </x:c>
      <x:c r="AL24" s="18" t="n">
        <x:v>3</x:v>
      </x:c>
      <x:c r="AM24" s="18" t="n">
        <x:v>17</x:v>
      </x:c>
      <x:c r="AN24" s="18" t="n">
        <x:v>17</x:v>
      </x:c>
      <x:c r="AO24" s="18" t="n">
        <x:v>0</x:v>
      </x:c>
      <x:c r="AP24" s="18" t="n">
        <x:v>0</x:v>
      </x:c>
      <x:c r="AQ24" s="18" t="n">
        <x:v>0</x:v>
      </x:c>
      <x:c r="AR24" s="18" t="n">
        <x:v>0</x:v>
      </x:c>
      <x:c r="AS24" s="18" t="n">
        <x:v>1</x:v>
      </x:c>
      <x:c r="AT24" s="18" t="n">
        <x:v>0</x:v>
      </x:c>
      <x:c r="AU24" s="18" t="n">
        <x:v>17</x:v>
      </x:c>
      <x:c r="AV24" s="18" t="n">
        <x:v>31</x:v>
      </x:c>
      <x:c r="AW24" s="18" t="n">
        <x:v>0</x:v>
      </x:c>
      <x:c r="AX24" s="18" t="n">
        <x:v>1</x:v>
      </x:c>
      <x:c r="AY24" s="18" t="n">
        <x:v>0</x:v>
      </x:c>
      <x:c r="AZ24" s="18" t="n">
        <x:v>0</x:v>
      </x:c>
      <x:c r="BA24" s="18" t="n">
        <x:v>0</x:v>
      </x:c>
      <x:c r="BB24" s="18" t="n">
        <x:v>1</x:v>
      </x:c>
      <x:c r="BC24" s="18" t="n">
        <x:v>0</x:v>
      </x:c>
      <x:c r="BD24" s="18" t="n">
        <x:v>1</x:v>
      </x:c>
      <x:c r="BE24" s="18" t="n">
        <x:v>0</x:v>
      </x:c>
      <x:c r="BF24" s="18" t="n">
        <x:v>1</x:v>
      </x:c>
      <x:c r="BG24" s="18" t="n">
        <x:v>0</x:v>
      </x:c>
    </x:row>
    <x:row r="25">
      <x:c r="A25" s="29" t="str">
        <x:v>72</x:v>
      </x:c>
      <x:c r="B25" s="17" t="n">
        <x:v>2913</x:v>
      </x:c>
      <x:c r="C25" s="17" t="str">
        <x:v>המכללה האקדמית ויצו</x:v>
      </x:c>
      <x:c r="D25" s="17" t="str">
        <x:v>הגנים 21</x:v>
      </x:c>
      <x:c r="E25" s="17" t="str">
        <x:v>גבוה מאוד</x:v>
      </x:c>
      <x:c r="F25" s="18" t="n">
        <x:v>624</x:v>
      </x:c>
      <x:c r="G25" s="18" t="n">
        <x:v>238</x:v>
      </x:c>
      <x:c r="H25" s="19" t="n">
        <x:f>IFERROR(G25/F25,0)</x:f>
        <x:v>0.3814102564102564</x:v>
      </x:c>
      <x:c r="I25" s="18" t="n">
        <x:v>3</x:v>
      </x:c>
      <x:c r="J25" s="18" t="n">
        <x:v>235</x:v>
      </x:c>
      <x:c r="K25" s="18" t="n">
        <x:f>SUM(AM25,BF25,W25,AD25)</x:f>
        <x:v>40</x:v>
      </x:c>
      <x:c r="L25" s="18" t="n">
        <x:f>Q25+R25</x:f>
        <x:v>190</x:v>
      </x:c>
      <x:c r="M25" s="19" t="n">
        <x:f>IFERROR(K25/J25,0)</x:f>
        <x:v>0.1702127659574468</x:v>
      </x:c>
      <x:c r="N25" s="19" t="n">
        <x:f>IFERROR(L25/J25,0)</x:f>
        <x:v>0.8085106382978723</x:v>
      </x:c>
      <x:c r="O25" s="17" t="str">
        <x:f>IF(K25&gt;MAX(L25,S25),"קואליציית ההקמה 2022",IF(L25&gt;MAX(K25,S25),"אופוזיציה רחבה 2022","רשימות אחרות"))</x:f>
        <x:v>אופוזיציה רחבה 2022</x:v>
      </x:c>
      <x:c r="P25" s="17" t="str">
        <x:f>IF(AND(H25&lt;50%,N25&gt;50%),"כן","לא")</x:f>
        <x:v>כן</x:v>
      </x:c>
      <x:c r="Q25" s="18" t="n">
        <x:f>SUM(AV25,AJ25,AL25,T25,AN25)</x:f>
        <x:v>88</x:v>
      </x:c>
      <x:c r="R25" s="18" t="n">
        <x:f>SUM(Y25,AU25,X25)</x:f>
        <x:v>102</x:v>
      </x:c>
      <x:c r="S25" s="18" t="n">
        <x:f>J25-K25-L25</x:f>
        <x:v>5</x:v>
      </x:c>
      <x:c r="T25" s="18" t="n">
        <x:v>8</x:v>
      </x:c>
      <x:c r="U25" s="18" t="n">
        <x:v>1</x:v>
      </x:c>
      <x:c r="V25" s="18" t="n">
        <x:v>0</x:v>
      </x:c>
      <x:c r="W25" s="18" t="n">
        <x:v>0</x:v>
      </x:c>
      <x:c r="X25" s="18" t="n">
        <x:v>34</x:v>
      </x:c>
      <x:c r="Y25" s="18" t="n">
        <x:v>61</x:v>
      </x:c>
      <x:c r="Z25" s="18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10</x:v>
      </x:c>
      <x:c r="AE25" s="18" t="n">
        <x:v>0</x:v>
      </x:c>
      <x:c r="AF25" s="18" t="n">
        <x:v>0</x:v>
      </x:c>
      <x:c r="AG25" s="18" t="n">
        <x:v>0</x:v>
      </x:c>
      <x:c r="AH25" s="18" t="n">
        <x:v>0</x:v>
      </x:c>
      <x:c r="AI25" s="18" t="n">
        <x:v>0</x:v>
      </x:c>
      <x:c r="AJ25" s="18" t="n">
        <x:v>7</x:v>
      </x:c>
      <x:c r="AK25" s="18" t="n">
        <x:v>1</x:v>
      </x:c>
      <x:c r="AL25" s="18" t="n">
        <x:v>11</x:v>
      </x:c>
      <x:c r="AM25" s="18" t="n">
        <x:v>28</x:v>
      </x:c>
      <x:c r="AN25" s="18" t="n">
        <x:v>13</x:v>
      </x:c>
      <x:c r="AO25" s="18" t="n">
        <x:v>0</x:v>
      </x:c>
      <x:c r="AP25" s="18" t="n">
        <x:v>0</x:v>
      </x:c>
      <x:c r="AQ25" s="18" t="n">
        <x:v>1</x:v>
      </x:c>
      <x:c r="AR25" s="18" t="n">
        <x:v>0</x:v>
      </x:c>
      <x:c r="AS25" s="18" t="n">
        <x:v>0</x:v>
      </x:c>
      <x:c r="AT25" s="18" t="n">
        <x:v>0</x:v>
      </x:c>
      <x:c r="AU25" s="18" t="n">
        <x:v>7</x:v>
      </x:c>
      <x:c r="AV25" s="18" t="n">
        <x:v>49</x:v>
      </x:c>
      <x:c r="AW25" s="18" t="n">
        <x:v>0</x:v>
      </x:c>
      <x:c r="AX25" s="18" t="n">
        <x:v>0</x:v>
      </x:c>
      <x:c r="AY25" s="18" t="n">
        <x:v>0</x:v>
      </x:c>
      <x:c r="AZ25" s="18" t="n">
        <x:v>1</x:v>
      </x:c>
      <x:c r="BA25" s="18" t="n">
        <x:v>0</x:v>
      </x:c>
      <x:c r="BB25" s="18" t="n">
        <x:v>0</x:v>
      </x:c>
      <x:c r="BC25" s="18" t="n">
        <x:v>0</x:v>
      </x:c>
      <x:c r="BD25" s="18" t="n">
        <x:v>0</x:v>
      </x:c>
      <x:c r="BE25" s="18" t="n">
        <x:v>0</x:v>
      </x:c>
      <x:c r="BF25" s="18" t="n">
        <x:v>2</x:v>
      </x:c>
      <x:c r="BG25" s="18" t="n">
        <x:v>1</x:v>
      </x:c>
    </x:row>
    <x:row r="26">
      <x:c r="A26" s="29" t="str">
        <x:v>74</x:v>
      </x:c>
      <x:c r="B26" s="17" t="n">
        <x:v>2814</x:v>
      </x:c>
      <x:c r="C26" s="17" t="str">
        <x:v>בי"ס טכנולוגי אורט הכרמל</x:v>
      </x:c>
      <x:c r="D26" s="17" t="str">
        <x:v>התשעים ושלוש 8</x:v>
      </x:c>
      <x:c r="E26" s="17" t="str">
        <x:v>גבוה מאוד</x:v>
      </x:c>
      <x:c r="F26" s="18" t="n">
        <x:v>574</x:v>
      </x:c>
      <x:c r="G26" s="18" t="n">
        <x:v>109</x:v>
      </x:c>
      <x:c r="H26" s="19" t="n">
        <x:f>IFERROR(G26/F26,0)</x:f>
        <x:v>0.18989547038327526</x:v>
      </x:c>
      <x:c r="I26" s="18" t="n">
        <x:v>0</x:v>
      </x:c>
      <x:c r="J26" s="18" t="n">
        <x:v>109</x:v>
      </x:c>
      <x:c r="K26" s="18" t="n">
        <x:f>SUM(AM26,BF26,W26,AD26)</x:f>
        <x:v>18</x:v>
      </x:c>
      <x:c r="L26" s="18" t="n">
        <x:f>Q26+R26</x:f>
        <x:v>86</x:v>
      </x:c>
      <x:c r="M26" s="19" t="n">
        <x:f>IFERROR(K26/J26,0)</x:f>
        <x:v>0.1651376146788991</x:v>
      </x:c>
      <x:c r="N26" s="19" t="n">
        <x:f>IFERROR(L26/J26,0)</x:f>
        <x:v>0.7889908256880734</x:v>
      </x:c>
      <x:c r="O26" s="17" t="str">
        <x:f>IF(K26&gt;MAX(L26,S26),"קואליציית ההקמה 2022",IF(L26&gt;MAX(K26,S26),"אופוזיציה רחבה 2022","רשימות אחרות"))</x:f>
        <x:v>אופוזיציה רחבה 2022</x:v>
      </x:c>
      <x:c r="P26" s="17" t="str">
        <x:f>IF(AND(H26&lt;50%,N26&gt;50%),"כן","לא")</x:f>
        <x:v>כן</x:v>
      </x:c>
      <x:c r="Q26" s="18" t="n">
        <x:f>SUM(AV26,AJ26,AL26,T26,AN26)</x:f>
        <x:v>73</x:v>
      </x:c>
      <x:c r="R26" s="18" t="n">
        <x:f>SUM(Y26,AU26,X26)</x:f>
        <x:v>13</x:v>
      </x:c>
      <x:c r="S26" s="18" t="n">
        <x:f>J26-K26-L26</x:f>
        <x:v>5</x:v>
      </x:c>
      <x:c r="T26" s="18" t="n">
        <x:v>10</x:v>
      </x:c>
      <x:c r="U26" s="18" t="n">
        <x:v>1</x:v>
      </x:c>
      <x:c r="V26" s="18" t="n">
        <x:v>0</x:v>
      </x:c>
      <x:c r="W26" s="18" t="n">
        <x:v>1</x:v>
      </x:c>
      <x:c r="X26" s="18" t="n">
        <x:v>5</x:v>
      </x:c>
      <x:c r="Y26" s="18" t="n">
        <x:v>7</x:v>
      </x:c>
      <x:c r="Z26" s="18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6</x:v>
      </x:c>
      <x:c r="AE26" s="18" t="n">
        <x:v>1</x:v>
      </x:c>
      <x:c r="AF26" s="18" t="n">
        <x:v>2</x:v>
      </x:c>
      <x:c r="AG26" s="18" t="n">
        <x:v>0</x:v>
      </x:c>
      <x:c r="AH26" s="18" t="n">
        <x:v>0</x:v>
      </x:c>
      <x:c r="AI26" s="18" t="n">
        <x:v>0</x:v>
      </x:c>
      <x:c r="AJ26" s="18" t="n">
        <x:v>15</x:v>
      </x:c>
      <x:c r="AK26" s="18" t="n">
        <x:v>0</x:v>
      </x:c>
      <x:c r="AL26" s="18" t="n">
        <x:v>8</x:v>
      </x:c>
      <x:c r="AM26" s="18" t="n">
        <x:v>11</x:v>
      </x:c>
      <x:c r="AN26" s="18" t="n">
        <x:v>11</x:v>
      </x:c>
      <x:c r="AO26" s="18" t="n">
        <x:v>0</x:v>
      </x:c>
      <x:c r="AP26" s="18" t="n">
        <x:v>0</x:v>
      </x:c>
      <x:c r="AQ26" s="18" t="n">
        <x:v>0</x:v>
      </x:c>
      <x:c r="AR26" s="18" t="n">
        <x:v>0</x:v>
      </x:c>
      <x:c r="AS26" s="18" t="n">
        <x:v>0</x:v>
      </x:c>
      <x:c r="AT26" s="18" t="n">
        <x:v>0</x:v>
      </x:c>
      <x:c r="AU26" s="18" t="n">
        <x:v>1</x:v>
      </x:c>
      <x:c r="AV26" s="18" t="n">
        <x:v>29</x:v>
      </x:c>
      <x:c r="AW26" s="18" t="n">
        <x:v>0</x:v>
      </x:c>
      <x:c r="AX26" s="18" t="n">
        <x:v>0</x:v>
      </x:c>
      <x:c r="AY26" s="18" t="n">
        <x:v>0</x:v>
      </x:c>
      <x:c r="AZ26" s="18" t="n">
        <x:v>0</x:v>
      </x:c>
      <x:c r="BA26" s="18" t="n">
        <x:v>0</x:v>
      </x:c>
      <x:c r="BB26" s="18" t="n">
        <x:v>0</x:v>
      </x:c>
      <x:c r="BC26" s="18" t="n">
        <x:v>0</x:v>
      </x:c>
      <x:c r="BD26" s="18" t="n">
        <x:v>1</x:v>
      </x:c>
      <x:c r="BE26" s="18" t="n">
        <x:v>0</x:v>
      </x:c>
      <x:c r="BF26" s="18" t="n">
        <x:v>0</x:v>
      </x:c>
      <x:c r="BG26" s="18" t="n">
        <x:v>0</x:v>
      </x:c>
    </x:row>
    <x:row r="27">
      <x:c r="A27" s="29" t="str">
        <x:v>75</x:v>
      </x:c>
      <x:c r="B27" s="17" t="n">
        <x:v>2815</x:v>
      </x:c>
      <x:c r="C27" s="17" t="str">
        <x:v>מתחם אלחיוואל גן + בי"ס</x:v>
      </x:c>
      <x:c r="D27" s="17" t="str">
        <x:v>צהיון 5</x:v>
      </x:c>
      <x:c r="E27" s="17" t="str">
        <x:v>גבוה מאוד</x:v>
      </x:c>
      <x:c r="F27" s="18" t="n">
        <x:v>696</x:v>
      </x:c>
      <x:c r="G27" s="18" t="n">
        <x:v>349</x:v>
      </x:c>
      <x:c r="H27" s="19" t="n">
        <x:f>IFERROR(G27/F27,0)</x:f>
        <x:v>0.5014367816091954</x:v>
      </x:c>
      <x:c r="I27" s="18" t="n">
        <x:v>8</x:v>
      </x:c>
      <x:c r="J27" s="18" t="n">
        <x:v>341</x:v>
      </x:c>
      <x:c r="K27" s="18" t="n">
        <x:f>SUM(AM27,BF27,W27,AD27)</x:f>
        <x:v>12</x:v>
      </x:c>
      <x:c r="L27" s="18" t="n">
        <x:f>Q27+R27</x:f>
        <x:v>322</x:v>
      </x:c>
      <x:c r="M27" s="19" t="n">
        <x:f>IFERROR(K27/J27,0)</x:f>
        <x:v>0.03519061583577713</x:v>
      </x:c>
      <x:c r="N27" s="19" t="n">
        <x:f>IFERROR(L27/J27,0)</x:f>
        <x:v>0.9442815249266863</x:v>
      </x:c>
      <x:c r="O27" s="17" t="str">
        <x:f>IF(K27&gt;MAX(L27,S27),"קואליציית ההקמה 2022",IF(L27&gt;MAX(K27,S27),"אופוזיציה רחבה 2022","רשימות אחרות"))</x:f>
        <x:v>אופוזיציה רחבה 2022</x:v>
      </x:c>
      <x:c r="P27" s="17" t="str">
        <x:f>IF(AND(H27&lt;50%,N27&gt;50%),"כן","לא")</x:f>
        <x:v>לא</x:v>
      </x:c>
      <x:c r="Q27" s="18" t="n">
        <x:f>SUM(AV27,AJ27,AL27,T27,AN27)</x:f>
        <x:v>40</x:v>
      </x:c>
      <x:c r="R27" s="18" t="n">
        <x:f>SUM(Y27,AU27,X27)</x:f>
        <x:v>282</x:v>
      </x:c>
      <x:c r="S27" s="18" t="n">
        <x:f>J27-K27-L27</x:f>
        <x:v>7</x:v>
      </x:c>
      <x:c r="T27" s="18" t="n">
        <x:v>6</x:v>
      </x:c>
      <x:c r="U27" s="18" t="n">
        <x:v>0</x:v>
      </x:c>
      <x:c r="V27" s="18" t="n">
        <x:v>0</x:v>
      </x:c>
      <x:c r="W27" s="18" t="n">
        <x:v>0</x:v>
      </x:c>
      <x:c r="X27" s="18" t="n">
        <x:v>73</x:v>
      </x:c>
      <x:c r="Y27" s="18" t="n">
        <x:v>190</x:v>
      </x:c>
      <x:c r="Z27" s="18" t="n">
        <x:v>0</x:v>
      </x:c>
      <x:c r="AA27" s="18" t="n">
        <x:v>1</x:v>
      </x:c>
      <x:c r="AB27" s="18" t="n">
        <x:v>0</x:v>
      </x:c>
      <x:c r="AC27" s="18" t="n">
        <x:v>0</x:v>
      </x:c>
      <x:c r="AD27" s="18" t="n">
        <x:v>0</x:v>
      </x:c>
      <x:c r="AE27" s="18" t="n">
        <x:v>0</x:v>
      </x:c>
      <x:c r="AF27" s="18" t="n">
        <x:v>0</x:v>
      </x:c>
      <x:c r="AG27" s="18" t="n">
        <x:v>1</x:v>
      </x:c>
      <x:c r="AH27" s="18" t="n">
        <x:v>0</x:v>
      </x:c>
      <x:c r="AI27" s="18" t="n">
        <x:v>0</x:v>
      </x:c>
      <x:c r="AJ27" s="18" t="n">
        <x:v>2</x:v>
      </x:c>
      <x:c r="AK27" s="18" t="n">
        <x:v>1</x:v>
      </x:c>
      <x:c r="AL27" s="18" t="n">
        <x:v>3</x:v>
      </x:c>
      <x:c r="AM27" s="18" t="n">
        <x:v>11</x:v>
      </x:c>
      <x:c r="AN27" s="18" t="n">
        <x:v>7</x:v>
      </x:c>
      <x:c r="AO27" s="18" t="n">
        <x:v>0</x:v>
      </x:c>
      <x:c r="AP27" s="18" t="n">
        <x:v>0</x:v>
      </x:c>
      <x:c r="AQ27" s="18" t="n">
        <x:v>0</x:v>
      </x:c>
      <x:c r="AR27" s="18" t="n">
        <x:v>0</x:v>
      </x:c>
      <x:c r="AS27" s="18" t="n">
        <x:v>0</x:v>
      </x:c>
      <x:c r="AT27" s="18" t="n">
        <x:v>0</x:v>
      </x:c>
      <x:c r="AU27" s="18" t="n">
        <x:v>19</x:v>
      </x:c>
      <x:c r="AV27" s="18" t="n">
        <x:v>22</x:v>
      </x:c>
      <x:c r="AW27" s="18" t="n">
        <x:v>0</x:v>
      </x:c>
      <x:c r="AX27" s="18" t="n">
        <x:v>1</x:v>
      </x:c>
      <x:c r="AY27" s="18" t="n">
        <x:v>2</x:v>
      </x:c>
      <x:c r="AZ27" s="18" t="n">
        <x:v>0</x:v>
      </x:c>
      <x:c r="BA27" s="18" t="n">
        <x:v>0</x:v>
      </x:c>
      <x:c r="BB27" s="18" t="n">
        <x:v>0</x:v>
      </x:c>
      <x:c r="BC27" s="18" t="n">
        <x:v>1</x:v>
      </x:c>
      <x:c r="BD27" s="18" t="n">
        <x:v>0</x:v>
      </x:c>
      <x:c r="BE27" s="18" t="n">
        <x:v>0</x:v>
      </x:c>
      <x:c r="BF27" s="18" t="n">
        <x:v>1</x:v>
      </x:c>
      <x:c r="BG27" s="18" t="n">
        <x:v>0</x:v>
      </x:c>
    </x:row>
    <x:row r="28">
      <x:c r="A28" s="29" t="str">
        <x:v>77</x:v>
      </x:c>
      <x:c r="B28" s="17" t="n">
        <x:v>2816</x:v>
      </x:c>
      <x:c r="C28" s="17" t="str">
        <x:v>מתחם אלחיוואל גן + בי"ס</x:v>
      </x:c>
      <x:c r="D28" s="17" t="str">
        <x:v>צהיון 5</x:v>
      </x:c>
      <x:c r="E28" s="17" t="str">
        <x:v>גבוה מאוד</x:v>
      </x:c>
      <x:c r="F28" s="18" t="n">
        <x:v>631</x:v>
      </x:c>
      <x:c r="G28" s="18" t="n">
        <x:v>300</x:v>
      </x:c>
      <x:c r="H28" s="19" t="n">
        <x:f>IFERROR(G28/F28,0)</x:f>
        <x:v>0.4754358161648177</x:v>
      </x:c>
      <x:c r="I28" s="18" t="n">
        <x:v>4</x:v>
      </x:c>
      <x:c r="J28" s="18" t="n">
        <x:v>296</x:v>
      </x:c>
      <x:c r="K28" s="18" t="n">
        <x:f>SUM(AM28,BF28,W28,AD28)</x:f>
        <x:v>15</x:v>
      </x:c>
      <x:c r="L28" s="18" t="n">
        <x:f>Q28+R28</x:f>
        <x:v>274</x:v>
      </x:c>
      <x:c r="M28" s="19" t="n">
        <x:f>IFERROR(K28/J28,0)</x:f>
        <x:v>0.05067567567567568</x:v>
      </x:c>
      <x:c r="N28" s="19" t="n">
        <x:f>IFERROR(L28/J28,0)</x:f>
        <x:v>0.9256756756756757</x:v>
      </x:c>
      <x:c r="O28" s="17" t="str">
        <x:f>IF(K28&gt;MAX(L28,S28),"קואליציית ההקמה 2022",IF(L28&gt;MAX(K28,S28),"אופוזיציה רחבה 2022","רשימות אחרות"))</x:f>
        <x:v>אופוזיציה רחבה 2022</x:v>
      </x:c>
      <x:c r="P28" s="17" t="str">
        <x:f>IF(AND(H28&lt;50%,N28&gt;50%),"כן","לא")</x:f>
        <x:v>כן</x:v>
      </x:c>
      <x:c r="Q28" s="18" t="n">
        <x:f>SUM(AV28,AJ28,AL28,T28,AN28)</x:f>
        <x:v>45</x:v>
      </x:c>
      <x:c r="R28" s="18" t="n">
        <x:f>SUM(Y28,AU28,X28)</x:f>
        <x:v>229</x:v>
      </x:c>
      <x:c r="S28" s="18" t="n">
        <x:f>J28-K28-L28</x:f>
        <x:v>7</x:v>
      </x:c>
      <x:c r="T28" s="18" t="n">
        <x:v>8</x:v>
      </x:c>
      <x:c r="U28" s="18" t="n">
        <x:v>1</x:v>
      </x:c>
      <x:c r="V28" s="18" t="n">
        <x:v>0</x:v>
      </x:c>
      <x:c r="W28" s="18" t="n">
        <x:v>0</x:v>
      </x:c>
      <x:c r="X28" s="18" t="n">
        <x:v>42</x:v>
      </x:c>
      <x:c r="Y28" s="18" t="n">
        <x:v>176</x:v>
      </x:c>
      <x:c r="Z28" s="18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1</x:v>
      </x:c>
      <x:c r="AE28" s="18" t="n">
        <x:v>1</x:v>
      </x:c>
      <x:c r="AF28" s="18" t="n">
        <x:v>0</x:v>
      </x:c>
      <x:c r="AG28" s="18" t="n">
        <x:v>0</x:v>
      </x:c>
      <x:c r="AH28" s="18" t="n">
        <x:v>0</x:v>
      </x:c>
      <x:c r="AI28" s="18" t="n">
        <x:v>0</x:v>
      </x:c>
      <x:c r="AJ28" s="18" t="n">
        <x:v>5</x:v>
      </x:c>
      <x:c r="AK28" s="18" t="n">
        <x:v>1</x:v>
      </x:c>
      <x:c r="AL28" s="18" t="n">
        <x:v>0</x:v>
      </x:c>
      <x:c r="AM28" s="18" t="n">
        <x:v>13</x:v>
      </x:c>
      <x:c r="AN28" s="18" t="n">
        <x:v>11</x:v>
      </x:c>
      <x:c r="AO28" s="18" t="n">
        <x:v>0</x:v>
      </x:c>
      <x:c r="AP28" s="18" t="n">
        <x:v>0</x:v>
      </x:c>
      <x:c r="AQ28" s="18" t="n">
        <x:v>0</x:v>
      </x:c>
      <x:c r="AR28" s="18" t="n">
        <x:v>1</x:v>
      </x:c>
      <x:c r="AS28" s="18" t="n">
        <x:v>0</x:v>
      </x:c>
      <x:c r="AT28" s="18" t="n">
        <x:v>0</x:v>
      </x:c>
      <x:c r="AU28" s="18" t="n">
        <x:v>11</x:v>
      </x:c>
      <x:c r="AV28" s="18" t="n">
        <x:v>21</x:v>
      </x:c>
      <x:c r="AW28" s="18" t="n">
        <x:v>1</x:v>
      </x:c>
      <x:c r="AX28" s="18" t="n">
        <x:v>0</x:v>
      </x:c>
      <x:c r="AY28" s="18" t="n">
        <x:v>0</x:v>
      </x:c>
      <x:c r="AZ28" s="18" t="n">
        <x:v>0</x:v>
      </x:c>
      <x:c r="BA28" s="18" t="n">
        <x:v>0</x:v>
      </x:c>
      <x:c r="BB28" s="18" t="n">
        <x:v>0</x:v>
      </x:c>
      <x:c r="BC28" s="18" t="n">
        <x:v>0</x:v>
      </x:c>
      <x:c r="BD28" s="18" t="n">
        <x:v>2</x:v>
      </x:c>
      <x:c r="BE28" s="18" t="n">
        <x:v>0</x:v>
      </x:c>
      <x:c r="BF28" s="18" t="n">
        <x:v>1</x:v>
      </x:c>
      <x:c r="BG28" s="18" t="n">
        <x:v>0</x:v>
      </x:c>
    </x:row>
    <x:row r="29">
      <x:c r="A29" s="29" t="str">
        <x:v>79</x:v>
      </x:c>
      <x:c r="B29" s="17" t="n">
        <x:v>2817</x:v>
      </x:c>
      <x:c r="C29" s="17" t="str">
        <x:v>בי"ס אחוה</x:v>
      </x:c>
      <x:c r="D29" s="17" t="str">
        <x:v>קיסריה 20</x:v>
      </x:c>
      <x:c r="E29" s="17" t="str">
        <x:v>גבוה מאוד</x:v>
      </x:c>
      <x:c r="F29" s="18" t="n">
        <x:v>445</x:v>
      </x:c>
      <x:c r="G29" s="18" t="n">
        <x:v>218</x:v>
      </x:c>
      <x:c r="H29" s="19" t="n">
        <x:f>IFERROR(G29/F29,0)</x:f>
        <x:v>0.4898876404494382</x:v>
      </x:c>
      <x:c r="I29" s="18" t="n">
        <x:v>0</x:v>
      </x:c>
      <x:c r="J29" s="18" t="n">
        <x:v>218</x:v>
      </x:c>
      <x:c r="K29" s="18" t="n">
        <x:f>SUM(AM29,BF29,W29,AD29)</x:f>
        <x:v>7</x:v>
      </x:c>
      <x:c r="L29" s="18" t="n">
        <x:f>Q29+R29</x:f>
        <x:v>211</x:v>
      </x:c>
      <x:c r="M29" s="19" t="n">
        <x:f>IFERROR(K29/J29,0)</x:f>
        <x:v>0.03211009174311927</x:v>
      </x:c>
      <x:c r="N29" s="19" t="n">
        <x:f>IFERROR(L29/J29,0)</x:f>
        <x:v>0.9678899082568807</x:v>
      </x:c>
      <x:c r="O29" s="17" t="str">
        <x:f>IF(K29&gt;MAX(L29,S29),"קואליציית ההקמה 2022",IF(L29&gt;MAX(K29,S29),"אופוזיציה רחבה 2022","רשימות אחרות"))</x:f>
        <x:v>אופוזיציה רחבה 2022</x:v>
      </x:c>
      <x:c r="P29" s="17" t="str">
        <x:f>IF(AND(H29&lt;50%,N29&gt;50%),"כן","לא")</x:f>
        <x:v>כן</x:v>
      </x:c>
      <x:c r="Q29" s="18" t="n">
        <x:f>SUM(AV29,AJ29,AL29,T29,AN29)</x:f>
        <x:v>32</x:v>
      </x:c>
      <x:c r="R29" s="18" t="n">
        <x:f>SUM(Y29,AU29,X29)</x:f>
        <x:v>179</x:v>
      </x:c>
      <x:c r="S29" s="18" t="n">
        <x:f>J29-K29-L29</x:f>
        <x:v>0</x:v>
      </x:c>
      <x:c r="T29" s="18" t="n">
        <x:v>5</x:v>
      </x:c>
      <x:c r="U29" s="18" t="n">
        <x:v>0</x:v>
      </x:c>
      <x:c r="V29" s="18" t="n">
        <x:v>0</x:v>
      </x:c>
      <x:c r="W29" s="18" t="n">
        <x:v>0</x:v>
      </x:c>
      <x:c r="X29" s="18" t="n">
        <x:v>24</x:v>
      </x:c>
      <x:c r="Y29" s="18" t="n">
        <x:v>142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8" t="n">
        <x:v>0</x:v>
      </x:c>
      <x:c r="AG29" s="18" t="n">
        <x:v>0</x:v>
      </x:c>
      <x:c r="AH29" s="18" t="n">
        <x:v>0</x:v>
      </x:c>
      <x:c r="AI29" s="18" t="n">
        <x:v>0</x:v>
      </x:c>
      <x:c r="AJ29" s="18" t="n">
        <x:v>2</x:v>
      </x:c>
      <x:c r="AK29" s="18" t="n">
        <x:v>0</x:v>
      </x:c>
      <x:c r="AL29" s="18" t="n">
        <x:v>0</x:v>
      </x:c>
      <x:c r="AM29" s="18" t="n">
        <x:v>7</x:v>
      </x:c>
      <x:c r="AN29" s="18" t="n">
        <x:v>10</x:v>
      </x:c>
      <x:c r="AO29" s="18" t="n">
        <x:v>0</x:v>
      </x:c>
      <x:c r="AP29" s="18" t="n">
        <x:v>0</x:v>
      </x:c>
      <x:c r="AQ29" s="18" t="n">
        <x:v>0</x:v>
      </x:c>
      <x:c r="AR29" s="18" t="n">
        <x:v>0</x:v>
      </x:c>
      <x:c r="AS29" s="18" t="n">
        <x:v>0</x:v>
      </x:c>
      <x:c r="AT29" s="18" t="n">
        <x:v>0</x:v>
      </x:c>
      <x:c r="AU29" s="18" t="n">
        <x:v>13</x:v>
      </x:c>
      <x:c r="AV29" s="18" t="n">
        <x:v>15</x:v>
      </x:c>
      <x:c r="AW29" s="18" t="n">
        <x:v>0</x:v>
      </x:c>
      <x:c r="AX29" s="18" t="n">
        <x:v>0</x:v>
      </x:c>
      <x:c r="AY29" s="18" t="n">
        <x:v>0</x:v>
      </x:c>
      <x:c r="AZ29" s="18" t="n">
        <x:v>0</x:v>
      </x:c>
      <x:c r="BA29" s="18" t="n">
        <x:v>0</x:v>
      </x:c>
      <x:c r="BB29" s="18" t="n">
        <x:v>0</x:v>
      </x:c>
      <x:c r="BC29" s="18" t="n">
        <x:v>0</x:v>
      </x:c>
      <x:c r="BD29" s="18" t="n">
        <x:v>0</x:v>
      </x:c>
      <x:c r="BE29" s="18" t="n">
        <x:v>0</x:v>
      </x:c>
      <x:c r="BF29" s="18" t="n">
        <x:v>0</x:v>
      </x:c>
      <x:c r="BG29" s="18" t="n">
        <x:v>0</x:v>
      </x:c>
    </x:row>
    <x:row r="30">
      <x:c r="A30" s="29" t="str">
        <x:v>80</x:v>
      </x:c>
      <x:c r="B30" s="17" t="n">
        <x:v>2818</x:v>
      </x:c>
      <x:c r="C30" s="17" t="str">
        <x:v>בי"ס אחוה</x:v>
      </x:c>
      <x:c r="D30" s="17" t="str">
        <x:v>קיסריה 20</x:v>
      </x:c>
      <x:c r="E30" s="17" t="str">
        <x:v>גבוה מאוד</x:v>
      </x:c>
      <x:c r="F30" s="18" t="n">
        <x:v>508</x:v>
      </x:c>
      <x:c r="G30" s="18" t="n">
        <x:v>267</x:v>
      </x:c>
      <x:c r="H30" s="19" t="n">
        <x:f>IFERROR(G30/F30,0)</x:f>
        <x:v>0.5255905511811023</x:v>
      </x:c>
      <x:c r="I30" s="18" t="n">
        <x:v>4</x:v>
      </x:c>
      <x:c r="J30" s="18" t="n">
        <x:v>263</x:v>
      </x:c>
      <x:c r="K30" s="18" t="n">
        <x:f>SUM(AM30,BF30,W30,AD30)</x:f>
        <x:v>8</x:v>
      </x:c>
      <x:c r="L30" s="18" t="n">
        <x:f>Q30+R30</x:f>
        <x:v>252</x:v>
      </x:c>
      <x:c r="M30" s="19" t="n">
        <x:f>IFERROR(K30/J30,0)</x:f>
        <x:v>0.030418250950570342</x:v>
      </x:c>
      <x:c r="N30" s="19" t="n">
        <x:f>IFERROR(L30/J30,0)</x:f>
        <x:v>0.9581749049429658</x:v>
      </x:c>
      <x:c r="O30" s="17" t="str">
        <x:f>IF(K30&gt;MAX(L30,S30),"קואליציית ההקמה 2022",IF(L30&gt;MAX(K30,S30),"אופוזיציה רחבה 2022","רשימות אחרות"))</x:f>
        <x:v>אופוזיציה רחבה 2022</x:v>
      </x:c>
      <x:c r="P30" s="17" t="str">
        <x:f>IF(AND(H30&lt;50%,N30&gt;50%),"כן","לא")</x:f>
        <x:v>לא</x:v>
      </x:c>
      <x:c r="Q30" s="18" t="n">
        <x:f>SUM(AV30,AJ30,AL30,T30,AN30)</x:f>
        <x:v>34</x:v>
      </x:c>
      <x:c r="R30" s="18" t="n">
        <x:f>SUM(Y30,AU30,X30)</x:f>
        <x:v>218</x:v>
      </x:c>
      <x:c r="S30" s="18" t="n">
        <x:f>J30-K30-L30</x:f>
        <x:v>3</x:v>
      </x:c>
      <x:c r="T30" s="18" t="n">
        <x:v>4</x:v>
      </x:c>
      <x:c r="U30" s="18" t="n">
        <x:v>0</x:v>
      </x:c>
      <x:c r="V30" s="18" t="n">
        <x:v>0</x:v>
      </x:c>
      <x:c r="W30" s="18" t="n">
        <x:v>1</x:v>
      </x:c>
      <x:c r="X30" s="18" t="n">
        <x:v>64</x:v>
      </x:c>
      <x:c r="Y30" s="18" t="n">
        <x:v>137</x:v>
      </x:c>
      <x:c r="Z30" s="18" t="n">
        <x:v>0</x:v>
      </x:c>
      <x:c r="AA30" s="18" t="n">
        <x:v>0</x:v>
      </x:c>
      <x:c r="AB30" s="18" t="n">
        <x:v>0</x:v>
      </x:c>
      <x:c r="AC30" s="18" t="n">
        <x:v>1</x:v>
      </x:c>
      <x:c r="AD30" s="18" t="n">
        <x:v>0</x:v>
      </x:c>
      <x:c r="AE30" s="18" t="n">
        <x:v>0</x:v>
      </x:c>
      <x:c r="AF30" s="18" t="n">
        <x:v>0</x:v>
      </x:c>
      <x:c r="AG30" s="18" t="n">
        <x:v>0</x:v>
      </x:c>
      <x:c r="AH30" s="18" t="n">
        <x:v>0</x:v>
      </x:c>
      <x:c r="AI30" s="18" t="n">
        <x:v>0</x:v>
      </x:c>
      <x:c r="AJ30" s="18" t="n">
        <x:v>2</x:v>
      </x:c>
      <x:c r="AK30" s="18" t="n">
        <x:v>0</x:v>
      </x:c>
      <x:c r="AL30" s="18" t="n">
        <x:v>6</x:v>
      </x:c>
      <x:c r="AM30" s="18" t="n">
        <x:v>7</x:v>
      </x:c>
      <x:c r="AN30" s="18" t="n">
        <x:v>12</x:v>
      </x:c>
      <x:c r="AO30" s="18" t="n">
        <x:v>0</x:v>
      </x:c>
      <x:c r="AP30" s="18" t="n">
        <x:v>0</x:v>
      </x:c>
      <x:c r="AQ30" s="18" t="n">
        <x:v>1</x:v>
      </x:c>
      <x:c r="AR30" s="18" t="n">
        <x:v>0</x:v>
      </x:c>
      <x:c r="AS30" s="18" t="n">
        <x:v>0</x:v>
      </x:c>
      <x:c r="AT30" s="18" t="n">
        <x:v>0</x:v>
      </x:c>
      <x:c r="AU30" s="18" t="n">
        <x:v>17</x:v>
      </x:c>
      <x:c r="AV30" s="18" t="n">
        <x:v>10</x:v>
      </x:c>
      <x:c r="AW30" s="18" t="n">
        <x:v>0</x:v>
      </x:c>
      <x:c r="AX30" s="18" t="n">
        <x:v>0</x:v>
      </x:c>
      <x:c r="AY30" s="18" t="n">
        <x:v>0</x:v>
      </x:c>
      <x:c r="AZ30" s="18" t="n">
        <x:v>0</x:v>
      </x:c>
      <x:c r="BA30" s="18" t="n">
        <x:v>0</x:v>
      </x:c>
      <x:c r="BB30" s="18" t="n">
        <x:v>0</x:v>
      </x:c>
      <x:c r="BC30" s="18" t="n">
        <x:v>0</x:v>
      </x:c>
      <x:c r="BD30" s="18" t="n">
        <x:v>0</x:v>
      </x:c>
      <x:c r="BE30" s="18" t="n">
        <x:v>0</x:v>
      </x:c>
      <x:c r="BF30" s="18" t="n">
        <x:v>0</x:v>
      </x:c>
      <x:c r="BG30" s="18" t="n">
        <x:v>1</x:v>
      </x:c>
    </x:row>
    <x:row r="31">
      <x:c r="A31" s="29" t="str">
        <x:v>81</x:v>
      </x:c>
      <x:c r="B31" s="17" t="n">
        <x:v>2819</x:v>
      </x:c>
      <x:c r="C31" s="17" t="str">
        <x:v>בית ארדשטיין</x:v>
      </x:c>
      <x:c r="D31" s="17" t="str">
        <x:v>פרץ י .ל20,.</x:v>
      </x:c>
      <x:c r="E31" s="17" t="str">
        <x:v>גבוה מאוד</x:v>
      </x:c>
      <x:c r="F31" s="18" t="n">
        <x:v>683</x:v>
      </x:c>
      <x:c r="G31" s="18" t="n">
        <x:v>316</x:v>
      </x:c>
      <x:c r="H31" s="19" t="n">
        <x:f>IFERROR(G31/F31,0)</x:f>
        <x:v>0.46266471449487556</x:v>
      </x:c>
      <x:c r="I31" s="18" t="n">
        <x:v>3</x:v>
      </x:c>
      <x:c r="J31" s="18" t="n">
        <x:v>313</x:v>
      </x:c>
      <x:c r="K31" s="18" t="n">
        <x:f>SUM(AM31,BF31,W31,AD31)</x:f>
        <x:v>18</x:v>
      </x:c>
      <x:c r="L31" s="18" t="n">
        <x:f>Q31+R31</x:f>
        <x:v>291</x:v>
      </x:c>
      <x:c r="M31" s="19" t="n">
        <x:f>IFERROR(K31/J31,0)</x:f>
        <x:v>0.05750798722044728</x:v>
      </x:c>
      <x:c r="N31" s="19" t="n">
        <x:f>IFERROR(L31/J31,0)</x:f>
        <x:v>0.9297124600638977</x:v>
      </x:c>
      <x:c r="O31" s="17" t="str">
        <x:f>IF(K31&gt;MAX(L31,S31),"קואליציית ההקמה 2022",IF(L31&gt;MAX(K31,S31),"אופוזיציה רחבה 2022","רשימות אחרות"))</x:f>
        <x:v>אופוזיציה רחבה 2022</x:v>
      </x:c>
      <x:c r="P31" s="17" t="str">
        <x:f>IF(AND(H31&lt;50%,N31&gt;50%),"כן","לא")</x:f>
        <x:v>כן</x:v>
      </x:c>
      <x:c r="Q31" s="18" t="n">
        <x:f>SUM(AV31,AJ31,AL31,T31,AN31)</x:f>
        <x:v>44</x:v>
      </x:c>
      <x:c r="R31" s="18" t="n">
        <x:f>SUM(Y31,AU31,X31)</x:f>
        <x:v>247</x:v>
      </x:c>
      <x:c r="S31" s="18" t="n">
        <x:f>J31-K31-L31</x:f>
        <x:v>4</x:v>
      </x:c>
      <x:c r="T31" s="18" t="n">
        <x:v>5</x:v>
      </x:c>
      <x:c r="U31" s="18" t="n">
        <x:v>0</x:v>
      </x:c>
      <x:c r="V31" s="18" t="n">
        <x:v>0</x:v>
      </x:c>
      <x:c r="W31" s="18" t="n">
        <x:v>0</x:v>
      </x:c>
      <x:c r="X31" s="18" t="n">
        <x:v>63</x:v>
      </x:c>
      <x:c r="Y31" s="18" t="n">
        <x:v>157</x:v>
      </x:c>
      <x:c r="Z31" s="18" t="n">
        <x:v>0</x:v>
      </x:c>
      <x:c r="AA31" s="18" t="n">
        <x:v>0</x:v>
      </x:c>
      <x:c r="AB31" s="18" t="n">
        <x:v>0</x:v>
      </x:c>
      <x:c r="AC31" s="18" t="n">
        <x:v>0</x:v>
      </x:c>
      <x:c r="AD31" s="18" t="n">
        <x:v>0</x:v>
      </x:c>
      <x:c r="AE31" s="18" t="n">
        <x:v>0</x:v>
      </x:c>
      <x:c r="AF31" s="18" t="n">
        <x:v>0</x:v>
      </x:c>
      <x:c r="AG31" s="18" t="n">
        <x:v>0</x:v>
      </x:c>
      <x:c r="AH31" s="18" t="n">
        <x:v>1</x:v>
      </x:c>
      <x:c r="AI31" s="18" t="n">
        <x:v>0</x:v>
      </x:c>
      <x:c r="AJ31" s="18" t="n">
        <x:v>4</x:v>
      </x:c>
      <x:c r="AK31" s="18" t="n">
        <x:v>0</x:v>
      </x:c>
      <x:c r="AL31" s="18" t="n">
        <x:v>1</x:v>
      </x:c>
      <x:c r="AM31" s="18" t="n">
        <x:v>18</x:v>
      </x:c>
      <x:c r="AN31" s="18" t="n">
        <x:v>22</x:v>
      </x:c>
      <x:c r="AO31" s="18" t="n">
        <x:v>0</x:v>
      </x:c>
      <x:c r="AP31" s="18" t="n">
        <x:v>1</x:v>
      </x:c>
      <x:c r="AQ31" s="18" t="n">
        <x:v>0</x:v>
      </x:c>
      <x:c r="AR31" s="18" t="n">
        <x:v>0</x:v>
      </x:c>
      <x:c r="AS31" s="18" t="n">
        <x:v>0</x:v>
      </x:c>
      <x:c r="AT31" s="18" t="n">
        <x:v>0</x:v>
      </x:c>
      <x:c r="AU31" s="18" t="n">
        <x:v>27</x:v>
      </x:c>
      <x:c r="AV31" s="18" t="n">
        <x:v>12</x:v>
      </x:c>
      <x:c r="AW31" s="18" t="n">
        <x:v>0</x:v>
      </x:c>
      <x:c r="AX31" s="18" t="n">
        <x:v>0</x:v>
      </x:c>
      <x:c r="AY31" s="18" t="n">
        <x:v>0</x:v>
      </x:c>
      <x:c r="AZ31" s="18" t="n">
        <x:v>1</x:v>
      </x:c>
      <x:c r="BA31" s="18" t="n">
        <x:v>1</x:v>
      </x:c>
      <x:c r="BB31" s="18" t="n">
        <x:v>0</x:v>
      </x:c>
      <x:c r="BC31" s="18" t="n">
        <x:v>0</x:v>
      </x:c>
      <x:c r="BD31" s="18" t="n">
        <x:v>0</x:v>
      </x:c>
      <x:c r="BE31" s="18" t="n">
        <x:v>0</x:v>
      </x:c>
      <x:c r="BF31" s="18" t="n">
        <x:v>0</x:v>
      </x:c>
      <x:c r="BG31" s="18" t="n">
        <x:v>0</x:v>
      </x:c>
    </x:row>
    <x:row r="32">
      <x:c r="A32" s="29" t="str">
        <x:v>83</x:v>
      </x:c>
      <x:c r="B32" s="17" t="n">
        <x:v>2820</x:v>
      </x:c>
      <x:c r="C32" s="17" t="str">
        <x:v>מרכז "ערבי יהודי" תיאטרון</x:v>
      </x:c>
      <x:c r="D32" s="17" t="str">
        <x:v>שד הציונות 33</x:v>
      </x:c>
      <x:c r="E32" s="17" t="str">
        <x:v>גבוה מאוד</x:v>
      </x:c>
      <x:c r="F32" s="18" t="n">
        <x:v>466</x:v>
      </x:c>
      <x:c r="G32" s="18" t="n">
        <x:v>198</x:v>
      </x:c>
      <x:c r="H32" s="19" t="n">
        <x:f>IFERROR(G32/F32,0)</x:f>
        <x:v>0.4248927038626609</x:v>
      </x:c>
      <x:c r="I32" s="18" t="n">
        <x:v>4</x:v>
      </x:c>
      <x:c r="J32" s="18" t="n">
        <x:v>194</x:v>
      </x:c>
      <x:c r="K32" s="18" t="n">
        <x:f>SUM(AM32,BF32,W32,AD32)</x:f>
        <x:v>11</x:v>
      </x:c>
      <x:c r="L32" s="18" t="n">
        <x:f>Q32+R32</x:f>
        <x:v>182</x:v>
      </x:c>
      <x:c r="M32" s="19" t="n">
        <x:f>IFERROR(K32/J32,0)</x:f>
        <x:v>0.05670103092783505</x:v>
      </x:c>
      <x:c r="N32" s="19" t="n">
        <x:f>IFERROR(L32/J32,0)</x:f>
        <x:v>0.9381443298969072</x:v>
      </x:c>
      <x:c r="O32" s="17" t="str">
        <x:f>IF(K32&gt;MAX(L32,S32),"קואליציית ההקמה 2022",IF(L32&gt;MAX(K32,S32),"אופוזיציה רחבה 2022","רשימות אחרות"))</x:f>
        <x:v>אופוזיציה רחבה 2022</x:v>
      </x:c>
      <x:c r="P32" s="17" t="str">
        <x:f>IF(AND(H32&lt;50%,N32&gt;50%),"כן","לא")</x:f>
        <x:v>כן</x:v>
      </x:c>
      <x:c r="Q32" s="18" t="n">
        <x:f>SUM(AV32,AJ32,AL32,T32,AN32)</x:f>
        <x:v>34</x:v>
      </x:c>
      <x:c r="R32" s="18" t="n">
        <x:f>SUM(Y32,AU32,X32)</x:f>
        <x:v>148</x:v>
      </x:c>
      <x:c r="S32" s="18" t="n">
        <x:f>J32-K32-L32</x:f>
        <x:v>1</x:v>
      </x:c>
      <x:c r="T32" s="18" t="n">
        <x:v>5</x:v>
      </x:c>
      <x:c r="U32" s="18" t="n">
        <x:v>0</x:v>
      </x:c>
      <x:c r="V32" s="18" t="n">
        <x:v>0</x:v>
      </x:c>
      <x:c r="W32" s="18" t="n">
        <x:v>0</x:v>
      </x:c>
      <x:c r="X32" s="18" t="n">
        <x:v>32</x:v>
      </x:c>
      <x:c r="Y32" s="18" t="n">
        <x:v>107</x:v>
      </x:c>
      <x:c r="Z32" s="18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  <x:c r="AE32" s="18" t="n">
        <x:v>0</x:v>
      </x:c>
      <x:c r="AF32" s="18" t="n">
        <x:v>0</x:v>
      </x:c>
      <x:c r="AG32" s="18" t="n">
        <x:v>0</x:v>
      </x:c>
      <x:c r="AH32" s="18" t="n">
        <x:v>0</x:v>
      </x:c>
      <x:c r="AI32" s="18" t="n">
        <x:v>0</x:v>
      </x:c>
      <x:c r="AJ32" s="18" t="n">
        <x:v>8</x:v>
      </x:c>
      <x:c r="AK32" s="18" t="n">
        <x:v>0</x:v>
      </x:c>
      <x:c r="AL32" s="18" t="n">
        <x:v>0</x:v>
      </x:c>
      <x:c r="AM32" s="18" t="n">
        <x:v>11</x:v>
      </x:c>
      <x:c r="AN32" s="18" t="n">
        <x:v>8</x:v>
      </x:c>
      <x:c r="AO32" s="18" t="n">
        <x:v>0</x:v>
      </x:c>
      <x:c r="AP32" s="18" t="n">
        <x:v>0</x:v>
      </x:c>
      <x:c r="AQ32" s="18" t="n">
        <x:v>0</x:v>
      </x:c>
      <x:c r="AR32" s="18" t="n">
        <x:v>0</x:v>
      </x:c>
      <x:c r="AS32" s="18" t="n">
        <x:v>0</x:v>
      </x:c>
      <x:c r="AT32" s="18" t="n">
        <x:v>0</x:v>
      </x:c>
      <x:c r="AU32" s="18" t="n">
        <x:v>9</x:v>
      </x:c>
      <x:c r="AV32" s="18" t="n">
        <x:v>13</x:v>
      </x:c>
      <x:c r="AW32" s="18" t="n">
        <x:v>0</x:v>
      </x:c>
      <x:c r="AX32" s="18" t="n">
        <x:v>0</x:v>
      </x:c>
      <x:c r="AY32" s="18" t="n">
        <x:v>0</x:v>
      </x:c>
      <x:c r="AZ32" s="18" t="n">
        <x:v>0</x:v>
      </x:c>
      <x:c r="BA32" s="18" t="n">
        <x:v>0</x:v>
      </x:c>
      <x:c r="BB32" s="18" t="n">
        <x:v>1</x:v>
      </x:c>
      <x:c r="BC32" s="18" t="n">
        <x:v>0</x:v>
      </x:c>
      <x:c r="BD32" s="18" t="n">
        <x:v>0</x:v>
      </x:c>
      <x:c r="BE32" s="18" t="n">
        <x:v>0</x:v>
      </x:c>
      <x:c r="BF32" s="18" t="n">
        <x:v>0</x:v>
      </x:c>
      <x:c r="BG32" s="18" t="n">
        <x:v>0</x:v>
      </x:c>
    </x:row>
    <x:row r="33">
      <x:c r="A33" s="29" t="str">
        <x:v>85</x:v>
      </x:c>
      <x:c r="B33" s="17" t="n">
        <x:v>2914</x:v>
      </x:c>
      <x:c r="C33" s="17" t="str">
        <x:v>בי"ס מוריה</x:v>
      </x:c>
      <x:c r="D33" s="17" t="str">
        <x:v>אנילביץ מרדכי 26</x:v>
      </x:c>
      <x:c r="E33" s="17" t="str">
        <x:v>גבוה מאוד</x:v>
      </x:c>
      <x:c r="F33" s="18" t="n">
        <x:v>607</x:v>
      </x:c>
      <x:c r="G33" s="18" t="n">
        <x:v>272</x:v>
      </x:c>
      <x:c r="H33" s="19" t="n">
        <x:f>IFERROR(G33/F33,0)</x:f>
        <x:v>0.44810543657331137</x:v>
      </x:c>
      <x:c r="I33" s="18" t="n">
        <x:v>2</x:v>
      </x:c>
      <x:c r="J33" s="18" t="n">
        <x:v>270</x:v>
      </x:c>
      <x:c r="K33" s="18" t="n">
        <x:f>SUM(AM33,BF33,W33,AD33)</x:f>
        <x:v>51</x:v>
      </x:c>
      <x:c r="L33" s="18" t="n">
        <x:f>Q33+R33</x:f>
        <x:v>212</x:v>
      </x:c>
      <x:c r="M33" s="19" t="n">
        <x:f>IFERROR(K33/J33,0)</x:f>
        <x:v>0.18888888888888888</x:v>
      </x:c>
      <x:c r="N33" s="19" t="n">
        <x:f>IFERROR(L33/J33,0)</x:f>
        <x:v>0.7851851851851852</x:v>
      </x:c>
      <x:c r="O33" s="17" t="str">
        <x:f>IF(K33&gt;MAX(L33,S33),"קואליציית ההקמה 2022",IF(L33&gt;MAX(K33,S33),"אופוזיציה רחבה 2022","רשימות אחרות"))</x:f>
        <x:v>אופוזיציה רחבה 2022</x:v>
      </x:c>
      <x:c r="P33" s="17" t="str">
        <x:f>IF(AND(H33&lt;50%,N33&gt;50%),"כן","לא")</x:f>
        <x:v>כן</x:v>
      </x:c>
      <x:c r="Q33" s="18" t="n">
        <x:f>SUM(AV33,AJ33,AL33,T33,AN33)</x:f>
        <x:v>74</x:v>
      </x:c>
      <x:c r="R33" s="18" t="n">
        <x:f>SUM(Y33,AU33,X33)</x:f>
        <x:v>138</x:v>
      </x:c>
      <x:c r="S33" s="18" t="n">
        <x:f>J33-K33-L33</x:f>
        <x:v>7</x:v>
      </x:c>
      <x:c r="T33" s="18" t="n">
        <x:v>3</x:v>
      </x:c>
      <x:c r="U33" s="18" t="n">
        <x:v>1</x:v>
      </x:c>
      <x:c r="V33" s="18" t="n">
        <x:v>1</x:v>
      </x:c>
      <x:c r="W33" s="18" t="n">
        <x:v>1</x:v>
      </x:c>
      <x:c r="X33" s="18" t="n">
        <x:v>36</x:v>
      </x:c>
      <x:c r="Y33" s="18" t="n">
        <x:v>94</x:v>
      </x:c>
      <x:c r="Z33" s="18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7</x:v>
      </x:c>
      <x:c r="AE33" s="18" t="n">
        <x:v>1</x:v>
      </x:c>
      <x:c r="AF33" s="18" t="n">
        <x:v>0</x:v>
      </x:c>
      <x:c r="AG33" s="18" t="n">
        <x:v>0</x:v>
      </x:c>
      <x:c r="AH33" s="18" t="n">
        <x:v>0</x:v>
      </x:c>
      <x:c r="AI33" s="18" t="n">
        <x:v>0</x:v>
      </x:c>
      <x:c r="AJ33" s="18" t="n">
        <x:v>13</x:v>
      </x:c>
      <x:c r="AK33" s="18" t="n">
        <x:v>0</x:v>
      </x:c>
      <x:c r="AL33" s="18" t="n">
        <x:v>19</x:v>
      </x:c>
      <x:c r="AM33" s="18" t="n">
        <x:v>39</x:v>
      </x:c>
      <x:c r="AN33" s="18" t="n">
        <x:v>15</x:v>
      </x:c>
      <x:c r="AO33" s="18" t="n">
        <x:v>0</x:v>
      </x:c>
      <x:c r="AP33" s="18" t="n">
        <x:v>1</x:v>
      </x:c>
      <x:c r="AQ33" s="18" t="n">
        <x:v>0</x:v>
      </x:c>
      <x:c r="AR33" s="18" t="n">
        <x:v>0</x:v>
      </x:c>
      <x:c r="AS33" s="18" t="n">
        <x:v>0</x:v>
      </x:c>
      <x:c r="AT33" s="18" t="n">
        <x:v>0</x:v>
      </x:c>
      <x:c r="AU33" s="18" t="n">
        <x:v>8</x:v>
      </x:c>
      <x:c r="AV33" s="18" t="n">
        <x:v>24</x:v>
      </x:c>
      <x:c r="AW33" s="18" t="n">
        <x:v>0</x:v>
      </x:c>
      <x:c r="AX33" s="18" t="n">
        <x:v>1</x:v>
      </x:c>
      <x:c r="AY33" s="18" t="n">
        <x:v>0</x:v>
      </x:c>
      <x:c r="AZ33" s="18" t="n">
        <x:v>0</x:v>
      </x:c>
      <x:c r="BA33" s="18" t="n">
        <x:v>0</x:v>
      </x:c>
      <x:c r="BB33" s="18" t="n">
        <x:v>0</x:v>
      </x:c>
      <x:c r="BC33" s="18" t="n">
        <x:v>0</x:v>
      </x:c>
      <x:c r="BD33" s="18" t="n">
        <x:v>2</x:v>
      </x:c>
      <x:c r="BE33" s="18" t="n">
        <x:v>0</x:v>
      </x:c>
      <x:c r="BF33" s="18" t="n">
        <x:v>4</x:v>
      </x:c>
      <x:c r="BG33" s="18" t="n">
        <x:v>0</x:v>
      </x:c>
    </x:row>
    <x:row r="34">
      <x:c r="A34" s="29" t="str">
        <x:v>86</x:v>
      </x:c>
      <x:c r="B34" s="17" t="n">
        <x:v>2915</x:v>
      </x:c>
      <x:c r="C34" s="17" t="str">
        <x:v>המכללה האקדמית ויצו</x:v>
      </x:c>
      <x:c r="D34" s="17" t="str">
        <x:v>הגנים 21</x:v>
      </x:c>
      <x:c r="E34" s="17" t="str">
        <x:v>גבוה מאוד</x:v>
      </x:c>
      <x:c r="F34" s="18" t="n">
        <x:v>693</x:v>
      </x:c>
      <x:c r="G34" s="18" t="n">
        <x:v>297</x:v>
      </x:c>
      <x:c r="H34" s="19" t="n">
        <x:f>IFERROR(G34/F34,0)</x:f>
        <x:v>0.42857142857142855</x:v>
      </x:c>
      <x:c r="I34" s="18" t="n">
        <x:v>1</x:v>
      </x:c>
      <x:c r="J34" s="18" t="n">
        <x:v>296</x:v>
      </x:c>
      <x:c r="K34" s="18" t="n">
        <x:f>SUM(AM34,BF34,W34,AD34)</x:f>
        <x:v>28</x:v>
      </x:c>
      <x:c r="L34" s="18" t="n">
        <x:f>Q34+R34</x:f>
        <x:v>264</x:v>
      </x:c>
      <x:c r="M34" s="19" t="n">
        <x:f>IFERROR(K34/J34,0)</x:f>
        <x:v>0.0945945945945946</x:v>
      </x:c>
      <x:c r="N34" s="19" t="n">
        <x:f>IFERROR(L34/J34,0)</x:f>
        <x:v>0.8918918918918919</x:v>
      </x:c>
      <x:c r="O34" s="17" t="str">
        <x:f>IF(K34&gt;MAX(L34,S34),"קואליציית ההקמה 2022",IF(L34&gt;MAX(K34,S34),"אופוזיציה רחבה 2022","רשימות אחרות"))</x:f>
        <x:v>אופוזיציה רחבה 2022</x:v>
      </x:c>
      <x:c r="P34" s="17" t="str">
        <x:f>IF(AND(H34&lt;50%,N34&gt;50%),"כן","לא")</x:f>
        <x:v>כן</x:v>
      </x:c>
      <x:c r="Q34" s="18" t="n">
        <x:f>SUM(AV34,AJ34,AL34,T34,AN34)</x:f>
        <x:v>95</x:v>
      </x:c>
      <x:c r="R34" s="18" t="n">
        <x:f>SUM(Y34,AU34,X34)</x:f>
        <x:v>169</x:v>
      </x:c>
      <x:c r="S34" s="18" t="n">
        <x:f>J34-K34-L34</x:f>
        <x:v>4</x:v>
      </x:c>
      <x:c r="T34" s="18" t="n">
        <x:v>10</x:v>
      </x:c>
      <x:c r="U34" s="18" t="n">
        <x:v>0</x:v>
      </x:c>
      <x:c r="V34" s="18" t="n">
        <x:v>0</x:v>
      </x:c>
      <x:c r="W34" s="18" t="n">
        <x:v>0</x:v>
      </x:c>
      <x:c r="X34" s="18" t="n">
        <x:v>61</x:v>
      </x:c>
      <x:c r="Y34" s="18" t="n">
        <x:v>101</x:v>
      </x:c>
      <x:c r="Z34" s="18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6</x:v>
      </x:c>
      <x:c r="AE34" s="18" t="n">
        <x:v>0</x:v>
      </x:c>
      <x:c r="AF34" s="18" t="n">
        <x:v>0</x:v>
      </x:c>
      <x:c r="AG34" s="18" t="n">
        <x:v>0</x:v>
      </x:c>
      <x:c r="AH34" s="18" t="n">
        <x:v>0</x:v>
      </x:c>
      <x:c r="AI34" s="18" t="n">
        <x:v>0</x:v>
      </x:c>
      <x:c r="AJ34" s="18" t="n">
        <x:v>8</x:v>
      </x:c>
      <x:c r="AK34" s="18" t="n">
        <x:v>0</x:v>
      </x:c>
      <x:c r="AL34" s="18" t="n">
        <x:v>16</x:v>
      </x:c>
      <x:c r="AM34" s="18" t="n">
        <x:v>20</x:v>
      </x:c>
      <x:c r="AN34" s="18" t="n">
        <x:v>20</x:v>
      </x:c>
      <x:c r="AO34" s="18" t="n">
        <x:v>1</x:v>
      </x:c>
      <x:c r="AP34" s="18" t="n">
        <x:v>0</x:v>
      </x:c>
      <x:c r="AQ34" s="18" t="n">
        <x:v>0</x:v>
      </x:c>
      <x:c r="AR34" s="18" t="n">
        <x:v>1</x:v>
      </x:c>
      <x:c r="AS34" s="18" t="n">
        <x:v>0</x:v>
      </x:c>
      <x:c r="AT34" s="18" t="n">
        <x:v>0</x:v>
      </x:c>
      <x:c r="AU34" s="18" t="n">
        <x:v>7</x:v>
      </x:c>
      <x:c r="AV34" s="18" t="n">
        <x:v>41</x:v>
      </x:c>
      <x:c r="AW34" s="18" t="n">
        <x:v>0</x:v>
      </x:c>
      <x:c r="AX34" s="18" t="n">
        <x:v>0</x:v>
      </x:c>
      <x:c r="AY34" s="18" t="n">
        <x:v>2</x:v>
      </x:c>
      <x:c r="AZ34" s="18" t="n">
        <x:v>0</x:v>
      </x:c>
      <x:c r="BA34" s="18" t="n">
        <x:v>0</x:v>
      </x:c>
      <x:c r="BB34" s="18" t="n">
        <x:v>0</x:v>
      </x:c>
      <x:c r="BC34" s="18" t="n">
        <x:v>0</x:v>
      </x:c>
      <x:c r="BD34" s="18" t="n">
        <x:v>0</x:v>
      </x:c>
      <x:c r="BE34" s="18" t="n">
        <x:v>0</x:v>
      </x:c>
      <x:c r="BF34" s="18" t="n">
        <x:v>2</x:v>
      </x:c>
      <x:c r="BG34" s="18" t="n">
        <x:v>0</x:v>
      </x:c>
    </x:row>
    <x:row r="35">
      <x:c r="A35" s="29" t="str">
        <x:v>87</x:v>
      </x:c>
      <x:c r="B35" s="17" t="n">
        <x:v>2916</x:v>
      </x:c>
      <x:c r="C35" s="17" t="str">
        <x:v>בי"ס מוריה</x:v>
      </x:c>
      <x:c r="D35" s="17" t="str">
        <x:v>אנילביץ מרדכי 26</x:v>
      </x:c>
      <x:c r="E35" s="17" t="str">
        <x:v>גבוה מאוד</x:v>
      </x:c>
      <x:c r="F35" s="18" t="n">
        <x:v>614</x:v>
      </x:c>
      <x:c r="G35" s="18" t="n">
        <x:v>192</x:v>
      </x:c>
      <x:c r="H35" s="19" t="n">
        <x:f>IFERROR(G35/F35,0)</x:f>
        <x:v>0.3127035830618892</x:v>
      </x:c>
      <x:c r="I35" s="18" t="n">
        <x:v>1</x:v>
      </x:c>
      <x:c r="J35" s="18" t="n">
        <x:v>191</x:v>
      </x:c>
      <x:c r="K35" s="18" t="n">
        <x:f>SUM(AM35,BF35,W35,AD35)</x:f>
        <x:v>3</x:v>
      </x:c>
      <x:c r="L35" s="18" t="n">
        <x:f>Q35+R35</x:f>
        <x:v>187</x:v>
      </x:c>
      <x:c r="M35" s="19" t="n">
        <x:f>IFERROR(K35/J35,0)</x:f>
        <x:v>0.015706806282722512</x:v>
      </x:c>
      <x:c r="N35" s="19" t="n">
        <x:f>IFERROR(L35/J35,0)</x:f>
        <x:v>0.9790575916230366</x:v>
      </x:c>
      <x:c r="O35" s="17" t="str">
        <x:f>IF(K35&gt;MAX(L35,S35),"קואליציית ההקמה 2022",IF(L35&gt;MAX(K35,S35),"אופוזיציה רחבה 2022","רשימות אחרות"))</x:f>
        <x:v>אופוזיציה רחבה 2022</x:v>
      </x:c>
      <x:c r="P35" s="17" t="str">
        <x:f>IF(AND(H35&lt;50%,N35&gt;50%),"כן","לא")</x:f>
        <x:v>כן</x:v>
      </x:c>
      <x:c r="Q35" s="18" t="n">
        <x:f>SUM(AV35,AJ35,AL35,T35,AN35)</x:f>
        <x:v>57</x:v>
      </x:c>
      <x:c r="R35" s="18" t="n">
        <x:f>SUM(Y35,AU35,X35)</x:f>
        <x:v>130</x:v>
      </x:c>
      <x:c r="S35" s="18" t="n">
        <x:f>J35-K35-L35</x:f>
        <x:v>1</x:v>
      </x:c>
      <x:c r="T35" s="18" t="n">
        <x:v>5</x:v>
      </x:c>
      <x:c r="U35" s="18" t="n">
        <x:v>1</x:v>
      </x:c>
      <x:c r="V35" s="18" t="n">
        <x:v>0</x:v>
      </x:c>
      <x:c r="W35" s="18" t="n">
        <x:v>0</x:v>
      </x:c>
      <x:c r="X35" s="18" t="n">
        <x:v>34</x:v>
      </x:c>
      <x:c r="Y35" s="18" t="n">
        <x:v>88</x:v>
      </x:c>
      <x:c r="Z35" s="18" t="n">
        <x:v>0</x:v>
      </x:c>
      <x:c r="AA35" s="18" t="n">
        <x:v>0</x:v>
      </x:c>
      <x:c r="AB35" s="18" t="n">
        <x:v>0</x:v>
      </x:c>
      <x:c r="AC35" s="18" t="n">
        <x:v>0</x:v>
      </x:c>
      <x:c r="AD35" s="18" t="n">
        <x:v>1</x:v>
      </x:c>
      <x:c r="AE35" s="18" t="n">
        <x:v>0</x:v>
      </x:c>
      <x:c r="AF35" s="18" t="n">
        <x:v>0</x:v>
      </x:c>
      <x:c r="AG35" s="18" t="n">
        <x:v>0</x:v>
      </x:c>
      <x:c r="AH35" s="18" t="n">
        <x:v>0</x:v>
      </x:c>
      <x:c r="AI35" s="18" t="n">
        <x:v>0</x:v>
      </x:c>
      <x:c r="AJ35" s="18" t="n">
        <x:v>5</x:v>
      </x:c>
      <x:c r="AK35" s="18" t="n">
        <x:v>0</x:v>
      </x:c>
      <x:c r="AL35" s="18" t="n">
        <x:v>9</x:v>
      </x:c>
      <x:c r="AM35" s="18" t="n">
        <x:v>2</x:v>
      </x:c>
      <x:c r="AN35" s="18" t="n">
        <x:v>27</x:v>
      </x:c>
      <x:c r="AO35" s="18" t="n">
        <x:v>0</x:v>
      </x:c>
      <x:c r="AP35" s="18" t="n">
        <x:v>0</x:v>
      </x:c>
      <x:c r="AQ35" s="18" t="n">
        <x:v>0</x:v>
      </x:c>
      <x:c r="AR35" s="18" t="n">
        <x:v>0</x:v>
      </x:c>
      <x:c r="AS35" s="18" t="n">
        <x:v>0</x:v>
      </x:c>
      <x:c r="AT35" s="18" t="n">
        <x:v>0</x:v>
      </x:c>
      <x:c r="AU35" s="18" t="n">
        <x:v>8</x:v>
      </x:c>
      <x:c r="AV35" s="18" t="n">
        <x:v>11</x:v>
      </x:c>
      <x:c r="AW35" s="18" t="n">
        <x:v>0</x:v>
      </x:c>
      <x:c r="AX35" s="18" t="n">
        <x:v>0</x:v>
      </x:c>
      <x:c r="AY35" s="18" t="n">
        <x:v>0</x:v>
      </x:c>
      <x:c r="AZ35" s="18" t="n">
        <x:v>0</x:v>
      </x:c>
      <x:c r="BA35" s="18" t="n">
        <x:v>0</x:v>
      </x:c>
      <x:c r="BB35" s="18" t="n">
        <x:v>0</x:v>
      </x:c>
      <x:c r="BC35" s="18" t="n">
        <x:v>0</x:v>
      </x:c>
      <x:c r="BD35" s="18" t="n">
        <x:v>0</x:v>
      </x:c>
      <x:c r="BE35" s="18" t="n">
        <x:v>0</x:v>
      </x:c>
      <x:c r="BF35" s="18" t="n">
        <x:v>0</x:v>
      </x:c>
      <x:c r="BG35" s="18" t="n">
        <x:v>0</x:v>
      </x:c>
    </x:row>
    <x:row r="36">
      <x:c r="A36" s="29" t="str">
        <x:v>88</x:v>
      </x:c>
      <x:c r="B36" s="17" t="n">
        <x:v>2821</x:v>
      </x:c>
      <x:c r="C36" s="17" t="str">
        <x:v>מועדון הנוער הנוצרי</x:v>
      </x:c>
      <x:c r="D36" s="17" t="str">
        <x:v>שומאכר גוטליב 4</x:v>
      </x:c>
      <x:c r="E36" s="17" t="str">
        <x:v>גבוה מאוד</x:v>
      </x:c>
      <x:c r="F36" s="18" t="n">
        <x:v>608</x:v>
      </x:c>
      <x:c r="G36" s="18" t="n">
        <x:v>279</x:v>
      </x:c>
      <x:c r="H36" s="19" t="n">
        <x:f>IFERROR(G36/F36,0)</x:f>
        <x:v>0.4588815789473684</x:v>
      </x:c>
      <x:c r="I36" s="18" t="n">
        <x:v>4</x:v>
      </x:c>
      <x:c r="J36" s="18" t="n">
        <x:v>275</x:v>
      </x:c>
      <x:c r="K36" s="18" t="n">
        <x:f>SUM(AM36,BF36,W36,AD36)</x:f>
        <x:v>17</x:v>
      </x:c>
      <x:c r="L36" s="18" t="n">
        <x:f>Q36+R36</x:f>
        <x:v>252</x:v>
      </x:c>
      <x:c r="M36" s="19" t="n">
        <x:f>IFERROR(K36/J36,0)</x:f>
        <x:v>0.06181818181818182</x:v>
      </x:c>
      <x:c r="N36" s="19" t="n">
        <x:f>IFERROR(L36/J36,0)</x:f>
        <x:v>0.9163636363636364</x:v>
      </x:c>
      <x:c r="O36" s="17" t="str">
        <x:f>IF(K36&gt;MAX(L36,S36),"קואליציית ההקמה 2022",IF(L36&gt;MAX(K36,S36),"אופוזיציה רחבה 2022","רשימות אחרות"))</x:f>
        <x:v>אופוזיציה רחבה 2022</x:v>
      </x:c>
      <x:c r="P36" s="17" t="str">
        <x:f>IF(AND(H36&lt;50%,N36&gt;50%),"כן","לא")</x:f>
        <x:v>כן</x:v>
      </x:c>
      <x:c r="Q36" s="18" t="n">
        <x:f>SUM(AV36,AJ36,AL36,T36,AN36)</x:f>
        <x:v>62</x:v>
      </x:c>
      <x:c r="R36" s="18" t="n">
        <x:f>SUM(Y36,AU36,X36)</x:f>
        <x:v>190</x:v>
      </x:c>
      <x:c r="S36" s="18" t="n">
        <x:f>J36-K36-L36</x:f>
        <x:v>6</x:v>
      </x:c>
      <x:c r="T36" s="18" t="n">
        <x:v>7</x:v>
      </x:c>
      <x:c r="U36" s="18" t="n">
        <x:v>0</x:v>
      </x:c>
      <x:c r="V36" s="18" t="n">
        <x:v>0</x:v>
      </x:c>
      <x:c r="W36" s="18" t="n">
        <x:v>1</x:v>
      </x:c>
      <x:c r="X36" s="18" t="n">
        <x:v>70</x:v>
      </x:c>
      <x:c r="Y36" s="18" t="n">
        <x:v>108</x:v>
      </x:c>
      <x:c r="Z36" s="18" t="n">
        <x:v>0</x:v>
      </x:c>
      <x:c r="AA36" s="18" t="n">
        <x:v>0</x:v>
      </x:c>
      <x:c r="AB36" s="18" t="n">
        <x:v>0</x:v>
      </x:c>
      <x:c r="AC36" s="18" t="n">
        <x:v>0</x:v>
      </x:c>
      <x:c r="AD36" s="18" t="n">
        <x:v>2</x:v>
      </x:c>
      <x:c r="AE36" s="18" t="n">
        <x:v>0</x:v>
      </x:c>
      <x:c r="AF36" s="18" t="n">
        <x:v>1</x:v>
      </x:c>
      <x:c r="AG36" s="18" t="n">
        <x:v>1</x:v>
      </x:c>
      <x:c r="AH36" s="18" t="n">
        <x:v>0</x:v>
      </x:c>
      <x:c r="AI36" s="18" t="n">
        <x:v>0</x:v>
      </x:c>
      <x:c r="AJ36" s="18" t="n">
        <x:v>11</x:v>
      </x:c>
      <x:c r="AK36" s="18" t="n">
        <x:v>0</x:v>
      </x:c>
      <x:c r="AL36" s="18" t="n">
        <x:v>12</x:v>
      </x:c>
      <x:c r="AM36" s="18" t="n">
        <x:v>14</x:v>
      </x:c>
      <x:c r="AN36" s="18" t="n">
        <x:v>13</x:v>
      </x:c>
      <x:c r="AO36" s="18" t="n">
        <x:v>0</x:v>
      </x:c>
      <x:c r="AP36" s="18" t="n">
        <x:v>0</x:v>
      </x:c>
      <x:c r="AQ36" s="18" t="n">
        <x:v>0</x:v>
      </x:c>
      <x:c r="AR36" s="18" t="n">
        <x:v>0</x:v>
      </x:c>
      <x:c r="AS36" s="18" t="n">
        <x:v>0</x:v>
      </x:c>
      <x:c r="AT36" s="18" t="n">
        <x:v>0</x:v>
      </x:c>
      <x:c r="AU36" s="18" t="n">
        <x:v>12</x:v>
      </x:c>
      <x:c r="AV36" s="18" t="n">
        <x:v>19</x:v>
      </x:c>
      <x:c r="AW36" s="18" t="n">
        <x:v>0</x:v>
      </x:c>
      <x:c r="AX36" s="18" t="n">
        <x:v>4</x:v>
      </x:c>
      <x:c r="AY36" s="18" t="n">
        <x:v>0</x:v>
      </x:c>
      <x:c r="AZ36" s="18" t="n">
        <x:v>0</x:v>
      </x:c>
      <x:c r="BA36" s="18" t="n">
        <x:v>0</x:v>
      </x:c>
      <x:c r="BB36" s="18" t="n">
        <x:v>0</x:v>
      </x:c>
      <x:c r="BC36" s="18" t="n">
        <x:v>0</x:v>
      </x:c>
      <x:c r="BD36" s="18" t="n">
        <x:v>0</x:v>
      </x:c>
      <x:c r="BE36" s="18" t="n">
        <x:v>0</x:v>
      </x:c>
      <x:c r="BF36" s="18" t="n">
        <x:v>0</x:v>
      </x:c>
      <x:c r="BG36" s="18" t="n">
        <x:v>0</x:v>
      </x:c>
    </x:row>
    <x:row r="37">
      <x:c r="A37" s="29" t="str">
        <x:v>89.1</x:v>
      </x:c>
      <x:c r="B37" s="17" t="n">
        <x:v>2917</x:v>
      </x:c>
      <x:c r="C37" s="17" t="str">
        <x:v>בי"ס שלווה</x:v>
      </x:c>
      <x:c r="D37" s="17" t="str">
        <x:v>שדה יצחק 26</x:v>
      </x:c>
      <x:c r="E37" s="17" t="str">
        <x:v>גבוה מאוד</x:v>
      </x:c>
      <x:c r="F37" s="18" t="n">
        <x:v>659</x:v>
      </x:c>
      <x:c r="G37" s="18" t="n">
        <x:v>313</x:v>
      </x:c>
      <x:c r="H37" s="19" t="n">
        <x:f>IFERROR(G37/F37,0)</x:f>
        <x:v>0.47496206373292865</x:v>
      </x:c>
      <x:c r="I37" s="18" t="n">
        <x:v>3</x:v>
      </x:c>
      <x:c r="J37" s="18" t="n">
        <x:v>310</x:v>
      </x:c>
      <x:c r="K37" s="18" t="n">
        <x:f>SUM(AM37,BF37,W37,AD37)</x:f>
        <x:v>60</x:v>
      </x:c>
      <x:c r="L37" s="18" t="n">
        <x:f>Q37+R37</x:f>
        <x:v>242</x:v>
      </x:c>
      <x:c r="M37" s="19" t="n">
        <x:f>IFERROR(K37/J37,0)</x:f>
        <x:v>0.1935483870967742</x:v>
      </x:c>
      <x:c r="N37" s="19" t="n">
        <x:f>IFERROR(L37/J37,0)</x:f>
        <x:v>0.7806451612903226</x:v>
      </x:c>
      <x:c r="O37" s="17" t="str">
        <x:f>IF(K37&gt;MAX(L37,S37),"קואליציית ההקמה 2022",IF(L37&gt;MAX(K37,S37),"אופוזיציה רחבה 2022","רשימות אחרות"))</x:f>
        <x:v>אופוזיציה רחבה 2022</x:v>
      </x:c>
      <x:c r="P37" s="17" t="str">
        <x:f>IF(AND(H37&lt;50%,N37&gt;50%),"כן","לא")</x:f>
        <x:v>כן</x:v>
      </x:c>
      <x:c r="Q37" s="18" t="n">
        <x:f>SUM(AV37,AJ37,AL37,T37,AN37)</x:f>
        <x:v>116</x:v>
      </x:c>
      <x:c r="R37" s="18" t="n">
        <x:f>SUM(Y37,AU37,X37)</x:f>
        <x:v>126</x:v>
      </x:c>
      <x:c r="S37" s="18" t="n">
        <x:f>J37-K37-L37</x:f>
        <x:v>8</x:v>
      </x:c>
      <x:c r="T37" s="18" t="n">
        <x:v>6</x:v>
      </x:c>
      <x:c r="U37" s="18" t="n">
        <x:v>1</x:v>
      </x:c>
      <x:c r="V37" s="18" t="n">
        <x:v>0</x:v>
      </x:c>
      <x:c r="W37" s="18" t="n">
        <x:v>1</x:v>
      </x:c>
      <x:c r="X37" s="18" t="n">
        <x:v>53</x:v>
      </x:c>
      <x:c r="Y37" s="18" t="n">
        <x:v>72</x:v>
      </x:c>
      <x:c r="Z37" s="18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10</x:v>
      </x:c>
      <x:c r="AE37" s="18" t="n">
        <x:v>0</x:v>
      </x:c>
      <x:c r="AF37" s="18" t="n">
        <x:v>0</x:v>
      </x:c>
      <x:c r="AG37" s="18" t="n">
        <x:v>0</x:v>
      </x:c>
      <x:c r="AH37" s="18" t="n">
        <x:v>0</x:v>
      </x:c>
      <x:c r="AI37" s="18" t="n">
        <x:v>0</x:v>
      </x:c>
      <x:c r="AJ37" s="18" t="n">
        <x:v>14</x:v>
      </x:c>
      <x:c r="AK37" s="18" t="n">
        <x:v>1</x:v>
      </x:c>
      <x:c r="AL37" s="18" t="n">
        <x:v>46</x:v>
      </x:c>
      <x:c r="AM37" s="18" t="n">
        <x:v>47</x:v>
      </x:c>
      <x:c r="AN37" s="18" t="n">
        <x:v>16</x:v>
      </x:c>
      <x:c r="AO37" s="18" t="n">
        <x:v>0</x:v>
      </x:c>
      <x:c r="AP37" s="18" t="n">
        <x:v>1</x:v>
      </x:c>
      <x:c r="AQ37" s="18" t="n">
        <x:v>0</x:v>
      </x:c>
      <x:c r="AR37" s="18" t="n">
        <x:v>0</x:v>
      </x:c>
      <x:c r="AS37" s="18" t="n">
        <x:v>0</x:v>
      </x:c>
      <x:c r="AT37" s="18" t="n">
        <x:v>1</x:v>
      </x:c>
      <x:c r="AU37" s="18" t="n">
        <x:v>1</x:v>
      </x:c>
      <x:c r="AV37" s="18" t="n">
        <x:v>34</x:v>
      </x:c>
      <x:c r="AW37" s="18" t="n">
        <x:v>1</x:v>
      </x:c>
      <x:c r="AX37" s="18" t="n">
        <x:v>0</x:v>
      </x:c>
      <x:c r="AY37" s="18" t="n">
        <x:v>0</x:v>
      </x:c>
      <x:c r="AZ37" s="18" t="n">
        <x:v>0</x:v>
      </x:c>
      <x:c r="BA37" s="18" t="n">
        <x:v>0</x:v>
      </x:c>
      <x:c r="BB37" s="18" t="n">
        <x:v>3</x:v>
      </x:c>
      <x:c r="BC37" s="18" t="n">
        <x:v>0</x:v>
      </x:c>
      <x:c r="BD37" s="18" t="n">
        <x:v>0</x:v>
      </x:c>
      <x:c r="BE37" s="18" t="n">
        <x:v>0</x:v>
      </x:c>
      <x:c r="BF37" s="18" t="n">
        <x:v>2</x:v>
      </x:c>
      <x:c r="BG37" s="18" t="n">
        <x:v>0</x:v>
      </x:c>
    </x:row>
    <x:row r="38">
      <x:c r="A38" s="29" t="str">
        <x:v>89.2</x:v>
      </x:c>
      <x:c r="B38" s="17" t="n">
        <x:v>2918</x:v>
      </x:c>
      <x:c r="C38" s="17" t="str">
        <x:v>בי"ס שלווה</x:v>
      </x:c>
      <x:c r="D38" s="17" t="str">
        <x:v>שדה יצחק 26</x:v>
      </x:c>
      <x:c r="E38" s="17" t="str">
        <x:v>גבוה מאוד</x:v>
      </x:c>
      <x:c r="F38" s="18" t="n">
        <x:v>659</x:v>
      </x:c>
      <x:c r="G38" s="18" t="n">
        <x:v>283</x:v>
      </x:c>
      <x:c r="H38" s="19" t="n">
        <x:f>IFERROR(G38/F38,0)</x:f>
        <x:v>0.4294385432473445</x:v>
      </x:c>
      <x:c r="I38" s="18" t="n">
        <x:v>4</x:v>
      </x:c>
      <x:c r="J38" s="18" t="n">
        <x:v>279</x:v>
      </x:c>
      <x:c r="K38" s="18" t="n">
        <x:f>SUM(AM38,BF38,W38,AD38)</x:f>
        <x:v>60</x:v>
      </x:c>
      <x:c r="L38" s="18" t="n">
        <x:f>Q38+R38</x:f>
        <x:v>217</x:v>
      </x:c>
      <x:c r="M38" s="19" t="n">
        <x:f>IFERROR(K38/J38,0)</x:f>
        <x:v>0.21505376344086022</x:v>
      </x:c>
      <x:c r="N38" s="19" t="n">
        <x:f>IFERROR(L38/J38,0)</x:f>
        <x:v>0.7777777777777778</x:v>
      </x:c>
      <x:c r="O38" s="17" t="str">
        <x:f>IF(K38&gt;MAX(L38,S38),"קואליציית ההקמה 2022",IF(L38&gt;MAX(K38,S38),"אופוזיציה רחבה 2022","רשימות אחרות"))</x:f>
        <x:v>אופוזיציה רחבה 2022</x:v>
      </x:c>
      <x:c r="P38" s="17" t="str">
        <x:f>IF(AND(H38&lt;50%,N38&gt;50%),"כן","לא")</x:f>
        <x:v>כן</x:v>
      </x:c>
      <x:c r="Q38" s="18" t="n">
        <x:f>SUM(AV38,AJ38,AL38,T38,AN38)</x:f>
        <x:v>105</x:v>
      </x:c>
      <x:c r="R38" s="18" t="n">
        <x:f>SUM(Y38,AU38,X38)</x:f>
        <x:v>112</x:v>
      </x:c>
      <x:c r="S38" s="18" t="n">
        <x:f>J38-K38-L38</x:f>
        <x:v>2</x:v>
      </x:c>
      <x:c r="T38" s="18" t="n">
        <x:v>6</x:v>
      </x:c>
      <x:c r="U38" s="18" t="n">
        <x:v>0</x:v>
      </x:c>
      <x:c r="V38" s="18" t="n">
        <x:v>1</x:v>
      </x:c>
      <x:c r="W38" s="18" t="n">
        <x:v>2</x:v>
      </x:c>
      <x:c r="X38" s="18" t="n">
        <x:v>32</x:v>
      </x:c>
      <x:c r="Y38" s="18" t="n">
        <x:v>77</x:v>
      </x:c>
      <x:c r="Z38" s="18" t="n">
        <x:v>0</x:v>
      </x:c>
      <x:c r="AA38" s="18" t="n">
        <x:v>0</x:v>
      </x:c>
      <x:c r="AB38" s="18" t="n">
        <x:v>0</x:v>
      </x:c>
      <x:c r="AC38" s="18" t="n">
        <x:v>0</x:v>
      </x:c>
      <x:c r="AD38" s="18" t="n">
        <x:v>7</x:v>
      </x:c>
      <x:c r="AE38" s="18" t="n">
        <x:v>0</x:v>
      </x:c>
      <x:c r="AF38" s="18" t="n">
        <x:v>0</x:v>
      </x:c>
      <x:c r="AG38" s="18" t="n">
        <x:v>0</x:v>
      </x:c>
      <x:c r="AH38" s="18" t="n">
        <x:v>0</x:v>
      </x:c>
      <x:c r="AI38" s="18" t="n">
        <x:v>0</x:v>
      </x:c>
      <x:c r="AJ38" s="18" t="n">
        <x:v>6</x:v>
      </x:c>
      <x:c r="AK38" s="18" t="n">
        <x:v>0</x:v>
      </x:c>
      <x:c r="AL38" s="18" t="n">
        <x:v>44</x:v>
      </x:c>
      <x:c r="AM38" s="18" t="n">
        <x:v>47</x:v>
      </x:c>
      <x:c r="AN38" s="18" t="n">
        <x:v>13</x:v>
      </x:c>
      <x:c r="AO38" s="18" t="n">
        <x:v>0</x:v>
      </x:c>
      <x:c r="AP38" s="18" t="n">
        <x:v>0</x:v>
      </x:c>
      <x:c r="AQ38" s="18" t="n">
        <x:v>0</x:v>
      </x:c>
      <x:c r="AR38" s="18" t="n">
        <x:v>0</x:v>
      </x:c>
      <x:c r="AS38" s="18" t="n">
        <x:v>0</x:v>
      </x:c>
      <x:c r="AT38" s="18" t="n">
        <x:v>0</x:v>
      </x:c>
      <x:c r="AU38" s="18" t="n">
        <x:v>3</x:v>
      </x:c>
      <x:c r="AV38" s="18" t="n">
        <x:v>36</x:v>
      </x:c>
      <x:c r="AW38" s="18" t="n">
        <x:v>0</x:v>
      </x:c>
      <x:c r="AX38" s="18" t="n">
        <x:v>0</x:v>
      </x:c>
      <x:c r="AY38" s="18" t="n">
        <x:v>0</x:v>
      </x:c>
      <x:c r="AZ38" s="18" t="n">
        <x:v>0</x:v>
      </x:c>
      <x:c r="BA38" s="18" t="n">
        <x:v>0</x:v>
      </x:c>
      <x:c r="BB38" s="18" t="n">
        <x:v>0</x:v>
      </x:c>
      <x:c r="BC38" s="18" t="n">
        <x:v>0</x:v>
      </x:c>
      <x:c r="BD38" s="18" t="n">
        <x:v>1</x:v>
      </x:c>
      <x:c r="BE38" s="18" t="n">
        <x:v>0</x:v>
      </x:c>
      <x:c r="BF38" s="18" t="n">
        <x:v>4</x:v>
      </x:c>
      <x:c r="BG38" s="18" t="n">
        <x:v>0</x:v>
      </x:c>
    </x:row>
    <x:row r="39">
      <x:c r="A39" s="29" t="str">
        <x:v>89.3</x:v>
      </x:c>
      <x:c r="B39" s="17" t="n">
        <x:v>2919</x:v>
      </x:c>
      <x:c r="C39" s="17" t="str">
        <x:v>בי"ס שלווה</x:v>
      </x:c>
      <x:c r="D39" s="17" t="str">
        <x:v>שדה יצחק 26</x:v>
      </x:c>
      <x:c r="E39" s="17" t="str">
        <x:v>גבוה מאוד</x:v>
      </x:c>
      <x:c r="F39" s="18" t="n">
        <x:v>659</x:v>
      </x:c>
      <x:c r="G39" s="18" t="n">
        <x:v>279</x:v>
      </x:c>
      <x:c r="H39" s="19" t="n">
        <x:f>IFERROR(G39/F39,0)</x:f>
        <x:v>0.4233687405159332</x:v>
      </x:c>
      <x:c r="I39" s="18" t="n">
        <x:v>3</x:v>
      </x:c>
      <x:c r="J39" s="18" t="n">
        <x:v>276</x:v>
      </x:c>
      <x:c r="K39" s="18" t="n">
        <x:f>SUM(AM39,BF39,W39,AD39)</x:f>
        <x:v>59</x:v>
      </x:c>
      <x:c r="L39" s="18" t="n">
        <x:f>Q39+R39</x:f>
        <x:v>212</x:v>
      </x:c>
      <x:c r="M39" s="19" t="n">
        <x:f>IFERROR(K39/J39,0)</x:f>
        <x:v>0.213768115942029</x:v>
      </x:c>
      <x:c r="N39" s="19" t="n">
        <x:f>IFERROR(L39/J39,0)</x:f>
        <x:v>0.7681159420289855</x:v>
      </x:c>
      <x:c r="O39" s="17" t="str">
        <x:f>IF(K39&gt;MAX(L39,S39),"קואליציית ההקמה 2022",IF(L39&gt;MAX(K39,S39),"אופוזיציה רחבה 2022","רשימות אחרות"))</x:f>
        <x:v>אופוזיציה רחבה 2022</x:v>
      </x:c>
      <x:c r="P39" s="17" t="str">
        <x:f>IF(AND(H39&lt;50%,N39&gt;50%),"כן","לא")</x:f>
        <x:v>כן</x:v>
      </x:c>
      <x:c r="Q39" s="18" t="n">
        <x:f>SUM(AV39,AJ39,AL39,T39,AN39)</x:f>
        <x:v>116</x:v>
      </x:c>
      <x:c r="R39" s="18" t="n">
        <x:f>SUM(Y39,AU39,X39)</x:f>
        <x:v>96</x:v>
      </x:c>
      <x:c r="S39" s="18" t="n">
        <x:f>J39-K39-L39</x:f>
        <x:v>5</x:v>
      </x:c>
      <x:c r="T39" s="18" t="n">
        <x:v>5</x:v>
      </x:c>
      <x:c r="U39" s="18" t="n">
        <x:v>2</x:v>
      </x:c>
      <x:c r="V39" s="18" t="n">
        <x:v>0</x:v>
      </x:c>
      <x:c r="W39" s="18" t="n">
        <x:v>2</x:v>
      </x:c>
      <x:c r="X39" s="18" t="n">
        <x:v>26</x:v>
      </x:c>
      <x:c r="Y39" s="18" t="n">
        <x:v>69</x:v>
      </x:c>
      <x:c r="Z39" s="18" t="n">
        <x:v>0</x:v>
      </x:c>
      <x:c r="AA39" s="18" t="n">
        <x:v>0</x:v>
      </x:c>
      <x:c r="AB39" s="18" t="n">
        <x:v>0</x:v>
      </x:c>
      <x:c r="AC39" s="18" t="n">
        <x:v>0</x:v>
      </x:c>
      <x:c r="AD39" s="18" t="n">
        <x:v>9</x:v>
      </x:c>
      <x:c r="AE39" s="18" t="n">
        <x:v>0</x:v>
      </x:c>
      <x:c r="AF39" s="18" t="n">
        <x:v>1</x:v>
      </x:c>
      <x:c r="AG39" s="18" t="n">
        <x:v>0</x:v>
      </x:c>
      <x:c r="AH39" s="18" t="n">
        <x:v>0</x:v>
      </x:c>
      <x:c r="AI39" s="18" t="n">
        <x:v>0</x:v>
      </x:c>
      <x:c r="AJ39" s="18" t="n">
        <x:v>12</x:v>
      </x:c>
      <x:c r="AK39" s="18" t="n">
        <x:v>0</x:v>
      </x:c>
      <x:c r="AL39" s="18" t="n">
        <x:v>38</x:v>
      </x:c>
      <x:c r="AM39" s="18" t="n">
        <x:v>45</x:v>
      </x:c>
      <x:c r="AN39" s="18" t="n">
        <x:v>16</x:v>
      </x:c>
      <x:c r="AO39" s="18" t="n">
        <x:v>0</x:v>
      </x:c>
      <x:c r="AP39" s="18" t="n">
        <x:v>0</x:v>
      </x:c>
      <x:c r="AQ39" s="18" t="n">
        <x:v>0</x:v>
      </x:c>
      <x:c r="AR39" s="18" t="n">
        <x:v>0</x:v>
      </x:c>
      <x:c r="AS39" s="18" t="n">
        <x:v>0</x:v>
      </x:c>
      <x:c r="AT39" s="18" t="n">
        <x:v>0</x:v>
      </x:c>
      <x:c r="AU39" s="18" t="n">
        <x:v>1</x:v>
      </x:c>
      <x:c r="AV39" s="18" t="n">
        <x:v>45</x:v>
      </x:c>
      <x:c r="AW39" s="18" t="n">
        <x:v>0</x:v>
      </x:c>
      <x:c r="AX39" s="18" t="n">
        <x:v>1</x:v>
      </x:c>
      <x:c r="AY39" s="18" t="n">
        <x:v>0</x:v>
      </x:c>
      <x:c r="AZ39" s="18" t="n">
        <x:v>0</x:v>
      </x:c>
      <x:c r="BA39" s="18" t="n">
        <x:v>0</x:v>
      </x:c>
      <x:c r="BB39" s="18" t="n">
        <x:v>0</x:v>
      </x:c>
      <x:c r="BC39" s="18" t="n">
        <x:v>0</x:v>
      </x:c>
      <x:c r="BD39" s="18" t="n">
        <x:v>0</x:v>
      </x:c>
      <x:c r="BE39" s="18" t="n">
        <x:v>0</x:v>
      </x:c>
      <x:c r="BF39" s="18" t="n">
        <x:v>3</x:v>
      </x:c>
      <x:c r="BG39" s="18" t="n">
        <x:v>1</x:v>
      </x:c>
    </x:row>
    <x:row r="40">
      <x:c r="A40" s="29" t="str">
        <x:v>89.4</x:v>
      </x:c>
      <x:c r="B40" s="17" t="n">
        <x:v>2920</x:v>
      </x:c>
      <x:c r="C40" s="17" t="str">
        <x:v>בי"ס שלווה</x:v>
      </x:c>
      <x:c r="D40" s="17" t="str">
        <x:v>שדה יצחק 26</x:v>
      </x:c>
      <x:c r="E40" s="17" t="str">
        <x:v>גבוה מאוד</x:v>
      </x:c>
      <x:c r="F40" s="18" t="n">
        <x:v>659</x:v>
      </x:c>
      <x:c r="G40" s="18" t="n">
        <x:v>319</x:v>
      </x:c>
      <x:c r="H40" s="19" t="n">
        <x:f>IFERROR(G40/F40,0)</x:f>
        <x:v>0.48406676783004554</x:v>
      </x:c>
      <x:c r="I40" s="18" t="n">
        <x:v>4</x:v>
      </x:c>
      <x:c r="J40" s="18" t="n">
        <x:v>315</x:v>
      </x:c>
      <x:c r="K40" s="18" t="n">
        <x:f>SUM(AM40,BF40,W40,AD40)</x:f>
        <x:v>39</x:v>
      </x:c>
      <x:c r="L40" s="18" t="n">
        <x:f>Q40+R40</x:f>
        <x:v>272</x:v>
      </x:c>
      <x:c r="M40" s="19" t="n">
        <x:f>IFERROR(K40/J40,0)</x:f>
        <x:v>0.12380952380952381</x:v>
      </x:c>
      <x:c r="N40" s="19" t="n">
        <x:f>IFERROR(L40/J40,0)</x:f>
        <x:v>0.8634920634920635</x:v>
      </x:c>
      <x:c r="O40" s="17" t="str">
        <x:f>IF(K40&gt;MAX(L40,S40),"קואליציית ההקמה 2022",IF(L40&gt;MAX(K40,S40),"אופוזיציה רחבה 2022","רשימות אחרות"))</x:f>
        <x:v>אופוזיציה רחבה 2022</x:v>
      </x:c>
      <x:c r="P40" s="17" t="str">
        <x:f>IF(AND(H40&lt;50%,N40&gt;50%),"כן","לא")</x:f>
        <x:v>כן</x:v>
      </x:c>
      <x:c r="Q40" s="18" t="n">
        <x:f>SUM(AV40,AJ40,AL40,T40,AN40)</x:f>
        <x:v>97</x:v>
      </x:c>
      <x:c r="R40" s="18" t="n">
        <x:f>SUM(Y40,AU40,X40)</x:f>
        <x:v>175</x:v>
      </x:c>
      <x:c r="S40" s="18" t="n">
        <x:f>J40-K40-L40</x:f>
        <x:v>4</x:v>
      </x:c>
      <x:c r="T40" s="18" t="n">
        <x:v>9</x:v>
      </x:c>
      <x:c r="U40" s="18" t="n">
        <x:v>1</x:v>
      </x:c>
      <x:c r="V40" s="18" t="n">
        <x:v>0</x:v>
      </x:c>
      <x:c r="W40" s="18" t="n">
        <x:v>0</x:v>
      </x:c>
      <x:c r="X40" s="18" t="n">
        <x:v>64</x:v>
      </x:c>
      <x:c r="Y40" s="18" t="n">
        <x:v>105</x:v>
      </x:c>
      <x:c r="Z40" s="18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2</x:v>
      </x:c>
      <x:c r="AE40" s="18" t="n">
        <x:v>0</x:v>
      </x:c>
      <x:c r="AF40" s="18" t="n">
        <x:v>1</x:v>
      </x:c>
      <x:c r="AG40" s="18" t="n">
        <x:v>0</x:v>
      </x:c>
      <x:c r="AH40" s="18" t="n">
        <x:v>0</x:v>
      </x:c>
      <x:c r="AI40" s="18" t="n">
        <x:v>0</x:v>
      </x:c>
      <x:c r="AJ40" s="18" t="n">
        <x:v>10</x:v>
      </x:c>
      <x:c r="AK40" s="18" t="n">
        <x:v>0</x:v>
      </x:c>
      <x:c r="AL40" s="18" t="n">
        <x:v>31</x:v>
      </x:c>
      <x:c r="AM40" s="18" t="n">
        <x:v>36</x:v>
      </x:c>
      <x:c r="AN40" s="18" t="n">
        <x:v>19</x:v>
      </x:c>
      <x:c r="AO40" s="18" t="n">
        <x:v>0</x:v>
      </x:c>
      <x:c r="AP40" s="18" t="n">
        <x:v>0</x:v>
      </x:c>
      <x:c r="AQ40" s="18" t="n">
        <x:v>0</x:v>
      </x:c>
      <x:c r="AR40" s="18" t="n">
        <x:v>0</x:v>
      </x:c>
      <x:c r="AS40" s="18" t="n">
        <x:v>0</x:v>
      </x:c>
      <x:c r="AT40" s="18" t="n">
        <x:v>0</x:v>
      </x:c>
      <x:c r="AU40" s="18" t="n">
        <x:v>6</x:v>
      </x:c>
      <x:c r="AV40" s="18" t="n">
        <x:v>28</x:v>
      </x:c>
      <x:c r="AW40" s="18" t="n">
        <x:v>0</x:v>
      </x:c>
      <x:c r="AX40" s="18" t="n">
        <x:v>0</x:v>
      </x:c>
      <x:c r="AY40" s="18" t="n">
        <x:v>1</x:v>
      </x:c>
      <x:c r="AZ40" s="18" t="n">
        <x:v>1</x:v>
      </x:c>
      <x:c r="BA40" s="18" t="n">
        <x:v>0</x:v>
      </x:c>
      <x:c r="BB40" s="18" t="n">
        <x:v>0</x:v>
      </x:c>
      <x:c r="BC40" s="18" t="n">
        <x:v>0</x:v>
      </x:c>
      <x:c r="BD40" s="18" t="n">
        <x:v>0</x:v>
      </x:c>
      <x:c r="BE40" s="18" t="n">
        <x:v>0</x:v>
      </x:c>
      <x:c r="BF40" s="18" t="n">
        <x:v>1</x:v>
      </x:c>
      <x:c r="BG40" s="18" t="n">
        <x:v>0</x:v>
      </x:c>
    </x:row>
    <x:row r="41">
      <x:c r="A41" s="29" t="str">
        <x:v>89.5</x:v>
      </x:c>
      <x:c r="B41" s="17" t="n">
        <x:v>2921</x:v>
      </x:c>
      <x:c r="C41" s="17" t="str">
        <x:v>בי"ס שלווה</x:v>
      </x:c>
      <x:c r="D41" s="17" t="str">
        <x:v>שדה יצחק 26</x:v>
      </x:c>
      <x:c r="E41" s="17" t="str">
        <x:v>גבוה מאוד</x:v>
      </x:c>
      <x:c r="F41" s="18" t="n">
        <x:v>658</x:v>
      </x:c>
      <x:c r="G41" s="18" t="n">
        <x:v>282</x:v>
      </x:c>
      <x:c r="H41" s="19" t="n">
        <x:f>IFERROR(G41/F41,0)</x:f>
        <x:v>0.42857142857142855</x:v>
      </x:c>
      <x:c r="I41" s="18" t="n">
        <x:v>8</x:v>
      </x:c>
      <x:c r="J41" s="18" t="n">
        <x:v>274</x:v>
      </x:c>
      <x:c r="K41" s="18" t="n">
        <x:f>SUM(AM41,BF41,W41,AD41)</x:f>
        <x:v>65</x:v>
      </x:c>
      <x:c r="L41" s="18" t="n">
        <x:f>Q41+R41</x:f>
        <x:v>201</x:v>
      </x:c>
      <x:c r="M41" s="19" t="n">
        <x:f>IFERROR(K41/J41,0)</x:f>
        <x:v>0.23722627737226276</x:v>
      </x:c>
      <x:c r="N41" s="19" t="n">
        <x:f>IFERROR(L41/J41,0)</x:f>
        <x:v>0.7335766423357665</x:v>
      </x:c>
      <x:c r="O41" s="17" t="str">
        <x:f>IF(K41&gt;MAX(L41,S41),"קואליציית ההקמה 2022",IF(L41&gt;MAX(K41,S41),"אופוזיציה רחבה 2022","רשימות אחרות"))</x:f>
        <x:v>אופוזיציה רחבה 2022</x:v>
      </x:c>
      <x:c r="P41" s="17" t="str">
        <x:f>IF(AND(H41&lt;50%,N41&gt;50%),"כן","לא")</x:f>
        <x:v>כן</x:v>
      </x:c>
      <x:c r="Q41" s="18" t="n">
        <x:f>SUM(AV41,AJ41,AL41,T41,AN41)</x:f>
        <x:v>140</x:v>
      </x:c>
      <x:c r="R41" s="18" t="n">
        <x:f>SUM(Y41,AU41,X41)</x:f>
        <x:v>61</x:v>
      </x:c>
      <x:c r="S41" s="18" t="n">
        <x:f>J41-K41-L41</x:f>
        <x:v>8</x:v>
      </x:c>
      <x:c r="T41" s="18" t="n">
        <x:v>5</x:v>
      </x:c>
      <x:c r="U41" s="18" t="n">
        <x:v>0</x:v>
      </x:c>
      <x:c r="V41" s="18" t="n">
        <x:v>0</x:v>
      </x:c>
      <x:c r="W41" s="18" t="n">
        <x:v>2</x:v>
      </x:c>
      <x:c r="X41" s="18" t="n">
        <x:v>9</x:v>
      </x:c>
      <x:c r="Y41" s="18" t="n">
        <x:v>47</x:v>
      </x:c>
      <x:c r="Z41" s="18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14</x:v>
      </x:c>
      <x:c r="AE41" s="18" t="n">
        <x:v>0</x:v>
      </x:c>
      <x:c r="AF41" s="18" t="n">
        <x:v>1</x:v>
      </x:c>
      <x:c r="AG41" s="18" t="n">
        <x:v>0</x:v>
      </x:c>
      <x:c r="AH41" s="18" t="n">
        <x:v>0</x:v>
      </x:c>
      <x:c r="AI41" s="18" t="n">
        <x:v>0</x:v>
      </x:c>
      <x:c r="AJ41" s="18" t="n">
        <x:v>18</x:v>
      </x:c>
      <x:c r="AK41" s="18" t="n">
        <x:v>1</x:v>
      </x:c>
      <x:c r="AL41" s="18" t="n">
        <x:v>59</x:v>
      </x:c>
      <x:c r="AM41" s="18" t="n">
        <x:v>47</x:v>
      </x:c>
      <x:c r="AN41" s="18" t="n">
        <x:v>12</x:v>
      </x:c>
      <x:c r="AO41" s="18" t="n">
        <x:v>0</x:v>
      </x:c>
      <x:c r="AP41" s="18" t="n">
        <x:v>0</x:v>
      </x:c>
      <x:c r="AQ41" s="18" t="n">
        <x:v>0</x:v>
      </x:c>
      <x:c r="AR41" s="18" t="n">
        <x:v>0</x:v>
      </x:c>
      <x:c r="AS41" s="18" t="n">
        <x:v>1</x:v>
      </x:c>
      <x:c r="AT41" s="18" t="n">
        <x:v>0</x:v>
      </x:c>
      <x:c r="AU41" s="18" t="n">
        <x:v>5</x:v>
      </x:c>
      <x:c r="AV41" s="18" t="n">
        <x:v>46</x:v>
      </x:c>
      <x:c r="AW41" s="18" t="n">
        <x:v>0</x:v>
      </x:c>
      <x:c r="AX41" s="18" t="n">
        <x:v>3</x:v>
      </x:c>
      <x:c r="AY41" s="18" t="n">
        <x:v>0</x:v>
      </x:c>
      <x:c r="AZ41" s="18" t="n">
        <x:v>0</x:v>
      </x:c>
      <x:c r="BA41" s="18" t="n">
        <x:v>0</x:v>
      </x:c>
      <x:c r="BB41" s="18" t="n">
        <x:v>0</x:v>
      </x:c>
      <x:c r="BC41" s="18" t="n">
        <x:v>0</x:v>
      </x:c>
      <x:c r="BD41" s="18" t="n">
        <x:v>1</x:v>
      </x:c>
      <x:c r="BE41" s="18" t="n">
        <x:v>0</x:v>
      </x:c>
      <x:c r="BF41" s="18" t="n">
        <x:v>2</x:v>
      </x:c>
      <x:c r="BG41" s="18" t="n">
        <x:v>1</x:v>
      </x:c>
    </x:row>
    <x:row r="42">
      <x:c r="A42" s="29" t="str">
        <x:v>90.1</x:v>
      </x:c>
      <x:c r="B42" s="17" t="n">
        <x:v>2922</x:v>
      </x:c>
      <x:c r="C42" s="17" t="str">
        <x:v>בי"ס תיכון עירוני א</x:v>
      </x:c>
      <x:c r="D42" s="17" t="str">
        <x:v>תל אביב 27</x:v>
      </x:c>
      <x:c r="E42" s="17" t="str">
        <x:v>גבוה מאוד</x:v>
      </x:c>
      <x:c r="F42" s="18" t="n">
        <x:v>551</x:v>
      </x:c>
      <x:c r="G42" s="18" t="n">
        <x:v>241</x:v>
      </x:c>
      <x:c r="H42" s="19" t="n">
        <x:f>IFERROR(G42/F42,0)</x:f>
        <x:v>0.43738656987295826</x:v>
      </x:c>
      <x:c r="I42" s="18" t="n">
        <x:v>4</x:v>
      </x:c>
      <x:c r="J42" s="18" t="n">
        <x:v>237</x:v>
      </x:c>
      <x:c r="K42" s="18" t="n">
        <x:f>SUM(AM42,BF42,W42,AD42)</x:f>
        <x:v>62</x:v>
      </x:c>
      <x:c r="L42" s="18" t="n">
        <x:f>Q42+R42</x:f>
        <x:v>169</x:v>
      </x:c>
      <x:c r="M42" s="19" t="n">
        <x:f>IFERROR(K42/J42,0)</x:f>
        <x:v>0.2616033755274262</x:v>
      </x:c>
      <x:c r="N42" s="19" t="n">
        <x:f>IFERROR(L42/J42,0)</x:f>
        <x:v>0.7130801687763713</x:v>
      </x:c>
      <x:c r="O42" s="17" t="str">
        <x:f>IF(K42&gt;MAX(L42,S42),"קואליציית ההקמה 2022",IF(L42&gt;MAX(K42,S42),"אופוזיציה רחבה 2022","רשימות אחרות"))</x:f>
        <x:v>אופוזיציה רחבה 2022</x:v>
      </x:c>
      <x:c r="P42" s="17" t="str">
        <x:f>IF(AND(H42&lt;50%,N42&gt;50%),"כן","לא")</x:f>
        <x:v>כן</x:v>
      </x:c>
      <x:c r="Q42" s="18" t="n">
        <x:f>SUM(AV42,AJ42,AL42,T42,AN42)</x:f>
        <x:v>116</x:v>
      </x:c>
      <x:c r="R42" s="18" t="n">
        <x:f>SUM(Y42,AU42,X42)</x:f>
        <x:v>53</x:v>
      </x:c>
      <x:c r="S42" s="18" t="n">
        <x:f>J42-K42-L42</x:f>
        <x:v>6</x:v>
      </x:c>
      <x:c r="T42" s="18" t="n">
        <x:v>7</x:v>
      </x:c>
      <x:c r="U42" s="18" t="n">
        <x:v>0</x:v>
      </x:c>
      <x:c r="V42" s="18" t="n">
        <x:v>1</x:v>
      </x:c>
      <x:c r="W42" s="18" t="n">
        <x:v>1</x:v>
      </x:c>
      <x:c r="X42" s="18" t="n">
        <x:v>17</x:v>
      </x:c>
      <x:c r="Y42" s="18" t="n">
        <x:v>34</x:v>
      </x:c>
      <x:c r="Z42" s="18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6</x:v>
      </x:c>
      <x:c r="AE42" s="18" t="n">
        <x:v>0</x:v>
      </x:c>
      <x:c r="AF42" s="18" t="n">
        <x:v>1</x:v>
      </x:c>
      <x:c r="AG42" s="18" t="n">
        <x:v>0</x:v>
      </x:c>
      <x:c r="AH42" s="18" t="n">
        <x:v>0</x:v>
      </x:c>
      <x:c r="AI42" s="18" t="n">
        <x:v>0</x:v>
      </x:c>
      <x:c r="AJ42" s="18" t="n">
        <x:v>7</x:v>
      </x:c>
      <x:c r="AK42" s="18" t="n">
        <x:v>0</x:v>
      </x:c>
      <x:c r="AL42" s="18" t="n">
        <x:v>50</x:v>
      </x:c>
      <x:c r="AM42" s="18" t="n">
        <x:v>49</x:v>
      </x:c>
      <x:c r="AN42" s="18" t="n">
        <x:v>3</x:v>
      </x:c>
      <x:c r="AO42" s="18" t="n">
        <x:v>1</x:v>
      </x:c>
      <x:c r="AP42" s="18" t="n">
        <x:v>0</x:v>
      </x:c>
      <x:c r="AQ42" s="18" t="n">
        <x:v>0</x:v>
      </x:c>
      <x:c r="AR42" s="18" t="n">
        <x:v>0</x:v>
      </x:c>
      <x:c r="AS42" s="18" t="n">
        <x:v>0</x:v>
      </x:c>
      <x:c r="AT42" s="18" t="n">
        <x:v>0</x:v>
      </x:c>
      <x:c r="AU42" s="18" t="n">
        <x:v>2</x:v>
      </x:c>
      <x:c r="AV42" s="18" t="n">
        <x:v>49</x:v>
      </x:c>
      <x:c r="AW42" s="18" t="n">
        <x:v>0</x:v>
      </x:c>
      <x:c r="AX42" s="18" t="n">
        <x:v>0</x:v>
      </x:c>
      <x:c r="AY42" s="18" t="n">
        <x:v>0</x:v>
      </x:c>
      <x:c r="AZ42" s="18" t="n">
        <x:v>0</x:v>
      </x:c>
      <x:c r="BA42" s="18" t="n">
        <x:v>0</x:v>
      </x:c>
      <x:c r="BB42" s="18" t="n">
        <x:v>1</x:v>
      </x:c>
      <x:c r="BC42" s="18" t="n">
        <x:v>0</x:v>
      </x:c>
      <x:c r="BD42" s="18" t="n">
        <x:v>2</x:v>
      </x:c>
      <x:c r="BE42" s="18" t="n">
        <x:v>0</x:v>
      </x:c>
      <x:c r="BF42" s="18" t="n">
        <x:v>6</x:v>
      </x:c>
      <x:c r="BG42" s="18" t="n">
        <x:v>0</x:v>
      </x:c>
    </x:row>
    <x:row r="43">
      <x:c r="A43" s="29" t="str">
        <x:v>90.2</x:v>
      </x:c>
      <x:c r="B43" s="17" t="n">
        <x:v>2923</x:v>
      </x:c>
      <x:c r="C43" s="17" t="str">
        <x:v>בי"ס תיכון עירוני א</x:v>
      </x:c>
      <x:c r="D43" s="17" t="str">
        <x:v>תל אביב 27</x:v>
      </x:c>
      <x:c r="E43" s="17" t="str">
        <x:v>גבוה מאוד</x:v>
      </x:c>
      <x:c r="F43" s="18" t="n">
        <x:v>551</x:v>
      </x:c>
      <x:c r="G43" s="18" t="n">
        <x:v>285</x:v>
      </x:c>
      <x:c r="H43" s="19" t="n">
        <x:f>IFERROR(G43/F43,0)</x:f>
        <x:v>0.5172413793103449</x:v>
      </x:c>
      <x:c r="I43" s="18" t="n">
        <x:v>5</x:v>
      </x:c>
      <x:c r="J43" s="18" t="n">
        <x:v>280</x:v>
      </x:c>
      <x:c r="K43" s="18" t="n">
        <x:f>SUM(AM43,BF43,W43,AD43)</x:f>
        <x:v>76</x:v>
      </x:c>
      <x:c r="L43" s="18" t="n">
        <x:f>Q43+R43</x:f>
        <x:v>198</x:v>
      </x:c>
      <x:c r="M43" s="19" t="n">
        <x:f>IFERROR(K43/J43,0)</x:f>
        <x:v>0.2714285714285714</x:v>
      </x:c>
      <x:c r="N43" s="19" t="n">
        <x:f>IFERROR(L43/J43,0)</x:f>
        <x:v>0.7071428571428572</x:v>
      </x:c>
      <x:c r="O43" s="17" t="str">
        <x:f>IF(K43&gt;MAX(L43,S43),"קואליציית ההקמה 2022",IF(L43&gt;MAX(K43,S43),"אופוזיציה רחבה 2022","רשימות אחרות"))</x:f>
        <x:v>אופוזיציה רחבה 2022</x:v>
      </x:c>
      <x:c r="P43" s="17" t="str">
        <x:f>IF(AND(H43&lt;50%,N43&gt;50%),"כן","לא")</x:f>
        <x:v>לא</x:v>
      </x:c>
      <x:c r="Q43" s="18" t="n">
        <x:f>SUM(AV43,AJ43,AL43,T43,AN43)</x:f>
        <x:v>111</x:v>
      </x:c>
      <x:c r="R43" s="18" t="n">
        <x:f>SUM(Y43,AU43,X43)</x:f>
        <x:v>87</x:v>
      </x:c>
      <x:c r="S43" s="18" t="n">
        <x:f>J43-K43-L43</x:f>
        <x:v>6</x:v>
      </x:c>
      <x:c r="T43" s="18" t="n">
        <x:v>2</x:v>
      </x:c>
      <x:c r="U43" s="18" t="n">
        <x:v>0</x:v>
      </x:c>
      <x:c r="V43" s="18" t="n">
        <x:v>1</x:v>
      </x:c>
      <x:c r="W43" s="18" t="n">
        <x:v>2</x:v>
      </x:c>
      <x:c r="X43" s="18" t="n">
        <x:v>25</x:v>
      </x:c>
      <x:c r="Y43" s="18" t="n">
        <x:v>53</x:v>
      </x:c>
      <x:c r="Z43" s="18" t="n">
        <x:v>0</x:v>
      </x:c>
      <x:c r="AA43" s="18" t="n">
        <x:v>0</x:v>
      </x:c>
      <x:c r="AB43" s="18" t="n">
        <x:v>0</x:v>
      </x:c>
      <x:c r="AC43" s="18" t="n">
        <x:v>0</x:v>
      </x:c>
      <x:c r="AD43" s="18" t="n">
        <x:v>8</x:v>
      </x:c>
      <x:c r="AE43" s="18" t="n">
        <x:v>0</x:v>
      </x:c>
      <x:c r="AF43" s="18" t="n">
        <x:v>1</x:v>
      </x:c>
      <x:c r="AG43" s="18" t="n">
        <x:v>0</x:v>
      </x:c>
      <x:c r="AH43" s="18" t="n">
        <x:v>0</x:v>
      </x:c>
      <x:c r="AI43" s="18" t="n">
        <x:v>0</x:v>
      </x:c>
      <x:c r="AJ43" s="18" t="n">
        <x:v>11</x:v>
      </x:c>
      <x:c r="AK43" s="18" t="n">
        <x:v>1</x:v>
      </x:c>
      <x:c r="AL43" s="18" t="n">
        <x:v>54</x:v>
      </x:c>
      <x:c r="AM43" s="18" t="n">
        <x:v>61</x:v>
      </x:c>
      <x:c r="AN43" s="18" t="n">
        <x:v>6</x:v>
      </x:c>
      <x:c r="AO43" s="18" t="n">
        <x:v>0</x:v>
      </x:c>
      <x:c r="AP43" s="18" t="n">
        <x:v>0</x:v>
      </x:c>
      <x:c r="AQ43" s="18" t="n">
        <x:v>0</x:v>
      </x:c>
      <x:c r="AR43" s="18" t="n">
        <x:v>0</x:v>
      </x:c>
      <x:c r="AS43" s="18" t="n">
        <x:v>0</x:v>
      </x:c>
      <x:c r="AT43" s="18" t="n">
        <x:v>0</x:v>
      </x:c>
      <x:c r="AU43" s="18" t="n">
        <x:v>9</x:v>
      </x:c>
      <x:c r="AV43" s="18" t="n">
        <x:v>38</x:v>
      </x:c>
      <x:c r="AW43" s="18" t="n">
        <x:v>0</x:v>
      </x:c>
      <x:c r="AX43" s="18" t="n">
        <x:v>0</x:v>
      </x:c>
      <x:c r="AY43" s="18" t="n">
        <x:v>0</x:v>
      </x:c>
      <x:c r="AZ43" s="18" t="n">
        <x:v>0</x:v>
      </x:c>
      <x:c r="BA43" s="18" t="n">
        <x:v>0</x:v>
      </x:c>
      <x:c r="BB43" s="18" t="n">
        <x:v>0</x:v>
      </x:c>
      <x:c r="BC43" s="18" t="n">
        <x:v>0</x:v>
      </x:c>
      <x:c r="BD43" s="18" t="n">
        <x:v>2</x:v>
      </x:c>
      <x:c r="BE43" s="18" t="n">
        <x:v>0</x:v>
      </x:c>
      <x:c r="BF43" s="18" t="n">
        <x:v>5</x:v>
      </x:c>
      <x:c r="BG43" s="18" t="n">
        <x:v>1</x:v>
      </x:c>
    </x:row>
    <x:row r="44">
      <x:c r="A44" s="29" t="str">
        <x:v>90.3</x:v>
      </x:c>
      <x:c r="B44" s="17" t="n">
        <x:v>2924</x:v>
      </x:c>
      <x:c r="C44" s="17" t="str">
        <x:v>בי"ס תיכון עירוני א</x:v>
      </x:c>
      <x:c r="D44" s="17" t="str">
        <x:v>תל אביב 27</x:v>
      </x:c>
      <x:c r="E44" s="17" t="str">
        <x:v>גבוה מאוד</x:v>
      </x:c>
      <x:c r="F44" s="18" t="n">
        <x:v>551</x:v>
      </x:c>
      <x:c r="G44" s="18" t="n">
        <x:v>260</x:v>
      </x:c>
      <x:c r="H44" s="19" t="n">
        <x:f>IFERROR(G44/F44,0)</x:f>
        <x:v>0.47186932849364793</x:v>
      </x:c>
      <x:c r="I44" s="18" t="n">
        <x:v>2</x:v>
      </x:c>
      <x:c r="J44" s="18" t="n">
        <x:v>258</x:v>
      </x:c>
      <x:c r="K44" s="18" t="n">
        <x:f>SUM(AM44,BF44,W44,AD44)</x:f>
        <x:v>66</x:v>
      </x:c>
      <x:c r="L44" s="18" t="n">
        <x:f>Q44+R44</x:f>
        <x:v>188</x:v>
      </x:c>
      <x:c r="M44" s="19" t="n">
        <x:f>IFERROR(K44/J44,0)</x:f>
        <x:v>0.2558139534883721</x:v>
      </x:c>
      <x:c r="N44" s="19" t="n">
        <x:f>IFERROR(L44/J44,0)</x:f>
        <x:v>0.7286821705426356</x:v>
      </x:c>
      <x:c r="O44" s="17" t="str">
        <x:f>IF(K44&gt;MAX(L44,S44),"קואליציית ההקמה 2022",IF(L44&gt;MAX(K44,S44),"אופוזיציה רחבה 2022","רשימות אחרות"))</x:f>
        <x:v>אופוזיציה רחבה 2022</x:v>
      </x:c>
      <x:c r="P44" s="17" t="str">
        <x:f>IF(AND(H44&lt;50%,N44&gt;50%),"כן","לא")</x:f>
        <x:v>כן</x:v>
      </x:c>
      <x:c r="Q44" s="18" t="n">
        <x:f>SUM(AV44,AJ44,AL44,T44,AN44)</x:f>
        <x:v>104</x:v>
      </x:c>
      <x:c r="R44" s="18" t="n">
        <x:f>SUM(Y44,AU44,X44)</x:f>
        <x:v>84</x:v>
      </x:c>
      <x:c r="S44" s="18" t="n">
        <x:f>J44-K44-L44</x:f>
        <x:v>4</x:v>
      </x:c>
      <x:c r="T44" s="18" t="n">
        <x:v>4</x:v>
      </x:c>
      <x:c r="U44" s="18" t="n">
        <x:v>0</x:v>
      </x:c>
      <x:c r="V44" s="18" t="n">
        <x:v>1</x:v>
      </x:c>
      <x:c r="W44" s="18" t="n">
        <x:v>1</x:v>
      </x:c>
      <x:c r="X44" s="18" t="n">
        <x:v>21</x:v>
      </x:c>
      <x:c r="Y44" s="18" t="n">
        <x:v>58</x:v>
      </x:c>
      <x:c r="Z44" s="18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15</x:v>
      </x:c>
      <x:c r="AE44" s="18" t="n">
        <x:v>0</x:v>
      </x:c>
      <x:c r="AF44" s="18" t="n">
        <x:v>1</x:v>
      </x:c>
      <x:c r="AG44" s="18" t="n">
        <x:v>0</x:v>
      </x:c>
      <x:c r="AH44" s="18" t="n">
        <x:v>0</x:v>
      </x:c>
      <x:c r="AI44" s="18" t="n">
        <x:v>0</x:v>
      </x:c>
      <x:c r="AJ44" s="18" t="n">
        <x:v>11</x:v>
      </x:c>
      <x:c r="AK44" s="18" t="n">
        <x:v>0</x:v>
      </x:c>
      <x:c r="AL44" s="18" t="n">
        <x:v>38</x:v>
      </x:c>
      <x:c r="AM44" s="18" t="n">
        <x:v>41</x:v>
      </x:c>
      <x:c r="AN44" s="18" t="n">
        <x:v>7</x:v>
      </x:c>
      <x:c r="AO44" s="18" t="n">
        <x:v>0</x:v>
      </x:c>
      <x:c r="AP44" s="18" t="n">
        <x:v>0</x:v>
      </x:c>
      <x:c r="AQ44" s="18" t="n">
        <x:v>0</x:v>
      </x:c>
      <x:c r="AR44" s="18" t="n">
        <x:v>0</x:v>
      </x:c>
      <x:c r="AS44" s="18" t="n">
        <x:v>0</x:v>
      </x:c>
      <x:c r="AT44" s="18" t="n">
        <x:v>0</x:v>
      </x:c>
      <x:c r="AU44" s="18" t="n">
        <x:v>5</x:v>
      </x:c>
      <x:c r="AV44" s="18" t="n">
        <x:v>44</x:v>
      </x:c>
      <x:c r="AW44" s="18" t="n">
        <x:v>0</x:v>
      </x:c>
      <x:c r="AX44" s="18" t="n">
        <x:v>1</x:v>
      </x:c>
      <x:c r="AY44" s="18" t="n">
        <x:v>0</x:v>
      </x:c>
      <x:c r="AZ44" s="18" t="n">
        <x:v>0</x:v>
      </x:c>
      <x:c r="BA44" s="18" t="n">
        <x:v>0</x:v>
      </x:c>
      <x:c r="BB44" s="18" t="n">
        <x:v>0</x:v>
      </x:c>
      <x:c r="BC44" s="18" t="n">
        <x:v>0</x:v>
      </x:c>
      <x:c r="BD44" s="18" t="n">
        <x:v>1</x:v>
      </x:c>
      <x:c r="BE44" s="18" t="n">
        <x:v>0</x:v>
      </x:c>
      <x:c r="BF44" s="18" t="n">
        <x:v>9</x:v>
      </x:c>
      <x:c r="BG44" s="18" t="n">
        <x:v>0</x:v>
      </x:c>
    </x:row>
    <x:row r="45">
      <x:c r="A45" s="29" t="str">
        <x:v>90.4</x:v>
      </x:c>
      <x:c r="B45" s="17" t="n">
        <x:v>2925</x:v>
      </x:c>
      <x:c r="C45" s="17" t="str">
        <x:v>בי"ס תיכון עירוני א</x:v>
      </x:c>
      <x:c r="D45" s="17" t="str">
        <x:v>תל אביב 27</x:v>
      </x:c>
      <x:c r="E45" s="17" t="str">
        <x:v>גבוה מאוד</x:v>
      </x:c>
      <x:c r="F45" s="18" t="n">
        <x:v>549</x:v>
      </x:c>
      <x:c r="G45" s="18" t="n">
        <x:v>239</x:v>
      </x:c>
      <x:c r="H45" s="19" t="n">
        <x:f>IFERROR(G45/F45,0)</x:f>
        <x:v>0.4353369763205829</x:v>
      </x:c>
      <x:c r="I45" s="18" t="n">
        <x:v>4</x:v>
      </x:c>
      <x:c r="J45" s="18" t="n">
        <x:v>235</x:v>
      </x:c>
      <x:c r="K45" s="18" t="n">
        <x:f>SUM(AM45,BF45,W45,AD45)</x:f>
        <x:v>74</x:v>
      </x:c>
      <x:c r="L45" s="18" t="n">
        <x:f>Q45+R45</x:f>
        <x:v>156</x:v>
      </x:c>
      <x:c r="M45" s="19" t="n">
        <x:f>IFERROR(K45/J45,0)</x:f>
        <x:v>0.3148936170212766</x:v>
      </x:c>
      <x:c r="N45" s="19" t="n">
        <x:f>IFERROR(L45/J45,0)</x:f>
        <x:v>0.6638297872340425</x:v>
      </x:c>
      <x:c r="O45" s="17" t="str">
        <x:f>IF(K45&gt;MAX(L45,S45),"קואליציית ההקמה 2022",IF(L45&gt;MAX(K45,S45),"אופוזיציה רחבה 2022","רשימות אחרות"))</x:f>
        <x:v>אופוזיציה רחבה 2022</x:v>
      </x:c>
      <x:c r="P45" s="17" t="str">
        <x:f>IF(AND(H45&lt;50%,N45&gt;50%),"כן","לא")</x:f>
        <x:v>כן</x:v>
      </x:c>
      <x:c r="Q45" s="18" t="n">
        <x:f>SUM(AV45,AJ45,AL45,T45,AN45)</x:f>
        <x:v>121</x:v>
      </x:c>
      <x:c r="R45" s="18" t="n">
        <x:f>SUM(Y45,AU45,X45)</x:f>
        <x:v>35</x:v>
      </x:c>
      <x:c r="S45" s="18" t="n">
        <x:f>J45-K45-L45</x:f>
        <x:v>5</x:v>
      </x:c>
      <x:c r="T45" s="18" t="n">
        <x:v>4</x:v>
      </x:c>
      <x:c r="U45" s="18" t="n">
        <x:v>0</x:v>
      </x:c>
      <x:c r="V45" s="18" t="n">
        <x:v>0</x:v>
      </x:c>
      <x:c r="W45" s="18" t="n">
        <x:v>3</x:v>
      </x:c>
      <x:c r="X45" s="18" t="n">
        <x:v>18</x:v>
      </x:c>
      <x:c r="Y45" s="18" t="n">
        <x:v>15</x:v>
      </x:c>
      <x:c r="Z45" s="18" t="n">
        <x:v>1</x:v>
      </x:c>
      <x:c r="AA45" s="18" t="n">
        <x:v>0</x:v>
      </x:c>
      <x:c r="AB45" s="18" t="n">
        <x:v>0</x:v>
      </x:c>
      <x:c r="AC45" s="18" t="n">
        <x:v>0</x:v>
      </x:c>
      <x:c r="AD45" s="18" t="n">
        <x:v>6</x:v>
      </x:c>
      <x:c r="AE45" s="18" t="n">
        <x:v>0</x:v>
      </x:c>
      <x:c r="AF45" s="18" t="n">
        <x:v>2</x:v>
      </x:c>
      <x:c r="AG45" s="18" t="n">
        <x:v>0</x:v>
      </x:c>
      <x:c r="AH45" s="18" t="n">
        <x:v>0</x:v>
      </x:c>
      <x:c r="AI45" s="18" t="n">
        <x:v>0</x:v>
      </x:c>
      <x:c r="AJ45" s="18" t="n">
        <x:v>5</x:v>
      </x:c>
      <x:c r="AK45" s="18" t="n">
        <x:v>0</x:v>
      </x:c>
      <x:c r="AL45" s="18" t="n">
        <x:v>58</x:v>
      </x:c>
      <x:c r="AM45" s="18" t="n">
        <x:v>63</x:v>
      </x:c>
      <x:c r="AN45" s="18" t="n">
        <x:v>10</x:v>
      </x:c>
      <x:c r="AO45" s="18" t="n">
        <x:v>0</x:v>
      </x:c>
      <x:c r="AP45" s="18" t="n">
        <x:v>0</x:v>
      </x:c>
      <x:c r="AQ45" s="18" t="n">
        <x:v>0</x:v>
      </x:c>
      <x:c r="AR45" s="18" t="n">
        <x:v>0</x:v>
      </x:c>
      <x:c r="AS45" s="18" t="n">
        <x:v>0</x:v>
      </x:c>
      <x:c r="AT45" s="18" t="n">
        <x:v>0</x:v>
      </x:c>
      <x:c r="AU45" s="18" t="n">
        <x:v>2</x:v>
      </x:c>
      <x:c r="AV45" s="18" t="n">
        <x:v>44</x:v>
      </x:c>
      <x:c r="AW45" s="18" t="n">
        <x:v>0</x:v>
      </x:c>
      <x:c r="AX45" s="18" t="n">
        <x:v>1</x:v>
      </x:c>
      <x:c r="AY45" s="18" t="n">
        <x:v>0</x:v>
      </x:c>
      <x:c r="AZ45" s="18" t="n">
        <x:v>1</x:v>
      </x:c>
      <x:c r="BA45" s="18" t="n">
        <x:v>0</x:v>
      </x:c>
      <x:c r="BB45" s="18" t="n">
        <x:v>0</x:v>
      </x:c>
      <x:c r="BC45" s="18" t="n">
        <x:v>0</x:v>
      </x:c>
      <x:c r="BD45" s="18" t="n">
        <x:v>0</x:v>
      </x:c>
      <x:c r="BE45" s="18" t="n">
        <x:v>0</x:v>
      </x:c>
      <x:c r="BF45" s="18" t="n">
        <x:v>2</x:v>
      </x:c>
      <x:c r="BG45" s="18" t="n">
        <x:v>0</x:v>
      </x:c>
    </x:row>
    <x:row r="46">
      <x:c r="A46" s="29" t="str">
        <x:v>93</x:v>
      </x:c>
      <x:c r="B46" s="17" t="n">
        <x:v>2926</x:v>
      </x:c>
      <x:c r="C46" s="17" t="str">
        <x:v>בי"ס דרור</x:v>
      </x:c>
      <x:c r="D46" s="17" t="str">
        <x:v>דרור 19</x:v>
      </x:c>
      <x:c r="E46" s="17" t="str">
        <x:v>גבוה מאוד</x:v>
      </x:c>
      <x:c r="F46" s="18" t="n">
        <x:v>654</x:v>
      </x:c>
      <x:c r="G46" s="18" t="n">
        <x:v>331</x:v>
      </x:c>
      <x:c r="H46" s="19" t="n">
        <x:f>IFERROR(G46/F46,0)</x:f>
        <x:v>0.5061162079510704</x:v>
      </x:c>
      <x:c r="I46" s="18" t="n">
        <x:v>2</x:v>
      </x:c>
      <x:c r="J46" s="18" t="n">
        <x:v>329</x:v>
      </x:c>
      <x:c r="K46" s="18" t="n">
        <x:f>SUM(AM46,BF46,W46,AD46)</x:f>
        <x:v>132</x:v>
      </x:c>
      <x:c r="L46" s="18" t="n">
        <x:f>Q46+R46</x:f>
        <x:v>190</x:v>
      </x:c>
      <x:c r="M46" s="19" t="n">
        <x:f>IFERROR(K46/J46,0)</x:f>
        <x:v>0.4012158054711246</x:v>
      </x:c>
      <x:c r="N46" s="19" t="n">
        <x:f>IFERROR(L46/J46,0)</x:f>
        <x:v>0.5775075987841946</x:v>
      </x:c>
      <x:c r="O46" s="17" t="str">
        <x:f>IF(K46&gt;MAX(L46,S46),"קואליציית ההקמה 2022",IF(L46&gt;MAX(K46,S46),"אופוזיציה רחבה 2022","רשימות אחרות"))</x:f>
        <x:v>אופוזיציה רחבה 2022</x:v>
      </x:c>
      <x:c r="P46" s="17" t="str">
        <x:f>IF(AND(H46&lt;50%,N46&gt;50%),"כן","לא")</x:f>
        <x:v>לא</x:v>
      </x:c>
      <x:c r="Q46" s="18" t="n">
        <x:f>SUM(AV46,AJ46,AL46,T46,AN46)</x:f>
        <x:v>173</x:v>
      </x:c>
      <x:c r="R46" s="18" t="n">
        <x:f>SUM(Y46,AU46,X46)</x:f>
        <x:v>17</x:v>
      </x:c>
      <x:c r="S46" s="18" t="n">
        <x:f>J46-K46-L46</x:f>
        <x:v>7</x:v>
      </x:c>
      <x:c r="T46" s="18" t="n">
        <x:v>15</x:v>
      </x:c>
      <x:c r="U46" s="18" t="n">
        <x:v>1</x:v>
      </x:c>
      <x:c r="V46" s="18" t="n">
        <x:v>2</x:v>
      </x:c>
      <x:c r="W46" s="18" t="n">
        <x:v>0</x:v>
      </x:c>
      <x:c r="X46" s="18" t="n">
        <x:v>3</x:v>
      </x:c>
      <x:c r="Y46" s="18" t="n">
        <x:v>13</x:v>
      </x:c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17</x:v>
      </x:c>
      <x:c r="AE46" s="18" t="n">
        <x:v>0</x:v>
      </x:c>
      <x:c r="AF46" s="18" t="n">
        <x:v>1</x:v>
      </x:c>
      <x:c r="AG46" s="18" t="n">
        <x:v>0</x:v>
      </x:c>
      <x:c r="AH46" s="18" t="n">
        <x:v>1</x:v>
      </x:c>
      <x:c r="AI46" s="18" t="n">
        <x:v>0</x:v>
      </x:c>
      <x:c r="AJ46" s="18" t="n">
        <x:v>39</x:v>
      </x:c>
      <x:c r="AK46" s="18" t="n">
        <x:v>0</x:v>
      </x:c>
      <x:c r="AL46" s="18" t="n">
        <x:v>38</x:v>
      </x:c>
      <x:c r="AM46" s="18" t="n">
        <x:v>110</x:v>
      </x:c>
      <x:c r="AN46" s="18" t="n">
        <x:v>13</x:v>
      </x:c>
      <x:c r="AO46" s="18" t="n">
        <x:v>0</x:v>
      </x:c>
      <x:c r="AP46" s="18" t="n">
        <x:v>0</x:v>
      </x:c>
      <x:c r="AQ46" s="18" t="n">
        <x:v>0</x:v>
      </x:c>
      <x:c r="AR46" s="18" t="n">
        <x:v>0</x:v>
      </x:c>
      <x:c r="AS46" s="18" t="n">
        <x:v>0</x:v>
      </x:c>
      <x:c r="AT46" s="18" t="n">
        <x:v>0</x:v>
      </x:c>
      <x:c r="AU46" s="18" t="n">
        <x:v>1</x:v>
      </x:c>
      <x:c r="AV46" s="18" t="n">
        <x:v>68</x:v>
      </x:c>
      <x:c r="AW46" s="18" t="n">
        <x:v>0</x:v>
      </x:c>
      <x:c r="AX46" s="18" t="n">
        <x:v>0</x:v>
      </x:c>
      <x:c r="AY46" s="18" t="n">
        <x:v>0</x:v>
      </x:c>
      <x:c r="AZ46" s="18" t="n">
        <x:v>1</x:v>
      </x:c>
      <x:c r="BA46" s="18" t="n">
        <x:v>0</x:v>
      </x:c>
      <x:c r="BB46" s="18" t="n">
        <x:v>0</x:v>
      </x:c>
      <x:c r="BC46" s="18" t="n">
        <x:v>0</x:v>
      </x:c>
      <x:c r="BD46" s="18" t="n">
        <x:v>1</x:v>
      </x:c>
      <x:c r="BE46" s="18" t="n">
        <x:v>0</x:v>
      </x:c>
      <x:c r="BF46" s="18" t="n">
        <x:v>5</x:v>
      </x:c>
      <x:c r="BG46" s="18" t="n">
        <x:v>0</x:v>
      </x:c>
    </x:row>
    <x:row r="47">
      <x:c r="A47" s="29" t="str">
        <x:v>101.1</x:v>
      </x:c>
      <x:c r="B47" s="17" t="n">
        <x:v>2927</x:v>
      </x:c>
      <x:c r="C47" s="17" t="str">
        <x:v>בי"ס האונטרופוסופי</x:v>
      </x:c>
      <x:c r="D47" s="17" t="str">
        <x:v>העליה השניה 27</x:v>
      </x:c>
      <x:c r="E47" s="17" t="str">
        <x:v>גבוה מאוד</x:v>
      </x:c>
      <x:c r="F47" s="18" t="n">
        <x:v>614</x:v>
      </x:c>
      <x:c r="G47" s="18" t="n">
        <x:v>252</x:v>
      </x:c>
      <x:c r="H47" s="19" t="n">
        <x:f>IFERROR(G47/F47,0)</x:f>
        <x:v>0.41042345276872966</x:v>
      </x:c>
      <x:c r="I47" s="18" t="n">
        <x:v>0</x:v>
      </x:c>
      <x:c r="J47" s="18" t="n">
        <x:v>252</x:v>
      </x:c>
      <x:c r="K47" s="18" t="n">
        <x:f>SUM(AM47,BF47,W47,AD47)</x:f>
        <x:v>87</x:v>
      </x:c>
      <x:c r="L47" s="18" t="n">
        <x:f>Q47+R47</x:f>
        <x:v>152</x:v>
      </x:c>
      <x:c r="M47" s="19" t="n">
        <x:f>IFERROR(K47/J47,0)</x:f>
        <x:v>0.34523809523809523</x:v>
      </x:c>
      <x:c r="N47" s="19" t="n">
        <x:f>IFERROR(L47/J47,0)</x:f>
        <x:v>0.6031746031746031</x:v>
      </x:c>
      <x:c r="O47" s="17" t="str">
        <x:f>IF(K47&gt;MAX(L47,S47),"קואליציית ההקמה 2022",IF(L47&gt;MAX(K47,S47),"אופוזיציה רחבה 2022","רשימות אחרות"))</x:f>
        <x:v>אופוזיציה רחבה 2022</x:v>
      </x:c>
      <x:c r="P47" s="17" t="str">
        <x:f>IF(AND(H47&lt;50%,N47&gt;50%),"כן","לא")</x:f>
        <x:v>כן</x:v>
      </x:c>
      <x:c r="Q47" s="18" t="n">
        <x:f>SUM(AV47,AJ47,AL47,T47,AN47)</x:f>
        <x:v>141</x:v>
      </x:c>
      <x:c r="R47" s="18" t="n">
        <x:f>SUM(Y47,AU47,X47)</x:f>
        <x:v>11</x:v>
      </x:c>
      <x:c r="S47" s="18" t="n">
        <x:f>J47-K47-L47</x:f>
        <x:v>13</x:v>
      </x:c>
      <x:c r="T47" s="18" t="n">
        <x:v>13</x:v>
      </x:c>
      <x:c r="U47" s="18" t="n">
        <x:v>3</x:v>
      </x:c>
      <x:c r="V47" s="18" t="n">
        <x:v>2</x:v>
      </x:c>
      <x:c r="W47" s="18" t="n">
        <x:v>1</x:v>
      </x:c>
      <x:c r="X47" s="18" t="n">
        <x:v>1</x:v>
      </x:c>
      <x:c r="Y47" s="18" t="n">
        <x:v>9</x:v>
      </x:c>
      <x:c r="Z47" s="18" t="n">
        <x:v>0</x:v>
      </x:c>
      <x:c r="AA47" s="18" t="n">
        <x:v>0</x:v>
      </x:c>
      <x:c r="AB47" s="18" t="n">
        <x:v>0</x:v>
      </x:c>
      <x:c r="AC47" s="18" t="n">
        <x:v>0</x:v>
      </x:c>
      <x:c r="AD47" s="18" t="n">
        <x:v>15</x:v>
      </x:c>
      <x:c r="AE47" s="18" t="n">
        <x:v>0</x:v>
      </x:c>
      <x:c r="AF47" s="18" t="n">
        <x:v>2</x:v>
      </x:c>
      <x:c r="AG47" s="18" t="n">
        <x:v>0</x:v>
      </x:c>
      <x:c r="AH47" s="18" t="n">
        <x:v>0</x:v>
      </x:c>
      <x:c r="AI47" s="18" t="n">
        <x:v>0</x:v>
      </x:c>
      <x:c r="AJ47" s="18" t="n">
        <x:v>25</x:v>
      </x:c>
      <x:c r="AK47" s="18" t="n">
        <x:v>0</x:v>
      </x:c>
      <x:c r="AL47" s="18" t="n">
        <x:v>23</x:v>
      </x:c>
      <x:c r="AM47" s="18" t="n">
        <x:v>67</x:v>
      </x:c>
      <x:c r="AN47" s="18" t="n">
        <x:v>20</x:v>
      </x:c>
      <x:c r="AO47" s="18" t="n">
        <x:v>0</x:v>
      </x:c>
      <x:c r="AP47" s="18" t="n">
        <x:v>0</x:v>
      </x:c>
      <x:c r="AQ47" s="18" t="n">
        <x:v>0</x:v>
      </x:c>
      <x:c r="AR47" s="18" t="n">
        <x:v>0</x:v>
      </x:c>
      <x:c r="AS47" s="18" t="n">
        <x:v>0</x:v>
      </x:c>
      <x:c r="AT47" s="18" t="n">
        <x:v>0</x:v>
      </x:c>
      <x:c r="AU47" s="18" t="n">
        <x:v>1</x:v>
      </x:c>
      <x:c r="AV47" s="18" t="n">
        <x:v>60</x:v>
      </x:c>
      <x:c r="AW47" s="18" t="n">
        <x:v>0</x:v>
      </x:c>
      <x:c r="AX47" s="18" t="n">
        <x:v>1</x:v>
      </x:c>
      <x:c r="AY47" s="18" t="n">
        <x:v>1</x:v>
      </x:c>
      <x:c r="AZ47" s="18" t="n">
        <x:v>0</x:v>
      </x:c>
      <x:c r="BA47" s="18" t="n">
        <x:v>0</x:v>
      </x:c>
      <x:c r="BB47" s="18" t="n">
        <x:v>0</x:v>
      </x:c>
      <x:c r="BC47" s="18" t="n">
        <x:v>0</x:v>
      </x:c>
      <x:c r="BD47" s="18" t="n">
        <x:v>3</x:v>
      </x:c>
      <x:c r="BE47" s="18" t="n">
        <x:v>1</x:v>
      </x:c>
      <x:c r="BF47" s="18" t="n">
        <x:v>4</x:v>
      </x:c>
      <x:c r="BG47" s="18" t="n">
        <x:v>0</x:v>
      </x:c>
    </x:row>
    <x:row r="48">
      <x:c r="A48" s="29" t="str">
        <x:v>101.2</x:v>
      </x:c>
      <x:c r="B48" s="17" t="n">
        <x:v>2928</x:v>
      </x:c>
      <x:c r="C48" s="17" t="str">
        <x:v>בי"ס האונטרופוסופי</x:v>
      </x:c>
      <x:c r="D48" s="17" t="str">
        <x:v>העליה השניה 27</x:v>
      </x:c>
      <x:c r="E48" s="17" t="str">
        <x:v>גבוה מאוד</x:v>
      </x:c>
      <x:c r="F48" s="18" t="n">
        <x:v>614</x:v>
      </x:c>
      <x:c r="G48" s="18" t="n">
        <x:v>250</x:v>
      </x:c>
      <x:c r="H48" s="19" t="n">
        <x:f>IFERROR(G48/F48,0)</x:f>
        <x:v>0.40716612377850164</x:v>
      </x:c>
      <x:c r="I48" s="18" t="n">
        <x:v>4</x:v>
      </x:c>
      <x:c r="J48" s="18" t="n">
        <x:v>246</x:v>
      </x:c>
      <x:c r="K48" s="18" t="n">
        <x:f>SUM(AM48,BF48,W48,AD48)</x:f>
        <x:v>96</x:v>
      </x:c>
      <x:c r="L48" s="18" t="n">
        <x:f>Q48+R48</x:f>
        <x:v>143</x:v>
      </x:c>
      <x:c r="M48" s="19" t="n">
        <x:f>IFERROR(K48/J48,0)</x:f>
        <x:v>0.3902439024390244</x:v>
      </x:c>
      <x:c r="N48" s="19" t="n">
        <x:f>IFERROR(L48/J48,0)</x:f>
        <x:v>0.5813008130081301</x:v>
      </x:c>
      <x:c r="O48" s="17" t="str">
        <x:f>IF(K48&gt;MAX(L48,S48),"קואליציית ההקמה 2022",IF(L48&gt;MAX(K48,S48),"אופוזיציה רחבה 2022","רשימות אחרות"))</x:f>
        <x:v>אופוזיציה רחבה 2022</x:v>
      </x:c>
      <x:c r="P48" s="17" t="str">
        <x:f>IF(AND(H48&lt;50%,N48&gt;50%),"כן","לא")</x:f>
        <x:v>כן</x:v>
      </x:c>
      <x:c r="Q48" s="18" t="n">
        <x:f>SUM(AV48,AJ48,AL48,T48,AN48)</x:f>
        <x:v>131</x:v>
      </x:c>
      <x:c r="R48" s="18" t="n">
        <x:f>SUM(Y48,AU48,X48)</x:f>
        <x:v>12</x:v>
      </x:c>
      <x:c r="S48" s="18" t="n">
        <x:f>J48-K48-L48</x:f>
        <x:v>7</x:v>
      </x:c>
      <x:c r="T48" s="18" t="n">
        <x:v>23</x:v>
      </x:c>
      <x:c r="U48" s="18" t="n">
        <x:v>0</x:v>
      </x:c>
      <x:c r="V48" s="18" t="n">
        <x:v>2</x:v>
      </x:c>
      <x:c r="W48" s="18" t="n">
        <x:v>2</x:v>
      </x:c>
      <x:c r="X48" s="18" t="n">
        <x:v>4</x:v>
      </x:c>
      <x:c r="Y48" s="18" t="n">
        <x:v>8</x:v>
      </x:c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18</x:v>
      </x:c>
      <x:c r="AE48" s="18" t="n">
        <x:v>1</x:v>
      </x:c>
      <x:c r="AF48" s="18" t="n">
        <x:v>1</x:v>
      </x:c>
      <x:c r="AG48" s="18" t="n">
        <x:v>0</x:v>
      </x:c>
      <x:c r="AH48" s="18" t="n">
        <x:v>0</x:v>
      </x:c>
      <x:c r="AI48" s="18" t="n">
        <x:v>0</x:v>
      </x:c>
      <x:c r="AJ48" s="18" t="n">
        <x:v>17</x:v>
      </x:c>
      <x:c r="AK48" s="18" t="n">
        <x:v>0</x:v>
      </x:c>
      <x:c r="AL48" s="18" t="n">
        <x:v>29</x:v>
      </x:c>
      <x:c r="AM48" s="18" t="n">
        <x:v>65</x:v>
      </x:c>
      <x:c r="AN48" s="18" t="n">
        <x:v>14</x:v>
      </x:c>
      <x:c r="AO48" s="18" t="n">
        <x:v>0</x:v>
      </x:c>
      <x:c r="AP48" s="18" t="n">
        <x:v>0</x:v>
      </x:c>
      <x:c r="AQ48" s="18" t="n">
        <x:v>0</x:v>
      </x:c>
      <x:c r="AR48" s="18" t="n">
        <x:v>1</x:v>
      </x:c>
      <x:c r="AS48" s="18" t="n">
        <x:v>0</x:v>
      </x:c>
      <x:c r="AT48" s="18" t="n">
        <x:v>0</x:v>
      </x:c>
      <x:c r="AU48" s="18" t="n">
        <x:v>0</x:v>
      </x:c>
      <x:c r="AV48" s="18" t="n">
        <x:v>48</x:v>
      </x:c>
      <x:c r="AW48" s="18" t="n">
        <x:v>0</x:v>
      </x:c>
      <x:c r="AX48" s="18" t="n">
        <x:v>0</x:v>
      </x:c>
      <x:c r="AY48" s="18" t="n">
        <x:v>0</x:v>
      </x:c>
      <x:c r="AZ48" s="18" t="n">
        <x:v>0</x:v>
      </x:c>
      <x:c r="BA48" s="18" t="n">
        <x:v>0</x:v>
      </x:c>
      <x:c r="BB48" s="18" t="n">
        <x:v>0</x:v>
      </x:c>
      <x:c r="BC48" s="18" t="n">
        <x:v>0</x:v>
      </x:c>
      <x:c r="BD48" s="18" t="n">
        <x:v>2</x:v>
      </x:c>
      <x:c r="BE48" s="18" t="n">
        <x:v>0</x:v>
      </x:c>
      <x:c r="BF48" s="18" t="n">
        <x:v>11</x:v>
      </x:c>
      <x:c r="BG48" s="18" t="n">
        <x:v>0</x:v>
      </x:c>
    </x:row>
    <x:row r="49">
      <x:c r="A49" s="29" t="str">
        <x:v>101.3</x:v>
      </x:c>
      <x:c r="B49" s="17" t="n">
        <x:v>2929</x:v>
      </x:c>
      <x:c r="C49" s="17" t="str">
        <x:v>בי"ס האונטרופוסופי</x:v>
      </x:c>
      <x:c r="D49" s="17" t="str">
        <x:v>העליה השניה 27</x:v>
      </x:c>
      <x:c r="E49" s="17" t="str">
        <x:v>גבוה מאוד</x:v>
      </x:c>
      <x:c r="F49" s="18" t="n">
        <x:v>614</x:v>
      </x:c>
      <x:c r="G49" s="18" t="n">
        <x:v>249</x:v>
      </x:c>
      <x:c r="H49" s="19" t="n">
        <x:f>IFERROR(G49/F49,0)</x:f>
        <x:v>0.40553745928338764</x:v>
      </x:c>
      <x:c r="I49" s="18" t="n">
        <x:v>3</x:v>
      </x:c>
      <x:c r="J49" s="18" t="n">
        <x:v>246</x:v>
      </x:c>
      <x:c r="K49" s="18" t="n">
        <x:f>SUM(AM49,BF49,W49,AD49)</x:f>
        <x:v>62</x:v>
      </x:c>
      <x:c r="L49" s="18" t="n">
        <x:f>Q49+R49</x:f>
        <x:v>176</x:v>
      </x:c>
      <x:c r="M49" s="19" t="n">
        <x:f>IFERROR(K49/J49,0)</x:f>
        <x:v>0.25203252032520324</x:v>
      </x:c>
      <x:c r="N49" s="19" t="n">
        <x:f>IFERROR(L49/J49,0)</x:f>
        <x:v>0.7154471544715447</x:v>
      </x:c>
      <x:c r="O49" s="17" t="str">
        <x:f>IF(K49&gt;MAX(L49,S49),"קואליציית ההקמה 2022",IF(L49&gt;MAX(K49,S49),"אופוזיציה רחבה 2022","רשימות אחרות"))</x:f>
        <x:v>אופוזיציה רחבה 2022</x:v>
      </x:c>
      <x:c r="P49" s="17" t="str">
        <x:f>IF(AND(H49&lt;50%,N49&gt;50%),"כן","לא")</x:f>
        <x:v>כן</x:v>
      </x:c>
      <x:c r="Q49" s="18" t="n">
        <x:f>SUM(AV49,AJ49,AL49,T49,AN49)</x:f>
        <x:v>168</x:v>
      </x:c>
      <x:c r="R49" s="18" t="n">
        <x:f>SUM(Y49,AU49,X49)</x:f>
        <x:v>8</x:v>
      </x:c>
      <x:c r="S49" s="18" t="n">
        <x:f>J49-K49-L49</x:f>
        <x:v>8</x:v>
      </x:c>
      <x:c r="T49" s="18" t="n">
        <x:v>27</x:v>
      </x:c>
      <x:c r="U49" s="18" t="n">
        <x:v>0</x:v>
      </x:c>
      <x:c r="V49" s="18" t="n">
        <x:v>2</x:v>
      </x:c>
      <x:c r="W49" s="18" t="n">
        <x:v>1</x:v>
      </x:c>
      <x:c r="X49" s="18" t="n">
        <x:v>0</x:v>
      </x:c>
      <x:c r="Y49" s="18" t="n">
        <x:v>7</x:v>
      </x:c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13</x:v>
      </x:c>
      <x:c r="AE49" s="18" t="n">
        <x:v>1</x:v>
      </x:c>
      <x:c r="AF49" s="18" t="n">
        <x:v>1</x:v>
      </x:c>
      <x:c r="AG49" s="18" t="n">
        <x:v>0</x:v>
      </x:c>
      <x:c r="AH49" s="18" t="n">
        <x:v>0</x:v>
      </x:c>
      <x:c r="AI49" s="18" t="n">
        <x:v>0</x:v>
      </x:c>
      <x:c r="AJ49" s="18" t="n">
        <x:v>11</x:v>
      </x:c>
      <x:c r="AK49" s="18" t="n">
        <x:v>0</x:v>
      </x:c>
      <x:c r="AL49" s="18" t="n">
        <x:v>40</x:v>
      </x:c>
      <x:c r="AM49" s="18" t="n">
        <x:v>45</x:v>
      </x:c>
      <x:c r="AN49" s="18" t="n">
        <x:v>17</x:v>
      </x:c>
      <x:c r="AO49" s="18" t="n">
        <x:v>1</x:v>
      </x:c>
      <x:c r="AP49" s="18" t="n">
        <x:v>0</x:v>
      </x:c>
      <x:c r="AQ49" s="18" t="n">
        <x:v>0</x:v>
      </x:c>
      <x:c r="AR49" s="18" t="n">
        <x:v>0</x:v>
      </x:c>
      <x:c r="AS49" s="18" t="n">
        <x:v>1</x:v>
      </x:c>
      <x:c r="AT49" s="18" t="n">
        <x:v>0</x:v>
      </x:c>
      <x:c r="AU49" s="18" t="n">
        <x:v>1</x:v>
      </x:c>
      <x:c r="AV49" s="18" t="n">
        <x:v>73</x:v>
      </x:c>
      <x:c r="AW49" s="18" t="n">
        <x:v>0</x:v>
      </x:c>
      <x:c r="AX49" s="18" t="n">
        <x:v>0</x:v>
      </x:c>
      <x:c r="AY49" s="18" t="n">
        <x:v>0</x:v>
      </x:c>
      <x:c r="AZ49" s="18" t="n">
        <x:v>0</x:v>
      </x:c>
      <x:c r="BA49" s="18" t="n">
        <x:v>0</x:v>
      </x:c>
      <x:c r="BB49" s="18" t="n">
        <x:v>0</x:v>
      </x:c>
      <x:c r="BC49" s="18" t="n">
        <x:v>0</x:v>
      </x:c>
      <x:c r="BD49" s="18" t="n">
        <x:v>2</x:v>
      </x:c>
      <x:c r="BE49" s="18" t="n">
        <x:v>0</x:v>
      </x:c>
      <x:c r="BF49" s="18" t="n">
        <x:v>3</x:v>
      </x:c>
      <x:c r="BG49" s="18" t="n">
        <x:v>0</x:v>
      </x:c>
    </x:row>
    <x:row r="50">
      <x:c r="A50" s="29" t="str">
        <x:v>101.4</x:v>
      </x:c>
      <x:c r="B50" s="17" t="n">
        <x:v>2930</x:v>
      </x:c>
      <x:c r="C50" s="17" t="str">
        <x:v>בי"ס האונטרופוסופי</x:v>
      </x:c>
      <x:c r="D50" s="17" t="str">
        <x:v>העליה השניה 27</x:v>
      </x:c>
      <x:c r="E50" s="17" t="str">
        <x:v>גבוה מאוד</x:v>
      </x:c>
      <x:c r="F50" s="18" t="n">
        <x:v>612</x:v>
      </x:c>
      <x:c r="G50" s="18" t="n">
        <x:v>210</x:v>
      </x:c>
      <x:c r="H50" s="19" t="n">
        <x:f>IFERROR(G50/F50,0)</x:f>
        <x:v>0.3431372549019608</x:v>
      </x:c>
      <x:c r="I50" s="18" t="n">
        <x:v>2</x:v>
      </x:c>
      <x:c r="J50" s="18" t="n">
        <x:v>208</x:v>
      </x:c>
      <x:c r="K50" s="18" t="n">
        <x:f>SUM(AM50,BF50,W50,AD50)</x:f>
        <x:v>69</x:v>
      </x:c>
      <x:c r="L50" s="18" t="n">
        <x:f>Q50+R50</x:f>
        <x:v>137</x:v>
      </x:c>
      <x:c r="M50" s="19" t="n">
        <x:f>IFERROR(K50/J50,0)</x:f>
        <x:v>0.3317307692307692</x:v>
      </x:c>
      <x:c r="N50" s="19" t="n">
        <x:f>IFERROR(L50/J50,0)</x:f>
        <x:v>0.6586538461538461</x:v>
      </x:c>
      <x:c r="O50" s="17" t="str">
        <x:f>IF(K50&gt;MAX(L50,S50),"קואליציית ההקמה 2022",IF(L50&gt;MAX(K50,S50),"אופוזיציה רחבה 2022","רשימות אחרות"))</x:f>
        <x:v>אופוזיציה רחבה 2022</x:v>
      </x:c>
      <x:c r="P50" s="17" t="str">
        <x:f>IF(AND(H50&lt;50%,N50&gt;50%),"כן","לא")</x:f>
        <x:v>כן</x:v>
      </x:c>
      <x:c r="Q50" s="18" t="n">
        <x:f>SUM(AV50,AJ50,AL50,T50,AN50)</x:f>
        <x:v>132</x:v>
      </x:c>
      <x:c r="R50" s="18" t="n">
        <x:f>SUM(Y50,AU50,X50)</x:f>
        <x:v>5</x:v>
      </x:c>
      <x:c r="S50" s="18" t="n">
        <x:f>J50-K50-L50</x:f>
        <x:v>2</x:v>
      </x:c>
      <x:c r="T50" s="18" t="n">
        <x:v>12</x:v>
      </x:c>
      <x:c r="U50" s="18" t="n">
        <x:v>0</x:v>
      </x:c>
      <x:c r="V50" s="18" t="n">
        <x:v>1</x:v>
      </x:c>
      <x:c r="W50" s="18" t="n">
        <x:v>3</x:v>
      </x:c>
      <x:c r="X50" s="18" t="n">
        <x:v>1</x:v>
      </x:c>
      <x:c r="Y50" s="18" t="n">
        <x:v>2</x:v>
      </x:c>
      <x:c r="Z50" s="18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15</x:v>
      </x:c>
      <x:c r="AE50" s="18" t="n">
        <x:v>0</x:v>
      </x:c>
      <x:c r="AF50" s="18" t="n">
        <x:v>1</x:v>
      </x:c>
      <x:c r="AG50" s="18" t="n">
        <x:v>0</x:v>
      </x:c>
      <x:c r="AH50" s="18" t="n">
        <x:v>0</x:v>
      </x:c>
      <x:c r="AI50" s="18" t="n">
        <x:v>0</x:v>
      </x:c>
      <x:c r="AJ50" s="18" t="n">
        <x:v>13</x:v>
      </x:c>
      <x:c r="AK50" s="18" t="n">
        <x:v>0</x:v>
      </x:c>
      <x:c r="AL50" s="18" t="n">
        <x:v>46</x:v>
      </x:c>
      <x:c r="AM50" s="18" t="n">
        <x:v>49</x:v>
      </x:c>
      <x:c r="AN50" s="18" t="n">
        <x:v>15</x:v>
      </x:c>
      <x:c r="AO50" s="18" t="n">
        <x:v>0</x:v>
      </x:c>
      <x:c r="AP50" s="18" t="n">
        <x:v>0</x:v>
      </x:c>
      <x:c r="AQ50" s="18" t="n">
        <x:v>0</x:v>
      </x:c>
      <x:c r="AR50" s="18" t="n">
        <x:v>0</x:v>
      </x:c>
      <x:c r="AS50" s="18" t="n">
        <x:v>0</x:v>
      </x:c>
      <x:c r="AT50" s="18" t="n">
        <x:v>0</x:v>
      </x:c>
      <x:c r="AU50" s="18" t="n">
        <x:v>2</x:v>
      </x:c>
      <x:c r="AV50" s="18" t="n">
        <x:v>46</x:v>
      </x:c>
      <x:c r="AW50" s="18" t="n">
        <x:v>0</x:v>
      </x:c>
      <x:c r="AX50" s="18" t="n">
        <x:v>0</x:v>
      </x:c>
      <x:c r="AY50" s="18" t="n">
        <x:v>0</x:v>
      </x:c>
      <x:c r="AZ50" s="18" t="n">
        <x:v>0</x:v>
      </x:c>
      <x:c r="BA50" s="18" t="n">
        <x:v>0</x:v>
      </x:c>
      <x:c r="BB50" s="18" t="n">
        <x:v>0</x:v>
      </x:c>
      <x:c r="BC50" s="18" t="n">
        <x:v>0</x:v>
      </x:c>
      <x:c r="BD50" s="18" t="n">
        <x:v>0</x:v>
      </x:c>
      <x:c r="BE50" s="18" t="n">
        <x:v>0</x:v>
      </x:c>
      <x:c r="BF50" s="18" t="n">
        <x:v>2</x:v>
      </x:c>
      <x:c r="BG50" s="18" t="n">
        <x:v>0</x:v>
      </x:c>
    </x:row>
    <x:row r="51">
      <x:c r="A51" s="29" t="str">
        <x:v>102.1</x:v>
      </x:c>
      <x:c r="B51" s="17" t="n">
        <x:v>3100</x:v>
      </x:c>
      <x:c r="C51" s="17" t="str">
        <x:v>גני ילדים הוד כרמל</x:v>
      </x:c>
      <x:c r="D51" s="17" t="str">
        <x:v>ליבריה 11</x:v>
      </x:c>
      <x:c r="E51" s="17" t="str">
        <x:v>גבוה מאוד</x:v>
      </x:c>
      <x:c r="F51" s="18" t="n">
        <x:v>688</x:v>
      </x:c>
      <x:c r="G51" s="18" t="n">
        <x:v>488</x:v>
      </x:c>
      <x:c r="H51" s="19" t="n">
        <x:f>IFERROR(G51/F51,0)</x:f>
        <x:v>0.7093023255813954</x:v>
      </x:c>
      <x:c r="I51" s="18" t="n">
        <x:v>0</x:v>
      </x:c>
      <x:c r="J51" s="18" t="n">
        <x:v>488</x:v>
      </x:c>
      <x:c r="K51" s="18" t="n">
        <x:f>SUM(AM51,BF51,W51,AD51)</x:f>
        <x:v>134</x:v>
      </x:c>
      <x:c r="L51" s="18" t="n">
        <x:f>Q51+R51</x:f>
        <x:v>346</x:v>
      </x:c>
      <x:c r="M51" s="19" t="n">
        <x:f>IFERROR(K51/J51,0)</x:f>
        <x:v>0.27459016393442626</x:v>
      </x:c>
      <x:c r="N51" s="19" t="n">
        <x:f>IFERROR(L51/J51,0)</x:f>
        <x:v>0.7090163934426229</x:v>
      </x:c>
      <x:c r="O51" s="17" t="str">
        <x:f>IF(K51&gt;MAX(L51,S51),"קואליציית ההקמה 2022",IF(L51&gt;MAX(K51,S51),"אופוזיציה רחבה 2022","רשימות אחרות"))</x:f>
        <x:v>אופוזיציה רחבה 2022</x:v>
      </x:c>
      <x:c r="P51" s="17" t="str">
        <x:f>IF(AND(H51&lt;50%,N51&gt;50%),"כן","לא")</x:f>
        <x:v>לא</x:v>
      </x:c>
      <x:c r="Q51" s="18" t="n">
        <x:f>SUM(AV51,AJ51,AL51,T51,AN51)</x:f>
        <x:v>342</x:v>
      </x:c>
      <x:c r="R51" s="18" t="n">
        <x:f>SUM(Y51,AU51,X51)</x:f>
        <x:v>4</x:v>
      </x:c>
      <x:c r="S51" s="18" t="n">
        <x:f>J51-K51-L51</x:f>
        <x:v>8</x:v>
      </x:c>
      <x:c r="T51" s="18" t="n">
        <x:v>26</x:v>
      </x:c>
      <x:c r="U51" s="18" t="n">
        <x:v>0</x:v>
      </x:c>
      <x:c r="V51" s="18" t="n">
        <x:v>5</x:v>
      </x:c>
      <x:c r="W51" s="18" t="n">
        <x:v>1</x:v>
      </x:c>
      <x:c r="X51" s="18" t="n">
        <x:v>0</x:v>
      </x:c>
      <x:c r="Y51" s="18" t="n">
        <x:v>4</x:v>
      </x:c>
      <x:c r="Z51" s="18" t="n">
        <x:v>0</x:v>
      </x:c>
      <x:c r="AA51" s="18" t="n">
        <x:v>0</x:v>
      </x:c>
      <x:c r="AB51" s="18" t="n">
        <x:v>0</x:v>
      </x:c>
      <x:c r="AC51" s="18" t="n">
        <x:v>0</x:v>
      </x:c>
      <x:c r="AD51" s="18" t="n">
        <x:v>23</x:v>
      </x:c>
      <x:c r="AE51" s="18" t="n">
        <x:v>0</x:v>
      </x:c>
      <x:c r="AF51" s="18" t="n">
        <x:v>0</x:v>
      </x:c>
      <x:c r="AG51" s="18" t="n">
        <x:v>0</x:v>
      </x:c>
      <x:c r="AH51" s="18" t="n">
        <x:v>0</x:v>
      </x:c>
      <x:c r="AI51" s="18" t="n">
        <x:v>0</x:v>
      </x:c>
      <x:c r="AJ51" s="18" t="n">
        <x:v>75</x:v>
      </x:c>
      <x:c r="AK51" s="18" t="n">
        <x:v>0</x:v>
      </x:c>
      <x:c r="AL51" s="18" t="n">
        <x:v>12</x:v>
      </x:c>
      <x:c r="AM51" s="18" t="n">
        <x:v>106</x:v>
      </x:c>
      <x:c r="AN51" s="18" t="n">
        <x:v>35</x:v>
      </x:c>
      <x:c r="AO51" s="18" t="n">
        <x:v>0</x:v>
      </x:c>
      <x:c r="AP51" s="18" t="n">
        <x:v>0</x:v>
      </x:c>
      <x:c r="AQ51" s="18" t="n">
        <x:v>0</x:v>
      </x:c>
      <x:c r="AR51" s="18" t="n">
        <x:v>0</x:v>
      </x:c>
      <x:c r="AS51" s="18" t="n">
        <x:v>0</x:v>
      </x:c>
      <x:c r="AT51" s="18" t="n">
        <x:v>0</x:v>
      </x:c>
      <x:c r="AU51" s="18" t="n">
        <x:v>0</x:v>
      </x:c>
      <x:c r="AV51" s="18" t="n">
        <x:v>194</x:v>
      </x:c>
      <x:c r="AW51" s="18" t="n">
        <x:v>0</x:v>
      </x:c>
      <x:c r="AX51" s="18" t="n">
        <x:v>1</x:v>
      </x:c>
      <x:c r="AY51" s="18" t="n">
        <x:v>0</x:v>
      </x:c>
      <x:c r="AZ51" s="18" t="n">
        <x:v>0</x:v>
      </x:c>
      <x:c r="BA51" s="18" t="n">
        <x:v>0</x:v>
      </x:c>
      <x:c r="BB51" s="18" t="n">
        <x:v>0</x:v>
      </x:c>
      <x:c r="BC51" s="18" t="n">
        <x:v>0</x:v>
      </x:c>
      <x:c r="BD51" s="18" t="n">
        <x:v>2</x:v>
      </x:c>
      <x:c r="BE51" s="18" t="n">
        <x:v>0</x:v>
      </x:c>
      <x:c r="BF51" s="18" t="n">
        <x:v>4</x:v>
      </x:c>
      <x:c r="BG51" s="18" t="n">
        <x:v>0</x:v>
      </x:c>
    </x:row>
    <x:row r="52">
      <x:c r="A52" s="29" t="str">
        <x:v>102.2</x:v>
      </x:c>
      <x:c r="B52" s="17" t="n">
        <x:v>3101</x:v>
      </x:c>
      <x:c r="C52" s="17" t="str">
        <x:v>גני ילדים הוד כרמל</x:v>
      </x:c>
      <x:c r="D52" s="17" t="str">
        <x:v>ליבריה 11</x:v>
      </x:c>
      <x:c r="E52" s="17" t="str">
        <x:v>גבוה מאוד</x:v>
      </x:c>
      <x:c r="F52" s="18" t="n">
        <x:v>688</x:v>
      </x:c>
      <x:c r="G52" s="18" t="n">
        <x:v>483</x:v>
      </x:c>
      <x:c r="H52" s="19" t="n">
        <x:f>IFERROR(G52/F52,0)</x:f>
        <x:v>0.7020348837209303</x:v>
      </x:c>
      <x:c r="I52" s="18" t="n">
        <x:v>1</x:v>
      </x:c>
      <x:c r="J52" s="18" t="n">
        <x:v>482</x:v>
      </x:c>
      <x:c r="K52" s="18" t="n">
        <x:f>SUM(AM52,BF52,W52,AD52)</x:f>
        <x:v>92</x:v>
      </x:c>
      <x:c r="L52" s="18" t="n">
        <x:f>Q52+R52</x:f>
        <x:v>387</x:v>
      </x:c>
      <x:c r="M52" s="19" t="n">
        <x:f>IFERROR(K52/J52,0)</x:f>
        <x:v>0.1908713692946058</x:v>
      </x:c>
      <x:c r="N52" s="19" t="n">
        <x:f>IFERROR(L52/J52,0)</x:f>
        <x:v>0.8029045643153527</x:v>
      </x:c>
      <x:c r="O52" s="17" t="str">
        <x:f>IF(K52&gt;MAX(L52,S52),"קואליציית ההקמה 2022",IF(L52&gt;MAX(K52,S52),"אופוזיציה רחבה 2022","רשימות אחרות"))</x:f>
        <x:v>אופוזיציה רחבה 2022</x:v>
      </x:c>
      <x:c r="P52" s="17" t="str">
        <x:f>IF(AND(H52&lt;50%,N52&gt;50%),"כן","לא")</x:f>
        <x:v>לא</x:v>
      </x:c>
      <x:c r="Q52" s="18" t="n">
        <x:f>SUM(AV52,AJ52,AL52,T52,AN52)</x:f>
        <x:v>385</x:v>
      </x:c>
      <x:c r="R52" s="18" t="n">
        <x:f>SUM(Y52,AU52,X52)</x:f>
        <x:v>2</x:v>
      </x:c>
      <x:c r="S52" s="18" t="n">
        <x:f>J52-K52-L52</x:f>
        <x:v>3</x:v>
      </x:c>
      <x:c r="T52" s="18" t="n">
        <x:v>39</x:v>
      </x:c>
      <x:c r="U52" s="18" t="n">
        <x:v>0</x:v>
      </x:c>
      <x:c r="V52" s="18" t="n">
        <x:v>3</x:v>
      </x:c>
      <x:c r="W52" s="18" t="n">
        <x:v>1</x:v>
      </x:c>
      <x:c r="X52" s="18" t="n">
        <x:v>1</x:v>
      </x:c>
      <x:c r="Y52" s="18" t="n">
        <x:v>1</x:v>
      </x:c>
      <x:c r="Z52" s="18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14</x:v>
      </x:c>
      <x:c r="AE52" s="18" t="n">
        <x:v>0</x:v>
      </x:c>
      <x:c r="AF52" s="18" t="n">
        <x:v>0</x:v>
      </x:c>
      <x:c r="AG52" s="18" t="n">
        <x:v>0</x:v>
      </x:c>
      <x:c r="AH52" s="18" t="n">
        <x:v>0</x:v>
      </x:c>
      <x:c r="AI52" s="18" t="n">
        <x:v>0</x:v>
      </x:c>
      <x:c r="AJ52" s="18" t="n">
        <x:v>76</x:v>
      </x:c>
      <x:c r="AK52" s="18" t="n">
        <x:v>0</x:v>
      </x:c>
      <x:c r="AL52" s="18" t="n">
        <x:v>23</x:v>
      </x:c>
      <x:c r="AM52" s="18" t="n">
        <x:v>75</x:v>
      </x:c>
      <x:c r="AN52" s="18" t="n">
        <x:v>37</x:v>
      </x:c>
      <x:c r="AO52" s="18" t="n">
        <x:v>0</x:v>
      </x:c>
      <x:c r="AP52" s="18" t="n">
        <x:v>0</x:v>
      </x:c>
      <x:c r="AQ52" s="18" t="n">
        <x:v>0</x:v>
      </x:c>
      <x:c r="AR52" s="18" t="n">
        <x:v>0</x:v>
      </x:c>
      <x:c r="AS52" s="18" t="n">
        <x:v>0</x:v>
      </x:c>
      <x:c r="AT52" s="18" t="n">
        <x:v>0</x:v>
      </x:c>
      <x:c r="AU52" s="18" t="n">
        <x:v>0</x:v>
      </x:c>
      <x:c r="AV52" s="18" t="n">
        <x:v>210</x:v>
      </x:c>
      <x:c r="AW52" s="18" t="n">
        <x:v>0</x:v>
      </x:c>
      <x:c r="AX52" s="18" t="n">
        <x:v>0</x:v>
      </x:c>
      <x:c r="AY52" s="18" t="n">
        <x:v>0</x:v>
      </x:c>
      <x:c r="AZ52" s="18" t="n">
        <x:v>0</x:v>
      </x:c>
      <x:c r="BA52" s="18" t="n">
        <x:v>0</x:v>
      </x:c>
      <x:c r="BB52" s="18" t="n">
        <x:v>0</x:v>
      </x:c>
      <x:c r="BC52" s="18" t="n">
        <x:v>0</x:v>
      </x:c>
      <x:c r="BD52" s="18" t="n">
        <x:v>0</x:v>
      </x:c>
      <x:c r="BE52" s="18" t="n">
        <x:v>0</x:v>
      </x:c>
      <x:c r="BF52" s="18" t="n">
        <x:v>2</x:v>
      </x:c>
      <x:c r="BG52" s="18" t="n">
        <x:v>0</x:v>
      </x:c>
    </x:row>
    <x:row r="53">
      <x:c r="A53" s="29" t="str">
        <x:v>102.3</x:v>
      </x:c>
      <x:c r="B53" s="17" t="n">
        <x:v>3102</x:v>
      </x:c>
      <x:c r="C53" s="17" t="str">
        <x:v>גני ילדים הוד כרמל</x:v>
      </x:c>
      <x:c r="D53" s="17" t="str">
        <x:v>ליבריה 11</x:v>
      </x:c>
      <x:c r="E53" s="17" t="str">
        <x:v>גבוה מאוד</x:v>
      </x:c>
      <x:c r="F53" s="18" t="n">
        <x:v>688</x:v>
      </x:c>
      <x:c r="G53" s="18" t="n">
        <x:v>495</x:v>
      </x:c>
      <x:c r="H53" s="19" t="n">
        <x:f>IFERROR(G53/F53,0)</x:f>
        <x:v>0.7194767441860465</x:v>
      </x:c>
      <x:c r="I53" s="18" t="n">
        <x:v>1</x:v>
      </x:c>
      <x:c r="J53" s="18" t="n">
        <x:v>494</x:v>
      </x:c>
      <x:c r="K53" s="18" t="n">
        <x:f>SUM(AM53,BF53,W53,AD53)</x:f>
        <x:v>121</x:v>
      </x:c>
      <x:c r="L53" s="18" t="n">
        <x:f>Q53+R53</x:f>
        <x:v>356</x:v>
      </x:c>
      <x:c r="M53" s="19" t="n">
        <x:f>IFERROR(K53/J53,0)</x:f>
        <x:v>0.24493927125506074</x:v>
      </x:c>
      <x:c r="N53" s="19" t="n">
        <x:f>IFERROR(L53/J53,0)</x:f>
        <x:v>0.7206477732793523</x:v>
      </x:c>
      <x:c r="O53" s="17" t="str">
        <x:f>IF(K53&gt;MAX(L53,S53),"קואליציית ההקמה 2022",IF(L53&gt;MAX(K53,S53),"אופוזיציה רחבה 2022","רשימות אחרות"))</x:f>
        <x:v>אופוזיציה רחבה 2022</x:v>
      </x:c>
      <x:c r="P53" s="17" t="str">
        <x:f>IF(AND(H53&lt;50%,N53&gt;50%),"כן","לא")</x:f>
        <x:v>לא</x:v>
      </x:c>
      <x:c r="Q53" s="18" t="n">
        <x:f>SUM(AV53,AJ53,AL53,T53,AN53)</x:f>
        <x:v>351</x:v>
      </x:c>
      <x:c r="R53" s="18" t="n">
        <x:f>SUM(Y53,AU53,X53)</x:f>
        <x:v>5</x:v>
      </x:c>
      <x:c r="S53" s="18" t="n">
        <x:f>J53-K53-L53</x:f>
        <x:v>17</x:v>
      </x:c>
      <x:c r="T53" s="18" t="n">
        <x:v>25</x:v>
      </x:c>
      <x:c r="U53" s="18" t="n">
        <x:v>1</x:v>
      </x:c>
      <x:c r="V53" s="18" t="n">
        <x:v>8</x:v>
      </x:c>
      <x:c r="W53" s="18" t="n">
        <x:v>0</x:v>
      </x:c>
      <x:c r="X53" s="18" t="n">
        <x:v>3</x:v>
      </x:c>
      <x:c r="Y53" s="18" t="n">
        <x:v>1</x:v>
      </x:c>
      <x:c r="Z53" s="18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28</x:v>
      </x:c>
      <x:c r="AE53" s="18" t="n">
        <x:v>0</x:v>
      </x:c>
      <x:c r="AF53" s="18" t="n">
        <x:v>5</x:v>
      </x:c>
      <x:c r="AG53" s="18" t="n">
        <x:v>0</x:v>
      </x:c>
      <x:c r="AH53" s="18" t="n">
        <x:v>0</x:v>
      </x:c>
      <x:c r="AI53" s="18" t="n">
        <x:v>0</x:v>
      </x:c>
      <x:c r="AJ53" s="18" t="n">
        <x:v>76</x:v>
      </x:c>
      <x:c r="AK53" s="18" t="n">
        <x:v>0</x:v>
      </x:c>
      <x:c r="AL53" s="18" t="n">
        <x:v>22</x:v>
      </x:c>
      <x:c r="AM53" s="18" t="n">
        <x:v>90</x:v>
      </x:c>
      <x:c r="AN53" s="18" t="n">
        <x:v>38</x:v>
      </x:c>
      <x:c r="AO53" s="18" t="n">
        <x:v>0</x:v>
      </x:c>
      <x:c r="AP53" s="18" t="n">
        <x:v>0</x:v>
      </x:c>
      <x:c r="AQ53" s="18" t="n">
        <x:v>0</x:v>
      </x:c>
      <x:c r="AR53" s="18" t="n">
        <x:v>0</x:v>
      </x:c>
      <x:c r="AS53" s="18" t="n">
        <x:v>0</x:v>
      </x:c>
      <x:c r="AT53" s="18" t="n">
        <x:v>0</x:v>
      </x:c>
      <x:c r="AU53" s="18" t="n">
        <x:v>1</x:v>
      </x:c>
      <x:c r="AV53" s="18" t="n">
        <x:v>190</x:v>
      </x:c>
      <x:c r="AW53" s="18" t="n">
        <x:v>0</x:v>
      </x:c>
      <x:c r="AX53" s="18" t="n">
        <x:v>1</x:v>
      </x:c>
      <x:c r="AY53" s="18" t="n">
        <x:v>0</x:v>
      </x:c>
      <x:c r="AZ53" s="18" t="n">
        <x:v>0</x:v>
      </x:c>
      <x:c r="BA53" s="18" t="n">
        <x:v>0</x:v>
      </x:c>
      <x:c r="BB53" s="18" t="n">
        <x:v>0</x:v>
      </x:c>
      <x:c r="BC53" s="18" t="n">
        <x:v>0</x:v>
      </x:c>
      <x:c r="BD53" s="18" t="n">
        <x:v>2</x:v>
      </x:c>
      <x:c r="BE53" s="18" t="n">
        <x:v>0</x:v>
      </x:c>
      <x:c r="BF53" s="18" t="n">
        <x:v>3</x:v>
      </x:c>
      <x:c r="BG53" s="18" t="n">
        <x:v>0</x:v>
      </x:c>
    </x:row>
    <x:row r="54">
      <x:c r="A54" s="29" t="str">
        <x:v>102.4</x:v>
      </x:c>
      <x:c r="B54" s="17" t="n">
        <x:v>3103</x:v>
      </x:c>
      <x:c r="C54" s="17" t="str">
        <x:v>גני ילדים הוד כרמל</x:v>
      </x:c>
      <x:c r="D54" s="17" t="str">
        <x:v>ליבריה 11</x:v>
      </x:c>
      <x:c r="E54" s="17" t="str">
        <x:v>גבוה מאוד</x:v>
      </x:c>
      <x:c r="F54" s="18" t="n">
        <x:v>688</x:v>
      </x:c>
      <x:c r="G54" s="18" t="n">
        <x:v>502</x:v>
      </x:c>
      <x:c r="H54" s="19" t="n">
        <x:f>IFERROR(G54/F54,0)</x:f>
        <x:v>0.7296511627906976</x:v>
      </x:c>
      <x:c r="I54" s="18" t="n">
        <x:v>22</x:v>
      </x:c>
      <x:c r="J54" s="18" t="n">
        <x:v>480</x:v>
      </x:c>
      <x:c r="K54" s="18" t="n">
        <x:f>SUM(AM54,BF54,W54,AD54)</x:f>
        <x:v>114</x:v>
      </x:c>
      <x:c r="L54" s="18" t="n">
        <x:f>Q54+R54</x:f>
        <x:v>361</x:v>
      </x:c>
      <x:c r="M54" s="19" t="n">
        <x:f>IFERROR(K54/J54,0)</x:f>
        <x:v>0.2375</x:v>
      </x:c>
      <x:c r="N54" s="19" t="n">
        <x:f>IFERROR(L54/J54,0)</x:f>
        <x:v>0.7520833333333333</x:v>
      </x:c>
      <x:c r="O54" s="17" t="str">
        <x:f>IF(K54&gt;MAX(L54,S54),"קואליציית ההקמה 2022",IF(L54&gt;MAX(K54,S54),"אופוזיציה רחבה 2022","רשימות אחרות"))</x:f>
        <x:v>אופוזיציה רחבה 2022</x:v>
      </x:c>
      <x:c r="P54" s="17" t="str">
        <x:f>IF(AND(H54&lt;50%,N54&gt;50%),"כן","לא")</x:f>
        <x:v>לא</x:v>
      </x:c>
      <x:c r="Q54" s="18" t="n">
        <x:f>SUM(AV54,AJ54,AL54,T54,AN54)</x:f>
        <x:v>358</x:v>
      </x:c>
      <x:c r="R54" s="18" t="n">
        <x:f>SUM(Y54,AU54,X54)</x:f>
        <x:v>3</x:v>
      </x:c>
      <x:c r="S54" s="18" t="n">
        <x:f>J54-K54-L54</x:f>
        <x:v>5</x:v>
      </x:c>
      <x:c r="T54" s="18" t="n">
        <x:v>19</x:v>
      </x:c>
      <x:c r="U54" s="18" t="n">
        <x:v>0</x:v>
      </x:c>
      <x:c r="V54" s="18" t="n">
        <x:v>3</x:v>
      </x:c>
      <x:c r="W54" s="18" t="n">
        <x:v>1</x:v>
      </x:c>
      <x:c r="X54" s="18" t="n">
        <x:v>2</x:v>
      </x:c>
      <x:c r="Y54" s="18" t="n">
        <x:v>1</x:v>
      </x:c>
      <x:c r="Z54" s="18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18</x:v>
      </x:c>
      <x:c r="AE54" s="18" t="n">
        <x:v>0</x:v>
      </x:c>
      <x:c r="AF54" s="18" t="n">
        <x:v>0</x:v>
      </x:c>
      <x:c r="AG54" s="18" t="n">
        <x:v>0</x:v>
      </x:c>
      <x:c r="AH54" s="18" t="n">
        <x:v>0</x:v>
      </x:c>
      <x:c r="AI54" s="18" t="n">
        <x:v>0</x:v>
      </x:c>
      <x:c r="AJ54" s="18" t="n">
        <x:v>92</x:v>
      </x:c>
      <x:c r="AK54" s="18" t="n">
        <x:v>0</x:v>
      </x:c>
      <x:c r="AL54" s="18" t="n">
        <x:v>22</x:v>
      </x:c>
      <x:c r="AM54" s="18" t="n">
        <x:v>89</x:v>
      </x:c>
      <x:c r="AN54" s="18" t="n">
        <x:v>28</x:v>
      </x:c>
      <x:c r="AO54" s="18" t="n">
        <x:v>0</x:v>
      </x:c>
      <x:c r="AP54" s="18" t="n">
        <x:v>0</x:v>
      </x:c>
      <x:c r="AQ54" s="18" t="n">
        <x:v>0</x:v>
      </x:c>
      <x:c r="AR54" s="18" t="n">
        <x:v>0</x:v>
      </x:c>
      <x:c r="AS54" s="18" t="n">
        <x:v>0</x:v>
      </x:c>
      <x:c r="AT54" s="18" t="n">
        <x:v>0</x:v>
      </x:c>
      <x:c r="AU54" s="18" t="n">
        <x:v>0</x:v>
      </x:c>
      <x:c r="AV54" s="18" t="n">
        <x:v>197</x:v>
      </x:c>
      <x:c r="AW54" s="18" t="n">
        <x:v>0</x:v>
      </x:c>
      <x:c r="AX54" s="18" t="n">
        <x:v>0</x:v>
      </x:c>
      <x:c r="AY54" s="18" t="n">
        <x:v>0</x:v>
      </x:c>
      <x:c r="AZ54" s="18" t="n">
        <x:v>0</x:v>
      </x:c>
      <x:c r="BA54" s="18" t="n">
        <x:v>0</x:v>
      </x:c>
      <x:c r="BB54" s="18" t="n">
        <x:v>0</x:v>
      </x:c>
      <x:c r="BC54" s="18" t="n">
        <x:v>0</x:v>
      </x:c>
      <x:c r="BD54" s="18" t="n">
        <x:v>2</x:v>
      </x:c>
      <x:c r="BE54" s="18" t="n">
        <x:v>0</x:v>
      </x:c>
      <x:c r="BF54" s="18" t="n">
        <x:v>6</x:v>
      </x:c>
      <x:c r="BG54" s="18" t="n">
        <x:v>0</x:v>
      </x:c>
    </x:row>
    <x:row r="55">
      <x:c r="A55" s="29" t="str">
        <x:v>102.5</x:v>
      </x:c>
      <x:c r="B55" s="17" t="n">
        <x:v>3104</x:v>
      </x:c>
      <x:c r="C55" s="17" t="str">
        <x:v>גני ילדים הוד כרמל</x:v>
      </x:c>
      <x:c r="D55" s="17" t="str">
        <x:v>ליבריה 11</x:v>
      </x:c>
      <x:c r="E55" s="17" t="str">
        <x:v>גבוה מאוד</x:v>
      </x:c>
      <x:c r="F55" s="18" t="n">
        <x:v>686</x:v>
      </x:c>
      <x:c r="G55" s="18" t="n">
        <x:v>472</x:v>
      </x:c>
      <x:c r="H55" s="19" t="n">
        <x:f>IFERROR(G55/F55,0)</x:f>
        <x:v>0.6880466472303207</x:v>
      </x:c>
      <x:c r="I55" s="18" t="n">
        <x:v>3</x:v>
      </x:c>
      <x:c r="J55" s="18" t="n">
        <x:v>469</x:v>
      </x:c>
      <x:c r="K55" s="18" t="n">
        <x:f>SUM(AM55,BF55,W55,AD55)</x:f>
        <x:v>84</x:v>
      </x:c>
      <x:c r="L55" s="18" t="n">
        <x:f>Q55+R55</x:f>
        <x:v>382</x:v>
      </x:c>
      <x:c r="M55" s="19" t="n">
        <x:f>IFERROR(K55/J55,0)</x:f>
        <x:v>0.1791044776119403</x:v>
      </x:c>
      <x:c r="N55" s="19" t="n">
        <x:f>IFERROR(L55/J55,0)</x:f>
        <x:v>0.814498933901919</x:v>
      </x:c>
      <x:c r="O55" s="17" t="str">
        <x:f>IF(K55&gt;MAX(L55,S55),"קואליציית ההקמה 2022",IF(L55&gt;MAX(K55,S55),"אופוזיציה רחבה 2022","רשימות אחרות"))</x:f>
        <x:v>אופוזיציה רחבה 2022</x:v>
      </x:c>
      <x:c r="P55" s="17" t="str">
        <x:f>IF(AND(H55&lt;50%,N55&gt;50%),"כן","לא")</x:f>
        <x:v>לא</x:v>
      </x:c>
      <x:c r="Q55" s="18" t="n">
        <x:f>SUM(AV55,AJ55,AL55,T55,AN55)</x:f>
        <x:v>380</x:v>
      </x:c>
      <x:c r="R55" s="18" t="n">
        <x:f>SUM(Y55,AU55,X55)</x:f>
        <x:v>2</x:v>
      </x:c>
      <x:c r="S55" s="18" t="n">
        <x:f>J55-K55-L55</x:f>
        <x:v>3</x:v>
      </x:c>
      <x:c r="T55" s="18" t="n">
        <x:v>29</x:v>
      </x:c>
      <x:c r="U55" s="18" t="n">
        <x:v>0</x:v>
      </x:c>
      <x:c r="V55" s="18" t="n">
        <x:v>1</x:v>
      </x:c>
      <x:c r="W55" s="18" t="n">
        <x:v>0</x:v>
      </x:c>
      <x:c r="X55" s="18" t="n">
        <x:v>1</x:v>
      </x:c>
      <x:c r="Y55" s="18" t="n">
        <x:v>0</x:v>
      </x:c>
      <x:c r="Z55" s="18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19</x:v>
      </x:c>
      <x:c r="AE55" s="18" t="n">
        <x:v>1</x:v>
      </x:c>
      <x:c r="AF55" s="18" t="n">
        <x:v>0</x:v>
      </x:c>
      <x:c r="AG55" s="18" t="n">
        <x:v>0</x:v>
      </x:c>
      <x:c r="AH55" s="18" t="n">
        <x:v>0</x:v>
      </x:c>
      <x:c r="AI55" s="18" t="n">
        <x:v>0</x:v>
      </x:c>
      <x:c r="AJ55" s="18" t="n">
        <x:v>82</x:v>
      </x:c>
      <x:c r="AK55" s="18" t="n">
        <x:v>0</x:v>
      </x:c>
      <x:c r="AL55" s="18" t="n">
        <x:v>27</x:v>
      </x:c>
      <x:c r="AM55" s="18" t="n">
        <x:v>62</x:v>
      </x:c>
      <x:c r="AN55" s="18" t="n">
        <x:v>36</x:v>
      </x:c>
      <x:c r="AO55" s="18" t="n">
        <x:v>0</x:v>
      </x:c>
      <x:c r="AP55" s="18" t="n">
        <x:v>0</x:v>
      </x:c>
      <x:c r="AQ55" s="18" t="n">
        <x:v>0</x:v>
      </x:c>
      <x:c r="AR55" s="18" t="n">
        <x:v>0</x:v>
      </x:c>
      <x:c r="AS55" s="18" t="n">
        <x:v>0</x:v>
      </x:c>
      <x:c r="AT55" s="18" t="n">
        <x:v>0</x:v>
      </x:c>
      <x:c r="AU55" s="18" t="n">
        <x:v>1</x:v>
      </x:c>
      <x:c r="AV55" s="18" t="n">
        <x:v>206</x:v>
      </x:c>
      <x:c r="AW55" s="18" t="n">
        <x:v>0</x:v>
      </x:c>
      <x:c r="AX55" s="18" t="n">
        <x:v>0</x:v>
      </x:c>
      <x:c r="AY55" s="18" t="n">
        <x:v>0</x:v>
      </x:c>
      <x:c r="AZ55" s="18" t="n">
        <x:v>0</x:v>
      </x:c>
      <x:c r="BA55" s="18" t="n">
        <x:v>0</x:v>
      </x:c>
      <x:c r="BB55" s="18" t="n">
        <x:v>0</x:v>
      </x:c>
      <x:c r="BC55" s="18" t="n">
        <x:v>0</x:v>
      </x:c>
      <x:c r="BD55" s="18" t="n">
        <x:v>1</x:v>
      </x:c>
      <x:c r="BE55" s="18" t="n">
        <x:v>0</x:v>
      </x:c>
      <x:c r="BF55" s="18" t="n">
        <x:v>3</x:v>
      </x:c>
      <x:c r="BG55" s="18" t="n">
        <x:v>0</x:v>
      </x:c>
    </x:row>
    <x:row r="56">
      <x:c r="A56" s="29" t="str">
        <x:v>121</x:v>
      </x:c>
      <x:c r="B56" s="17" t="n">
        <x:v>2931</x:v>
      </x:c>
      <x:c r="C56" s="17" t="str">
        <x:v>בי"ס דרור</x:v>
      </x:c>
      <x:c r="D56" s="17" t="str">
        <x:v>דרור 19</x:v>
      </x:c>
      <x:c r="E56" s="17" t="str">
        <x:v>גבוה מאוד</x:v>
      </x:c>
      <x:c r="F56" s="18" t="n">
        <x:v>698</x:v>
      </x:c>
      <x:c r="G56" s="18" t="n">
        <x:v>351</x:v>
      </x:c>
      <x:c r="H56" s="19" t="n">
        <x:f>IFERROR(G56/F56,0)</x:f>
        <x:v>0.502865329512894</x:v>
      </x:c>
      <x:c r="I56" s="18" t="n">
        <x:v>5</x:v>
      </x:c>
      <x:c r="J56" s="18" t="n">
        <x:v>346</x:v>
      </x:c>
      <x:c r="K56" s="18" t="n">
        <x:f>SUM(AM56,BF56,W56,AD56)</x:f>
        <x:v>79</x:v>
      </x:c>
      <x:c r="L56" s="18" t="n">
        <x:f>Q56+R56</x:f>
        <x:v>259</x:v>
      </x:c>
      <x:c r="M56" s="19" t="n">
        <x:f>IFERROR(K56/J56,0)</x:f>
        <x:v>0.22832369942196531</x:v>
      </x:c>
      <x:c r="N56" s="19" t="n">
        <x:f>IFERROR(L56/J56,0)</x:f>
        <x:v>0.7485549132947977</x:v>
      </x:c>
      <x:c r="O56" s="17" t="str">
        <x:f>IF(K56&gt;MAX(L56,S56),"קואליציית ההקמה 2022",IF(L56&gt;MAX(K56,S56),"אופוזיציה רחבה 2022","רשימות אחרות"))</x:f>
        <x:v>אופוזיציה רחבה 2022</x:v>
      </x:c>
      <x:c r="P56" s="17" t="str">
        <x:f>IF(AND(H56&lt;50%,N56&gt;50%),"כן","לא")</x:f>
        <x:v>לא</x:v>
      </x:c>
      <x:c r="Q56" s="18" t="n">
        <x:f>SUM(AV56,AJ56,AL56,T56,AN56)</x:f>
        <x:v>115</x:v>
      </x:c>
      <x:c r="R56" s="18" t="n">
        <x:f>SUM(Y56,AU56,X56)</x:f>
        <x:v>144</x:v>
      </x:c>
      <x:c r="S56" s="18" t="n">
        <x:f>J56-K56-L56</x:f>
        <x:v>8</x:v>
      </x:c>
      <x:c r="T56" s="18" t="n">
        <x:v>10</x:v>
      </x:c>
      <x:c r="U56" s="18" t="n">
        <x:v>3</x:v>
      </x:c>
      <x:c r="V56" s="18" t="n">
        <x:v>2</x:v>
      </x:c>
      <x:c r="W56" s="18" t="n">
        <x:v>0</x:v>
      </x:c>
      <x:c r="X56" s="18" t="n">
        <x:v>35</x:v>
      </x:c>
      <x:c r="Y56" s="18" t="n">
        <x:v>95</x:v>
      </x:c>
      <x:c r="Z56" s="18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15</x:v>
      </x:c>
      <x:c r="AE56" s="18" t="n">
        <x:v>0</x:v>
      </x:c>
      <x:c r="AF56" s="18" t="n">
        <x:v>0</x:v>
      </x:c>
      <x:c r="AG56" s="18" t="n">
        <x:v>0</x:v>
      </x:c>
      <x:c r="AH56" s="18" t="n">
        <x:v>0</x:v>
      </x:c>
      <x:c r="AI56" s="18" t="n">
        <x:v>0</x:v>
      </x:c>
      <x:c r="AJ56" s="18" t="n">
        <x:v>12</x:v>
      </x:c>
      <x:c r="AK56" s="18" t="n">
        <x:v>1</x:v>
      </x:c>
      <x:c r="AL56" s="18" t="n">
        <x:v>29</x:v>
      </x:c>
      <x:c r="AM56" s="18" t="n">
        <x:v>60</x:v>
      </x:c>
      <x:c r="AN56" s="18" t="n">
        <x:v>11</x:v>
      </x:c>
      <x:c r="AO56" s="18" t="n">
        <x:v>0</x:v>
      </x:c>
      <x:c r="AP56" s="18" t="n">
        <x:v>2</x:v>
      </x:c>
      <x:c r="AQ56" s="18" t="n">
        <x:v>0</x:v>
      </x:c>
      <x:c r="AR56" s="18" t="n">
        <x:v>0</x:v>
      </x:c>
      <x:c r="AS56" s="18" t="n">
        <x:v>0</x:v>
      </x:c>
      <x:c r="AT56" s="18" t="n">
        <x:v>0</x:v>
      </x:c>
      <x:c r="AU56" s="18" t="n">
        <x:v>14</x:v>
      </x:c>
      <x:c r="AV56" s="18" t="n">
        <x:v>53</x:v>
      </x:c>
      <x:c r="AW56" s="18" t="n">
        <x:v>0</x:v>
      </x:c>
      <x:c r="AX56" s="18" t="n">
        <x:v>0</x:v>
      </x:c>
      <x:c r="AY56" s="18" t="n">
        <x:v>0</x:v>
      </x:c>
      <x:c r="AZ56" s="18" t="n">
        <x:v>0</x:v>
      </x:c>
      <x:c r="BA56" s="18" t="n">
        <x:v>0</x:v>
      </x:c>
      <x:c r="BB56" s="18" t="n">
        <x:v>0</x:v>
      </x:c>
      <x:c r="BC56" s="18" t="n">
        <x:v>0</x:v>
      </x:c>
      <x:c r="BD56" s="18" t="n">
        <x:v>0</x:v>
      </x:c>
      <x:c r="BE56" s="18" t="n">
        <x:v>0</x:v>
      </x:c>
      <x:c r="BF56" s="18" t="n">
        <x:v>4</x:v>
      </x:c>
      <x:c r="BG56" s="18" t="n">
        <x:v>0</x:v>
      </x:c>
    </x:row>
    <x:row r="57">
      <x:c r="A57" s="29" t="str">
        <x:v>126</x:v>
      </x:c>
      <x:c r="B57" s="17" t="n">
        <x:v>2932</x:v>
      </x:c>
      <x:c r="C57" s="17" t="str">
        <x:v>בי"ס דרור</x:v>
      </x:c>
      <x:c r="D57" s="17" t="str">
        <x:v>דרור 19</x:v>
      </x:c>
      <x:c r="E57" s="17" t="str">
        <x:v>גבוה מאוד</x:v>
      </x:c>
      <x:c r="F57" s="18" t="n">
        <x:v>689</x:v>
      </x:c>
      <x:c r="G57" s="18" t="n">
        <x:v>295</x:v>
      </x:c>
      <x:c r="H57" s="19" t="n">
        <x:f>IFERROR(G57/F57,0)</x:f>
        <x:v>0.4281567489114659</x:v>
      </x:c>
      <x:c r="I57" s="18" t="n">
        <x:v>4</x:v>
      </x:c>
      <x:c r="J57" s="18" t="n">
        <x:v>291</x:v>
      </x:c>
      <x:c r="K57" s="18" t="n">
        <x:f>SUM(AM57,BF57,W57,AD57)</x:f>
        <x:v>94</x:v>
      </x:c>
      <x:c r="L57" s="18" t="n">
        <x:f>Q57+R57</x:f>
        <x:v>189</x:v>
      </x:c>
      <x:c r="M57" s="19" t="n">
        <x:f>IFERROR(K57/J57,0)</x:f>
        <x:v>0.3230240549828179</x:v>
      </x:c>
      <x:c r="N57" s="19" t="n">
        <x:f>IFERROR(L57/J57,0)</x:f>
        <x:v>0.6494845360824743</x:v>
      </x:c>
      <x:c r="O57" s="17" t="str">
        <x:f>IF(K57&gt;MAX(L57,S57),"קואליציית ההקמה 2022",IF(L57&gt;MAX(K57,S57),"אופוזיציה רחבה 2022","רשימות אחרות"))</x:f>
        <x:v>אופוזיציה רחבה 2022</x:v>
      </x:c>
      <x:c r="P57" s="17" t="str">
        <x:f>IF(AND(H57&lt;50%,N57&gt;50%),"כן","לא")</x:f>
        <x:v>כן</x:v>
      </x:c>
      <x:c r="Q57" s="18" t="n">
        <x:f>SUM(AV57,AJ57,AL57,T57,AN57)</x:f>
        <x:v>181</x:v>
      </x:c>
      <x:c r="R57" s="18" t="n">
        <x:f>SUM(Y57,AU57,X57)</x:f>
        <x:v>8</x:v>
      </x:c>
      <x:c r="S57" s="18" t="n">
        <x:f>J57-K57-L57</x:f>
        <x:v>8</x:v>
      </x:c>
      <x:c r="T57" s="18" t="n">
        <x:v>7</x:v>
      </x:c>
      <x:c r="U57" s="18" t="n">
        <x:v>0</x:v>
      </x:c>
      <x:c r="V57" s="18" t="n">
        <x:v>4</x:v>
      </x:c>
      <x:c r="W57" s="18" t="n">
        <x:v>0</x:v>
      </x:c>
      <x:c r="X57" s="18" t="n">
        <x:v>0</x:v>
      </x:c>
      <x:c r="Y57" s="18" t="n">
        <x:v>5</x:v>
      </x:c>
      <x:c r="Z57" s="18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18</x:v>
      </x:c>
      <x:c r="AE57" s="18" t="n">
        <x:v>0</x:v>
      </x:c>
      <x:c r="AF57" s="18" t="n">
        <x:v>1</x:v>
      </x:c>
      <x:c r="AG57" s="18" t="n">
        <x:v>0</x:v>
      </x:c>
      <x:c r="AH57" s="18" t="n">
        <x:v>0</x:v>
      </x:c>
      <x:c r="AI57" s="18" t="n">
        <x:v>0</x:v>
      </x:c>
      <x:c r="AJ57" s="18" t="n">
        <x:v>17</x:v>
      </x:c>
      <x:c r="AK57" s="18" t="n">
        <x:v>0</x:v>
      </x:c>
      <x:c r="AL57" s="18" t="n">
        <x:v>77</x:v>
      </x:c>
      <x:c r="AM57" s="18" t="n">
        <x:v>74</x:v>
      </x:c>
      <x:c r="AN57" s="18" t="n">
        <x:v>6</x:v>
      </x:c>
      <x:c r="AO57" s="18" t="n">
        <x:v>0</x:v>
      </x:c>
      <x:c r="AP57" s="18" t="n">
        <x:v>0</x:v>
      </x:c>
      <x:c r="AQ57" s="18" t="n">
        <x:v>0</x:v>
      </x:c>
      <x:c r="AR57" s="18" t="n">
        <x:v>0</x:v>
      </x:c>
      <x:c r="AS57" s="18" t="n">
        <x:v>0</x:v>
      </x:c>
      <x:c r="AT57" s="18" t="n">
        <x:v>0</x:v>
      </x:c>
      <x:c r="AU57" s="18" t="n">
        <x:v>3</x:v>
      </x:c>
      <x:c r="AV57" s="18" t="n">
        <x:v>74</x:v>
      </x:c>
      <x:c r="AW57" s="18" t="n">
        <x:v>0</x:v>
      </x:c>
      <x:c r="AX57" s="18" t="n">
        <x:v>2</x:v>
      </x:c>
      <x:c r="AY57" s="18" t="n">
        <x:v>0</x:v>
      </x:c>
      <x:c r="AZ57" s="18" t="n">
        <x:v>0</x:v>
      </x:c>
      <x:c r="BA57" s="18" t="n">
        <x:v>0</x:v>
      </x:c>
      <x:c r="BB57" s="18" t="n">
        <x:v>0</x:v>
      </x:c>
      <x:c r="BC57" s="18" t="n">
        <x:v>0</x:v>
      </x:c>
      <x:c r="BD57" s="18" t="n">
        <x:v>1</x:v>
      </x:c>
      <x:c r="BE57" s="18" t="n">
        <x:v>0</x:v>
      </x:c>
      <x:c r="BF57" s="18" t="n">
        <x:v>2</x:v>
      </x:c>
      <x:c r="BG57" s="18" t="n">
        <x:v>0</x:v>
      </x:c>
    </x:row>
    <x:row r="58">
      <x:c r="A58" s="29" t="str">
        <x:v>127</x:v>
      </x:c>
      <x:c r="B58" s="17" t="n">
        <x:v>2933</x:v>
      </x:c>
      <x:c r="C58" s="17" t="str">
        <x:v>בי"ס דרור</x:v>
      </x:c>
      <x:c r="D58" s="17" t="str">
        <x:v>דרור 19</x:v>
      </x:c>
      <x:c r="E58" s="17" t="str">
        <x:v>גבוה מאוד</x:v>
      </x:c>
      <x:c r="F58" s="18" t="n">
        <x:v>645</x:v>
      </x:c>
      <x:c r="G58" s="18" t="n">
        <x:v>322</x:v>
      </x:c>
      <x:c r="H58" s="19" t="n">
        <x:f>IFERROR(G58/F58,0)</x:f>
        <x:v>0.4992248062015504</x:v>
      </x:c>
      <x:c r="I58" s="18" t="n">
        <x:v>3</x:v>
      </x:c>
      <x:c r="J58" s="18" t="n">
        <x:v>319</x:v>
      </x:c>
      <x:c r="K58" s="18" t="n">
        <x:f>SUM(AM58,BF58,W58,AD58)</x:f>
        <x:v>74</x:v>
      </x:c>
      <x:c r="L58" s="18" t="n">
        <x:f>Q58+R58</x:f>
        <x:v>242</x:v>
      </x:c>
      <x:c r="M58" s="19" t="n">
        <x:f>IFERROR(K58/J58,0)</x:f>
        <x:v>0.23197492163009403</x:v>
      </x:c>
      <x:c r="N58" s="19" t="n">
        <x:f>IFERROR(L58/J58,0)</x:f>
        <x:v>0.7586206896551724</x:v>
      </x:c>
      <x:c r="O58" s="17" t="str">
        <x:f>IF(K58&gt;MAX(L58,S58),"קואליציית ההקמה 2022",IF(L58&gt;MAX(K58,S58),"אופוזיציה רחבה 2022","רשימות אחרות"))</x:f>
        <x:v>אופוזיציה רחבה 2022</x:v>
      </x:c>
      <x:c r="P58" s="17" t="str">
        <x:f>IF(AND(H58&lt;50%,N58&gt;50%),"כן","לא")</x:f>
        <x:v>כן</x:v>
      </x:c>
      <x:c r="Q58" s="18" t="n">
        <x:f>SUM(AV58,AJ58,AL58,T58,AN58)</x:f>
        <x:v>123</x:v>
      </x:c>
      <x:c r="R58" s="18" t="n">
        <x:f>SUM(Y58,AU58,X58)</x:f>
        <x:v>119</x:v>
      </x:c>
      <x:c r="S58" s="18" t="n">
        <x:f>J58-K58-L58</x:f>
        <x:v>3</x:v>
      </x:c>
      <x:c r="T58" s="18" t="n">
        <x:v>6</x:v>
      </x:c>
      <x:c r="U58" s="18" t="n">
        <x:v>2</x:v>
      </x:c>
      <x:c r="V58" s="18" t="n">
        <x:v>0</x:v>
      </x:c>
      <x:c r="W58" s="18" t="n">
        <x:v>0</x:v>
      </x:c>
      <x:c r="X58" s="18" t="n">
        <x:v>46</x:v>
      </x:c>
      <x:c r="Y58" s="18" t="n">
        <x:v>62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9</x:v>
      </x:c>
      <x:c r="AE58" s="18" t="n">
        <x:v>0</x:v>
      </x:c>
      <x:c r="AF58" s="18" t="n">
        <x:v>0</x:v>
      </x:c>
      <x:c r="AG58" s="18" t="n">
        <x:v>0</x:v>
      </x:c>
      <x:c r="AH58" s="18" t="n">
        <x:v>0</x:v>
      </x:c>
      <x:c r="AI58" s="18" t="n">
        <x:v>0</x:v>
      </x:c>
      <x:c r="AJ58" s="18" t="n">
        <x:v>22</x:v>
      </x:c>
      <x:c r="AK58" s="18" t="n">
        <x:v>0</x:v>
      </x:c>
      <x:c r="AL58" s="18" t="n">
        <x:v>46</x:v>
      </x:c>
      <x:c r="AM58" s="18" t="n">
        <x:v>62</x:v>
      </x:c>
      <x:c r="AN58" s="18" t="n">
        <x:v>9</x:v>
      </x:c>
      <x:c r="AO58" s="18" t="n">
        <x:v>0</x:v>
      </x:c>
      <x:c r="AP58" s="18" t="n">
        <x:v>0</x:v>
      </x:c>
      <x:c r="AQ58" s="18" t="n">
        <x:v>0</x:v>
      </x:c>
      <x:c r="AR58" s="18" t="n">
        <x:v>0</x:v>
      </x:c>
      <x:c r="AS58" s="18" t="n">
        <x:v>0</x:v>
      </x:c>
      <x:c r="AT58" s="18" t="n">
        <x:v>0</x:v>
      </x:c>
      <x:c r="AU58" s="18" t="n">
        <x:v>11</x:v>
      </x:c>
      <x:c r="AV58" s="18" t="n">
        <x:v>40</x:v>
      </x:c>
      <x:c r="AW58" s="18" t="n">
        <x:v>0</x:v>
      </x:c>
      <x:c r="AX58" s="18" t="n">
        <x:v>0</x:v>
      </x:c>
      <x:c r="AY58" s="18" t="n">
        <x:v>0</x:v>
      </x:c>
      <x:c r="AZ58" s="18" t="n">
        <x:v>0</x:v>
      </x:c>
      <x:c r="BA58" s="18" t="n">
        <x:v>0</x:v>
      </x:c>
      <x:c r="BB58" s="18" t="n">
        <x:v>0</x:v>
      </x:c>
      <x:c r="BC58" s="18" t="n">
        <x:v>0</x:v>
      </x:c>
      <x:c r="BD58" s="18" t="n">
        <x:v>0</x:v>
      </x:c>
      <x:c r="BE58" s="18" t="n">
        <x:v>0</x:v>
      </x:c>
      <x:c r="BF58" s="18" t="n">
        <x:v>3</x:v>
      </x:c>
      <x:c r="BG58" s="18" t="n">
        <x:v>1</x:v>
      </x:c>
    </x:row>
    <x:row r="59">
      <x:c r="A59" s="29" t="str">
        <x:v>128</x:v>
      </x:c>
      <x:c r="B59" s="17" t="n">
        <x:v>2934</x:v>
      </x:c>
      <x:c r="C59" s="17" t="str">
        <x:v>בי"ס דרור</x:v>
      </x:c>
      <x:c r="D59" s="17" t="str">
        <x:v>דרור 19</x:v>
      </x:c>
      <x:c r="E59" s="17" t="str">
        <x:v>גבוה מאוד</x:v>
      </x:c>
      <x:c r="F59" s="18" t="n">
        <x:v>672</x:v>
      </x:c>
      <x:c r="G59" s="18" t="n">
        <x:v>253</x:v>
      </x:c>
      <x:c r="H59" s="19" t="n">
        <x:f>IFERROR(G59/F59,0)</x:f>
        <x:v>0.37648809523809523</x:v>
      </x:c>
      <x:c r="I59" s="18" t="n">
        <x:v>5</x:v>
      </x:c>
      <x:c r="J59" s="18" t="n">
        <x:v>248</x:v>
      </x:c>
      <x:c r="K59" s="18" t="n">
        <x:f>SUM(AM59,BF59,W59,AD59)</x:f>
        <x:v>80</x:v>
      </x:c>
      <x:c r="L59" s="18" t="n">
        <x:f>Q59+R59</x:f>
        <x:v>155</x:v>
      </x:c>
      <x:c r="M59" s="19" t="n">
        <x:f>IFERROR(K59/J59,0)</x:f>
        <x:v>0.3225806451612903</x:v>
      </x:c>
      <x:c r="N59" s="19" t="n">
        <x:f>IFERROR(L59/J59,0)</x:f>
        <x:v>0.625</x:v>
      </x:c>
      <x:c r="O59" s="17" t="str">
        <x:f>IF(K59&gt;MAX(L59,S59),"קואליציית ההקמה 2022",IF(L59&gt;MAX(K59,S59),"אופוזיציה רחבה 2022","רשימות אחרות"))</x:f>
        <x:v>אופוזיציה רחבה 2022</x:v>
      </x:c>
      <x:c r="P59" s="17" t="str">
        <x:f>IF(AND(H59&lt;50%,N59&gt;50%),"כן","לא")</x:f>
        <x:v>כן</x:v>
      </x:c>
      <x:c r="Q59" s="18" t="n">
        <x:f>SUM(AV59,AJ59,AL59,T59,AN59)</x:f>
        <x:v>125</x:v>
      </x:c>
      <x:c r="R59" s="18" t="n">
        <x:f>SUM(Y59,AU59,X59)</x:f>
        <x:v>30</x:v>
      </x:c>
      <x:c r="S59" s="18" t="n">
        <x:f>J59-K59-L59</x:f>
        <x:v>13</x:v>
      </x:c>
      <x:c r="T59" s="18" t="n">
        <x:v>5</x:v>
      </x:c>
      <x:c r="U59" s="18" t="n">
        <x:v>3</x:v>
      </x:c>
      <x:c r="V59" s="18" t="n">
        <x:v>1</x:v>
      </x:c>
      <x:c r="W59" s="18" t="n">
        <x:v>2</x:v>
      </x:c>
      <x:c r="X59" s="18" t="n">
        <x:v>15</x:v>
      </x:c>
      <x:c r="Y59" s="18" t="n">
        <x:v>14</x:v>
      </x:c>
      <x:c r="Z59" s="18" t="n">
        <x:v>0</x:v>
      </x:c>
      <x:c r="AA59" s="18" t="n">
        <x:v>0</x:v>
      </x:c>
      <x:c r="AB59" s="18" t="n">
        <x:v>1</x:v>
      </x:c>
      <x:c r="AC59" s="18" t="n">
        <x:v>0</x:v>
      </x:c>
      <x:c r="AD59" s="18" t="n">
        <x:v>15</x:v>
      </x:c>
      <x:c r="AE59" s="18" t="n">
        <x:v>0</x:v>
      </x:c>
      <x:c r="AF59" s="18" t="n">
        <x:v>1</x:v>
      </x:c>
      <x:c r="AG59" s="18" t="n">
        <x:v>0</x:v>
      </x:c>
      <x:c r="AH59" s="18" t="n">
        <x:v>0</x:v>
      </x:c>
      <x:c r="AI59" s="18" t="n">
        <x:v>0</x:v>
      </x:c>
      <x:c r="AJ59" s="18" t="n">
        <x:v>15</x:v>
      </x:c>
      <x:c r="AK59" s="18" t="n">
        <x:v>0</x:v>
      </x:c>
      <x:c r="AL59" s="18" t="n">
        <x:v>57</x:v>
      </x:c>
      <x:c r="AM59" s="18" t="n">
        <x:v>61</x:v>
      </x:c>
      <x:c r="AN59" s="18" t="n">
        <x:v>2</x:v>
      </x:c>
      <x:c r="AO59" s="18" t="n">
        <x:v>1</x:v>
      </x:c>
      <x:c r="AP59" s="18" t="n">
        <x:v>0</x:v>
      </x:c>
      <x:c r="AQ59" s="18" t="n">
        <x:v>0</x:v>
      </x:c>
      <x:c r="AR59" s="18" t="n">
        <x:v>0</x:v>
      </x:c>
      <x:c r="AS59" s="18" t="n">
        <x:v>0</x:v>
      </x:c>
      <x:c r="AT59" s="18" t="n">
        <x:v>0</x:v>
      </x:c>
      <x:c r="AU59" s="18" t="n">
        <x:v>1</x:v>
      </x:c>
      <x:c r="AV59" s="18" t="n">
        <x:v>46</x:v>
      </x:c>
      <x:c r="AW59" s="18" t="n">
        <x:v>0</x:v>
      </x:c>
      <x:c r="AX59" s="18" t="n">
        <x:v>1</x:v>
      </x:c>
      <x:c r="AY59" s="18" t="n">
        <x:v>0</x:v>
      </x:c>
      <x:c r="AZ59" s="18" t="n">
        <x:v>0</x:v>
      </x:c>
      <x:c r="BA59" s="18" t="n">
        <x:v>0</x:v>
      </x:c>
      <x:c r="BB59" s="18" t="n">
        <x:v>0</x:v>
      </x:c>
      <x:c r="BC59" s="18" t="n">
        <x:v>0</x:v>
      </x:c>
      <x:c r="BD59" s="18" t="n">
        <x:v>0</x:v>
      </x:c>
      <x:c r="BE59" s="18" t="n">
        <x:v>2</x:v>
      </x:c>
      <x:c r="BF59" s="18" t="n">
        <x:v>2</x:v>
      </x:c>
      <x:c r="BG59" s="18" t="n">
        <x:v>3</x:v>
      </x:c>
    </x:row>
    <x:row r="60">
      <x:c r="A60" s="29" t="str">
        <x:v>130</x:v>
      </x:c>
      <x:c r="B60" s="17" t="n">
        <x:v>2935</x:v>
      </x:c>
      <x:c r="C60" s="17" t="str">
        <x:v>בי"ס דרור</x:v>
      </x:c>
      <x:c r="D60" s="17" t="str">
        <x:v>דרור 19</x:v>
      </x:c>
      <x:c r="E60" s="17" t="str">
        <x:v>גבוה מאוד</x:v>
      </x:c>
      <x:c r="F60" s="18" t="n">
        <x:v>547</x:v>
      </x:c>
      <x:c r="G60" s="18" t="n">
        <x:v>237</x:v>
      </x:c>
      <x:c r="H60" s="19" t="n">
        <x:f>IFERROR(G60/F60,0)</x:f>
        <x:v>0.43327239488117003</x:v>
      </x:c>
      <x:c r="I60" s="18" t="n">
        <x:v>2</x:v>
      </x:c>
      <x:c r="J60" s="18" t="n">
        <x:v>235</x:v>
      </x:c>
      <x:c r="K60" s="18" t="n">
        <x:f>SUM(AM60,BF60,W60,AD60)</x:f>
        <x:v>85</x:v>
      </x:c>
      <x:c r="L60" s="18" t="n">
        <x:f>Q60+R60</x:f>
        <x:v>144</x:v>
      </x:c>
      <x:c r="M60" s="19" t="n">
        <x:f>IFERROR(K60/J60,0)</x:f>
        <x:v>0.3617021276595745</x:v>
      </x:c>
      <x:c r="N60" s="19" t="n">
        <x:f>IFERROR(L60/J60,0)</x:f>
        <x:v>0.6127659574468085</x:v>
      </x:c>
      <x:c r="O60" s="17" t="str">
        <x:f>IF(K60&gt;MAX(L60,S60),"קואליציית ההקמה 2022",IF(L60&gt;MAX(K60,S60),"אופוזיציה רחבה 2022","רשימות אחרות"))</x:f>
        <x:v>אופוזיציה רחבה 2022</x:v>
      </x:c>
      <x:c r="P60" s="17" t="str">
        <x:f>IF(AND(H60&lt;50%,N60&gt;50%),"כן","לא")</x:f>
        <x:v>כן</x:v>
      </x:c>
      <x:c r="Q60" s="18" t="n">
        <x:f>SUM(AV60,AJ60,AL60,T60,AN60)</x:f>
        <x:v>118</x:v>
      </x:c>
      <x:c r="R60" s="18" t="n">
        <x:f>SUM(Y60,AU60,X60)</x:f>
        <x:v>26</x:v>
      </x:c>
      <x:c r="S60" s="18" t="n">
        <x:f>J60-K60-L60</x:f>
        <x:v>6</x:v>
      </x:c>
      <x:c r="T60" s="18" t="n">
        <x:v>4</x:v>
      </x:c>
      <x:c r="U60" s="18" t="n">
        <x:v>1</x:v>
      </x:c>
      <x:c r="V60" s="18" t="n">
        <x:v>2</x:v>
      </x:c>
      <x:c r="W60" s="18" t="n">
        <x:v>3</x:v>
      </x:c>
      <x:c r="X60" s="18" t="n">
        <x:v>13</x:v>
      </x:c>
      <x:c r="Y60" s="18" t="n">
        <x:v>12</x:v>
      </x:c>
      <x:c r="Z60" s="18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10</x:v>
      </x:c>
      <x:c r="AE60" s="18" t="n">
        <x:v>0</x:v>
      </x:c>
      <x:c r="AF60" s="18" t="n">
        <x:v>0</x:v>
      </x:c>
      <x:c r="AG60" s="18" t="n">
        <x:v>0</x:v>
      </x:c>
      <x:c r="AH60" s="18" t="n">
        <x:v>0</x:v>
      </x:c>
      <x:c r="AI60" s="18" t="n">
        <x:v>0</x:v>
      </x:c>
      <x:c r="AJ60" s="18" t="n">
        <x:v>17</x:v>
      </x:c>
      <x:c r="AK60" s="18" t="n">
        <x:v>0</x:v>
      </x:c>
      <x:c r="AL60" s="18" t="n">
        <x:v>45</x:v>
      </x:c>
      <x:c r="AM60" s="18" t="n">
        <x:v>67</x:v>
      </x:c>
      <x:c r="AN60" s="18" t="n">
        <x:v>5</x:v>
      </x:c>
      <x:c r="AO60" s="18" t="n">
        <x:v>0</x:v>
      </x:c>
      <x:c r="AP60" s="18" t="n">
        <x:v>1</x:v>
      </x:c>
      <x:c r="AQ60" s="18" t="n">
        <x:v>0</x:v>
      </x:c>
      <x:c r="AR60" s="18" t="n">
        <x:v>0</x:v>
      </x:c>
      <x:c r="AS60" s="18" t="n">
        <x:v>0</x:v>
      </x:c>
      <x:c r="AT60" s="18" t="n">
        <x:v>0</x:v>
      </x:c>
      <x:c r="AU60" s="18" t="n">
        <x:v>1</x:v>
      </x:c>
      <x:c r="AV60" s="18" t="n">
        <x:v>47</x:v>
      </x:c>
      <x:c r="AW60" s="18" t="n">
        <x:v>0</x:v>
      </x:c>
      <x:c r="AX60" s="18" t="n">
        <x:v>1</x:v>
      </x:c>
      <x:c r="AY60" s="18" t="n">
        <x:v>0</x:v>
      </x:c>
      <x:c r="AZ60" s="18" t="n">
        <x:v>0</x:v>
      </x:c>
      <x:c r="BA60" s="18" t="n">
        <x:v>0</x:v>
      </x:c>
      <x:c r="BB60" s="18" t="n">
        <x:v>0</x:v>
      </x:c>
      <x:c r="BC60" s="18" t="n">
        <x:v>0</x:v>
      </x:c>
      <x:c r="BD60" s="18" t="n">
        <x:v>1</x:v>
      </x:c>
      <x:c r="BE60" s="18" t="n">
        <x:v>0</x:v>
      </x:c>
      <x:c r="BF60" s="18" t="n">
        <x:v>5</x:v>
      </x:c>
      <x:c r="BG60" s="18" t="n">
        <x:v>0</x:v>
      </x:c>
    </x:row>
    <x:row r="61">
      <x:c r="A61" s="29" t="str">
        <x:v>131</x:v>
      </x:c>
      <x:c r="B61" s="17" t="n">
        <x:v>2936</x:v>
      </x:c>
      <x:c r="C61" s="17" t="str">
        <x:v>מרכז קהילתי בת גלים</x:v>
      </x:c>
      <x:c r="D61" s="17" t="str">
        <x:v>העליה השניה 45</x:v>
      </x:c>
      <x:c r="E61" s="17" t="str">
        <x:v>גבוה מאוד</x:v>
      </x:c>
      <x:c r="F61" s="18" t="n">
        <x:v>555</x:v>
      </x:c>
      <x:c r="G61" s="18" t="n">
        <x:v>261</x:v>
      </x:c>
      <x:c r="H61" s="19" t="n">
        <x:f>IFERROR(G61/F61,0)</x:f>
        <x:v>0.4702702702702703</x:v>
      </x:c>
      <x:c r="I61" s="18" t="n">
        <x:v>1</x:v>
      </x:c>
      <x:c r="J61" s="18" t="n">
        <x:v>260</x:v>
      </x:c>
      <x:c r="K61" s="18" t="n">
        <x:f>SUM(AM61,BF61,W61,AD61)</x:f>
        <x:v>57</x:v>
      </x:c>
      <x:c r="L61" s="18" t="n">
        <x:f>Q61+R61</x:f>
        <x:v>196</x:v>
      </x:c>
      <x:c r="M61" s="19" t="n">
        <x:f>IFERROR(K61/J61,0)</x:f>
        <x:v>0.21923076923076923</x:v>
      </x:c>
      <x:c r="N61" s="19" t="n">
        <x:f>IFERROR(L61/J61,0)</x:f>
        <x:v>0.7538461538461538</x:v>
      </x:c>
      <x:c r="O61" s="17" t="str">
        <x:f>IF(K61&gt;MAX(L61,S61),"קואליציית ההקמה 2022",IF(L61&gt;MAX(K61,S61),"אופוזיציה רחבה 2022","רשימות אחרות"))</x:f>
        <x:v>אופוזיציה רחבה 2022</x:v>
      </x:c>
      <x:c r="P61" s="17" t="str">
        <x:f>IF(AND(H61&lt;50%,N61&gt;50%),"כן","לא")</x:f>
        <x:v>כן</x:v>
      </x:c>
      <x:c r="Q61" s="18" t="n">
        <x:f>SUM(AV61,AJ61,AL61,T61,AN61)</x:f>
        <x:v>187</x:v>
      </x:c>
      <x:c r="R61" s="18" t="n">
        <x:f>SUM(Y61,AU61,X61)</x:f>
        <x:v>9</x:v>
      </x:c>
      <x:c r="S61" s="18" t="n">
        <x:f>J61-K61-L61</x:f>
        <x:v>7</x:v>
      </x:c>
      <x:c r="T61" s="18" t="n">
        <x:v>41</x:v>
      </x:c>
      <x:c r="U61" s="18" t="n">
        <x:v>3</x:v>
      </x:c>
      <x:c r="V61" s="18" t="n">
        <x:v>0</x:v>
      </x:c>
      <x:c r="W61" s="18" t="n">
        <x:v>0</x:v>
      </x:c>
      <x:c r="X61" s="18" t="n">
        <x:v>4</x:v>
      </x:c>
      <x:c r="Y61" s="18" t="n">
        <x:v>5</x:v>
      </x:c>
      <x:c r="Z61" s="18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9</x:v>
      </x:c>
      <x:c r="AE61" s="18" t="n">
        <x:v>0</x:v>
      </x:c>
      <x:c r="AF61" s="18" t="n">
        <x:v>0</x:v>
      </x:c>
      <x:c r="AG61" s="18" t="n">
        <x:v>0</x:v>
      </x:c>
      <x:c r="AH61" s="18" t="n">
        <x:v>0</x:v>
      </x:c>
      <x:c r="AI61" s="18" t="n">
        <x:v>0</x:v>
      </x:c>
      <x:c r="AJ61" s="18" t="n">
        <x:v>29</x:v>
      </x:c>
      <x:c r="AK61" s="18" t="n">
        <x:v>0</x:v>
      </x:c>
      <x:c r="AL61" s="18" t="n">
        <x:v>17</x:v>
      </x:c>
      <x:c r="AM61" s="18" t="n">
        <x:v>40</x:v>
      </x:c>
      <x:c r="AN61" s="18" t="n">
        <x:v>25</x:v>
      </x:c>
      <x:c r="AO61" s="18" t="n">
        <x:v>0</x:v>
      </x:c>
      <x:c r="AP61" s="18" t="n">
        <x:v>0</x:v>
      </x:c>
      <x:c r="AQ61" s="18" t="n">
        <x:v>0</x:v>
      </x:c>
      <x:c r="AR61" s="18" t="n">
        <x:v>0</x:v>
      </x:c>
      <x:c r="AS61" s="18" t="n">
        <x:v>0</x:v>
      </x:c>
      <x:c r="AT61" s="18" t="n">
        <x:v>0</x:v>
      </x:c>
      <x:c r="AU61" s="18" t="n">
        <x:v>0</x:v>
      </x:c>
      <x:c r="AV61" s="18" t="n">
        <x:v>75</x:v>
      </x:c>
      <x:c r="AW61" s="18" t="n">
        <x:v>0</x:v>
      </x:c>
      <x:c r="AX61" s="18" t="n">
        <x:v>0</x:v>
      </x:c>
      <x:c r="AY61" s="18" t="n">
        <x:v>0</x:v>
      </x:c>
      <x:c r="AZ61" s="18" t="n">
        <x:v>0</x:v>
      </x:c>
      <x:c r="BA61" s="18" t="n">
        <x:v>0</x:v>
      </x:c>
      <x:c r="BB61" s="18" t="n">
        <x:v>0</x:v>
      </x:c>
      <x:c r="BC61" s="18" t="n">
        <x:v>0</x:v>
      </x:c>
      <x:c r="BD61" s="18" t="n">
        <x:v>4</x:v>
      </x:c>
      <x:c r="BE61" s="18" t="n">
        <x:v>0</x:v>
      </x:c>
      <x:c r="BF61" s="18" t="n">
        <x:v>8</x:v>
      </x:c>
      <x:c r="BG61" s="18" t="n">
        <x:v>0</x:v>
      </x:c>
    </x:row>
    <x:row r="62">
      <x:c r="A62" s="29" t="str">
        <x:v>132</x:v>
      </x:c>
      <x:c r="B62" s="17" t="n">
        <x:v>2937</x:v>
      </x:c>
      <x:c r="C62" s="17" t="str">
        <x:v>אשכול פייס</x:v>
      </x:c>
      <x:c r="D62" s="17" t="str">
        <x:v>צה"ל 41</x:v>
      </x:c>
      <x:c r="E62" s="17" t="str">
        <x:v>גבוה מאוד</x:v>
      </x:c>
      <x:c r="F62" s="18" t="n">
        <x:v>692</x:v>
      </x:c>
      <x:c r="G62" s="18" t="n">
        <x:v>386</x:v>
      </x:c>
      <x:c r="H62" s="19" t="n">
        <x:f>IFERROR(G62/F62,0)</x:f>
        <x:v>0.5578034682080925</x:v>
      </x:c>
      <x:c r="I62" s="18" t="n">
        <x:v>4</x:v>
      </x:c>
      <x:c r="J62" s="18" t="n">
        <x:v>382</x:v>
      </x:c>
      <x:c r="K62" s="18" t="n">
        <x:f>SUM(AM62,BF62,W62,AD62)</x:f>
        <x:v>19</x:v>
      </x:c>
      <x:c r="L62" s="18" t="n">
        <x:f>Q62+R62</x:f>
        <x:v>354</x:v>
      </x:c>
      <x:c r="M62" s="19" t="n">
        <x:f>IFERROR(K62/J62,0)</x:f>
        <x:v>0.049738219895287955</x:v>
      </x:c>
      <x:c r="N62" s="19" t="n">
        <x:f>IFERROR(L62/J62,0)</x:f>
        <x:v>0.9267015706806283</x:v>
      </x:c>
      <x:c r="O62" s="17" t="str">
        <x:f>IF(K62&gt;MAX(L62,S62),"קואליציית ההקמה 2022",IF(L62&gt;MAX(K62,S62),"אופוזיציה רחבה 2022","רשימות אחרות"))</x:f>
        <x:v>אופוזיציה רחבה 2022</x:v>
      </x:c>
      <x:c r="P62" s="17" t="str">
        <x:f>IF(AND(H62&lt;50%,N62&gt;50%),"כן","לא")</x:f>
        <x:v>לא</x:v>
      </x:c>
      <x:c r="Q62" s="18" t="n">
        <x:f>SUM(AV62,AJ62,AL62,T62,AN62)</x:f>
        <x:v>75</x:v>
      </x:c>
      <x:c r="R62" s="18" t="n">
        <x:f>SUM(Y62,AU62,X62)</x:f>
        <x:v>279</x:v>
      </x:c>
      <x:c r="S62" s="18" t="n">
        <x:f>J62-K62-L62</x:f>
        <x:v>9</x:v>
      </x:c>
      <x:c r="T62" s="18" t="n">
        <x:v>4</x:v>
      </x:c>
      <x:c r="U62" s="18" t="n">
        <x:v>1</x:v>
      </x:c>
      <x:c r="V62" s="18" t="n">
        <x:v>1</x:v>
      </x:c>
      <x:c r="W62" s="18" t="n">
        <x:v>0</x:v>
      </x:c>
      <x:c r="X62" s="18" t="n">
        <x:v>74</x:v>
      </x:c>
      <x:c r="Y62" s="18" t="n">
        <x:v>192</x:v>
      </x:c>
      <x:c r="Z62" s="18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2</x:v>
      </x:c>
      <x:c r="AE62" s="18" t="n">
        <x:v>0</x:v>
      </x:c>
      <x:c r="AF62" s="18" t="n">
        <x:v>1</x:v>
      </x:c>
      <x:c r="AG62" s="18" t="n">
        <x:v>0</x:v>
      </x:c>
      <x:c r="AH62" s="18" t="n">
        <x:v>0</x:v>
      </x:c>
      <x:c r="AI62" s="18" t="n">
        <x:v>0</x:v>
      </x:c>
      <x:c r="AJ62" s="18" t="n">
        <x:v>5</x:v>
      </x:c>
      <x:c r="AK62" s="18" t="n">
        <x:v>1</x:v>
      </x:c>
      <x:c r="AL62" s="18" t="n">
        <x:v>11</x:v>
      </x:c>
      <x:c r="AM62" s="18" t="n">
        <x:v>17</x:v>
      </x:c>
      <x:c r="AN62" s="18" t="n">
        <x:v>21</x:v>
      </x:c>
      <x:c r="AO62" s="18" t="n">
        <x:v>1</x:v>
      </x:c>
      <x:c r="AP62" s="18" t="n">
        <x:v>0</x:v>
      </x:c>
      <x:c r="AQ62" s="18" t="n">
        <x:v>0</x:v>
      </x:c>
      <x:c r="AR62" s="18" t="n">
        <x:v>0</x:v>
      </x:c>
      <x:c r="AS62" s="18" t="n">
        <x:v>0</x:v>
      </x:c>
      <x:c r="AT62" s="18" t="n">
        <x:v>0</x:v>
      </x:c>
      <x:c r="AU62" s="18" t="n">
        <x:v>13</x:v>
      </x:c>
      <x:c r="AV62" s="18" t="n">
        <x:v>34</x:v>
      </x:c>
      <x:c r="AW62" s="18" t="n">
        <x:v>0</x:v>
      </x:c>
      <x:c r="AX62" s="18" t="n">
        <x:v>3</x:v>
      </x:c>
      <x:c r="AY62" s="18" t="n">
        <x:v>1</x:v>
      </x:c>
      <x:c r="AZ62" s="18" t="n">
        <x:v>0</x:v>
      </x:c>
      <x:c r="BA62" s="18" t="n">
        <x:v>0</x:v>
      </x:c>
      <x:c r="BB62" s="18" t="n">
        <x:v>0</x:v>
      </x:c>
      <x:c r="BC62" s="18" t="n">
        <x:v>0</x:v>
      </x:c>
      <x:c r="BD62" s="18" t="n">
        <x:v>0</x:v>
      </x:c>
      <x:c r="BE62" s="18" t="n">
        <x:v>0</x:v>
      </x:c>
      <x:c r="BF62" s="18" t="n">
        <x:v>0</x:v>
      </x:c>
      <x:c r="BG62" s="18" t="n">
        <x:v>0</x:v>
      </x:c>
    </x:row>
    <x:row r="63">
      <x:c r="A63" s="29" t="str">
        <x:v>133</x:v>
      </x:c>
      <x:c r="B63" s="17" t="n">
        <x:v>2938</x:v>
      </x:c>
      <x:c r="C63" s="17" t="str">
        <x:v>בי"ס חטיבת בינים רעות</x:v>
      </x:c>
      <x:c r="D63" s="17" t="str">
        <x:v>נח"ל 2</x:v>
      </x:c>
      <x:c r="E63" s="17" t="str">
        <x:v>גבוה מאוד</x:v>
      </x:c>
      <x:c r="F63" s="18" t="n">
        <x:v>630</x:v>
      </x:c>
      <x:c r="G63" s="18" t="n">
        <x:v>297</x:v>
      </x:c>
      <x:c r="H63" s="19" t="n">
        <x:f>IFERROR(G63/F63,0)</x:f>
        <x:v>0.4714285714285714</x:v>
      </x:c>
      <x:c r="I63" s="18" t="n">
        <x:v>9</x:v>
      </x:c>
      <x:c r="J63" s="18" t="n">
        <x:v>288</x:v>
      </x:c>
      <x:c r="K63" s="18" t="n">
        <x:f>SUM(AM63,BF63,W63,AD63)</x:f>
        <x:v>93</x:v>
      </x:c>
      <x:c r="L63" s="18" t="n">
        <x:f>Q63+R63</x:f>
        <x:v>189</x:v>
      </x:c>
      <x:c r="M63" s="19" t="n">
        <x:f>IFERROR(K63/J63,0)</x:f>
        <x:v>0.3229166666666667</x:v>
      </x:c>
      <x:c r="N63" s="19" t="n">
        <x:f>IFERROR(L63/J63,0)</x:f>
        <x:v>0.65625</x:v>
      </x:c>
      <x:c r="O63" s="17" t="str">
        <x:f>IF(K63&gt;MAX(L63,S63),"קואליציית ההקמה 2022",IF(L63&gt;MAX(K63,S63),"אופוזיציה רחבה 2022","רשימות אחרות"))</x:f>
        <x:v>אופוזיציה רחבה 2022</x:v>
      </x:c>
      <x:c r="P63" s="17" t="str">
        <x:f>IF(AND(H63&lt;50%,N63&gt;50%),"כן","לא")</x:f>
        <x:v>כן</x:v>
      </x:c>
      <x:c r="Q63" s="18" t="n">
        <x:f>SUM(AV63,AJ63,AL63,T63,AN63)</x:f>
        <x:v>157</x:v>
      </x:c>
      <x:c r="R63" s="18" t="n">
        <x:f>SUM(Y63,AU63,X63)</x:f>
        <x:v>32</x:v>
      </x:c>
      <x:c r="S63" s="18" t="n">
        <x:f>J63-K63-L63</x:f>
        <x:v>6</x:v>
      </x:c>
      <x:c r="T63" s="18" t="n">
        <x:v>9</x:v>
      </x:c>
      <x:c r="U63" s="18" t="n">
        <x:v>0</x:v>
      </x:c>
      <x:c r="V63" s="18" t="n">
        <x:v>0</x:v>
      </x:c>
      <x:c r="W63" s="18" t="n">
        <x:v>1</x:v>
      </x:c>
      <x:c r="X63" s="18" t="n">
        <x:v>11</x:v>
      </x:c>
      <x:c r="Y63" s="18" t="n">
        <x:v>20</x:v>
      </x:c>
      <x:c r="Z63" s="18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17</x:v>
      </x:c>
      <x:c r="AE63" s="18" t="n">
        <x:v>0</x:v>
      </x:c>
      <x:c r="AF63" s="18" t="n">
        <x:v>2</x:v>
      </x:c>
      <x:c r="AG63" s="18" t="n">
        <x:v>0</x:v>
      </x:c>
      <x:c r="AH63" s="18" t="n">
        <x:v>0</x:v>
      </x:c>
      <x:c r="AI63" s="18" t="n">
        <x:v>0</x:v>
      </x:c>
      <x:c r="AJ63" s="18" t="n">
        <x:v>15</x:v>
      </x:c>
      <x:c r="AK63" s="18" t="n">
        <x:v>0</x:v>
      </x:c>
      <x:c r="AL63" s="18" t="n">
        <x:v>70</x:v>
      </x:c>
      <x:c r="AM63" s="18" t="n">
        <x:v>67</x:v>
      </x:c>
      <x:c r="AN63" s="18" t="n">
        <x:v>7</x:v>
      </x:c>
      <x:c r="AO63" s="18" t="n">
        <x:v>0</x:v>
      </x:c>
      <x:c r="AP63" s="18" t="n">
        <x:v>0</x:v>
      </x:c>
      <x:c r="AQ63" s="18" t="n">
        <x:v>0</x:v>
      </x:c>
      <x:c r="AR63" s="18" t="n">
        <x:v>0</x:v>
      </x:c>
      <x:c r="AS63" s="18" t="n">
        <x:v>0</x:v>
      </x:c>
      <x:c r="AT63" s="18" t="n">
        <x:v>0</x:v>
      </x:c>
      <x:c r="AU63" s="18" t="n">
        <x:v>1</x:v>
      </x:c>
      <x:c r="AV63" s="18" t="n">
        <x:v>56</x:v>
      </x:c>
      <x:c r="AW63" s="18" t="n">
        <x:v>0</x:v>
      </x:c>
      <x:c r="AX63" s="18" t="n">
        <x:v>2</x:v>
      </x:c>
      <x:c r="AY63" s="18" t="n">
        <x:v>0</x:v>
      </x:c>
      <x:c r="AZ63" s="18" t="n">
        <x:v>0</x:v>
      </x:c>
      <x:c r="BA63" s="18" t="n">
        <x:v>0</x:v>
      </x:c>
      <x:c r="BB63" s="18" t="n">
        <x:v>0</x:v>
      </x:c>
      <x:c r="BC63" s="18" t="n">
        <x:v>0</x:v>
      </x:c>
      <x:c r="BD63" s="18" t="n">
        <x:v>1</x:v>
      </x:c>
      <x:c r="BE63" s="18" t="n">
        <x:v>1</x:v>
      </x:c>
      <x:c r="BF63" s="18" t="n">
        <x:v>8</x:v>
      </x:c>
      <x:c r="BG63" s="18" t="n">
        <x:v>0</x:v>
      </x:c>
    </x:row>
    <x:row r="64">
      <x:c r="A64" s="29" t="str">
        <x:v>134</x:v>
      </x:c>
      <x:c r="B64" s="17" t="n">
        <x:v>2939</x:v>
      </x:c>
      <x:c r="C64" s="17" t="str">
        <x:v>בי"ס יבניאלי</x:v>
      </x:c>
      <x:c r="D64" s="17" t="str">
        <x:v>יואב 5</x:v>
      </x:c>
      <x:c r="E64" s="17" t="str">
        <x:v>גבוה מאוד</x:v>
      </x:c>
      <x:c r="F64" s="18" t="n">
        <x:v>523</x:v>
      </x:c>
      <x:c r="G64" s="18" t="n">
        <x:v>296</x:v>
      </x:c>
      <x:c r="H64" s="19" t="n">
        <x:f>IFERROR(G64/F64,0)</x:f>
        <x:v>0.5659655831739961</x:v>
      </x:c>
      <x:c r="I64" s="18" t="n">
        <x:v>7</x:v>
      </x:c>
      <x:c r="J64" s="18" t="n">
        <x:v>289</x:v>
      </x:c>
      <x:c r="K64" s="18" t="n">
        <x:f>SUM(AM64,BF64,W64,AD64)</x:f>
        <x:v>125</x:v>
      </x:c>
      <x:c r="L64" s="18" t="n">
        <x:f>Q64+R64</x:f>
        <x:v>152</x:v>
      </x:c>
      <x:c r="M64" s="19" t="n">
        <x:f>IFERROR(K64/J64,0)</x:f>
        <x:v>0.43252595155709345</x:v>
      </x:c>
      <x:c r="N64" s="19" t="n">
        <x:f>IFERROR(L64/J64,0)</x:f>
        <x:v>0.5259515570934256</x:v>
      </x:c>
      <x:c r="O64" s="17" t="str">
        <x:f>IF(K64&gt;MAX(L64,S64),"קואליציית ההקמה 2022",IF(L64&gt;MAX(K64,S64),"אופוזיציה רחבה 2022","רשימות אחרות"))</x:f>
        <x:v>אופוזיציה רחבה 2022</x:v>
      </x:c>
      <x:c r="P64" s="17" t="str">
        <x:f>IF(AND(H64&lt;50%,N64&gt;50%),"כן","לא")</x:f>
        <x:v>לא</x:v>
      </x:c>
      <x:c r="Q64" s="18" t="n">
        <x:f>SUM(AV64,AJ64,AL64,T64,AN64)</x:f>
        <x:v>152</x:v>
      </x:c>
      <x:c r="R64" s="18" t="n">
        <x:f>SUM(Y64,AU64,X64)</x:f>
        <x:v>0</x:v>
      </x:c>
      <x:c r="S64" s="18" t="n">
        <x:f>J64-K64-L64</x:f>
        <x:v>12</x:v>
      </x:c>
      <x:c r="T64" s="18" t="n">
        <x:v>7</x:v>
      </x:c>
      <x:c r="U64" s="18" t="n">
        <x:v>2</x:v>
      </x:c>
      <x:c r="V64" s="18" t="n">
        <x:v>3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0</x:v>
      </x:c>
      <x:c r="AB64" s="18" t="n">
        <x:v>0</x:v>
      </x:c>
      <x:c r="AC64" s="18" t="n">
        <x:v>1</x:v>
      </x:c>
      <x:c r="AD64" s="18" t="n">
        <x:v>13</x:v>
      </x:c>
      <x:c r="AE64" s="18" t="n">
        <x:v>0</x:v>
      </x:c>
      <x:c r="AF64" s="18" t="n">
        <x:v>1</x:v>
      </x:c>
      <x:c r="AG64" s="18" t="n">
        <x:v>0</x:v>
      </x:c>
      <x:c r="AH64" s="18" t="n">
        <x:v>0</x:v>
      </x:c>
      <x:c r="AI64" s="18" t="n">
        <x:v>0</x:v>
      </x:c>
      <x:c r="AJ64" s="18" t="n">
        <x:v>20</x:v>
      </x:c>
      <x:c r="AK64" s="18" t="n">
        <x:v>2</x:v>
      </x:c>
      <x:c r="AL64" s="18" t="n">
        <x:v>45</x:v>
      </x:c>
      <x:c r="AM64" s="18" t="n">
        <x:v>100</x:v>
      </x:c>
      <x:c r="AN64" s="18" t="n">
        <x:v>12</x:v>
      </x:c>
      <x:c r="AO64" s="18" t="n">
        <x:v>0</x:v>
      </x:c>
      <x:c r="AP64" s="18" t="n">
        <x:v>0</x:v>
      </x:c>
      <x:c r="AQ64" s="18" t="n">
        <x:v>0</x:v>
      </x:c>
      <x:c r="AR64" s="18" t="n">
        <x:v>0</x:v>
      </x:c>
      <x:c r="AS64" s="18" t="n">
        <x:v>0</x:v>
      </x:c>
      <x:c r="AT64" s="18" t="n">
        <x:v>0</x:v>
      </x:c>
      <x:c r="AU64" s="18" t="n">
        <x:v>0</x:v>
      </x:c>
      <x:c r="AV64" s="18" t="n">
        <x:v>68</x:v>
      </x:c>
      <x:c r="AW64" s="18" t="n">
        <x:v>1</x:v>
      </x:c>
      <x:c r="AX64" s="18" t="n">
        <x:v>0</x:v>
      </x:c>
      <x:c r="AY64" s="18" t="n">
        <x:v>0</x:v>
      </x:c>
      <x:c r="AZ64" s="18" t="n">
        <x:v>0</x:v>
      </x:c>
      <x:c r="BA64" s="18" t="n">
        <x:v>0</x:v>
      </x:c>
      <x:c r="BB64" s="18" t="n">
        <x:v>1</x:v>
      </x:c>
      <x:c r="BC64" s="18" t="n">
        <x:v>0</x:v>
      </x:c>
      <x:c r="BD64" s="18" t="n">
        <x:v>1</x:v>
      </x:c>
      <x:c r="BE64" s="18" t="n">
        <x:v>0</x:v>
      </x:c>
      <x:c r="BF64" s="18" t="n">
        <x:v>12</x:v>
      </x:c>
      <x:c r="BG64" s="18" t="n">
        <x:v>0</x:v>
      </x:c>
    </x:row>
    <x:row r="65">
      <x:c r="A65" s="29" t="str">
        <x:v>135</x:v>
      </x:c>
      <x:c r="B65" s="17" t="n">
        <x:v>2940</x:v>
      </x:c>
      <x:c r="C65" s="17" t="str">
        <x:v>בי"ס יבניאלי</x:v>
      </x:c>
      <x:c r="D65" s="17" t="str">
        <x:v>יואב 5</x:v>
      </x:c>
      <x:c r="E65" s="17" t="str">
        <x:v>גבוה מאוד</x:v>
      </x:c>
      <x:c r="F65" s="18" t="n">
        <x:v>485</x:v>
      </x:c>
      <x:c r="G65" s="18" t="n">
        <x:v>203</x:v>
      </x:c>
      <x:c r="H65" s="19" t="n">
        <x:f>IFERROR(G65/F65,0)</x:f>
        <x:v>0.41855670103092785</x:v>
      </x:c>
      <x:c r="I65" s="18" t="n">
        <x:v>0</x:v>
      </x:c>
      <x:c r="J65" s="18" t="n">
        <x:v>203</x:v>
      </x:c>
      <x:c r="K65" s="18" t="n">
        <x:f>SUM(AM65,BF65,W65,AD65)</x:f>
        <x:v>74</x:v>
      </x:c>
      <x:c r="L65" s="18" t="n">
        <x:f>Q65+R65</x:f>
        <x:v>126</x:v>
      </x:c>
      <x:c r="M65" s="19" t="n">
        <x:f>IFERROR(K65/J65,0)</x:f>
        <x:v>0.3645320197044335</x:v>
      </x:c>
      <x:c r="N65" s="19" t="n">
        <x:f>IFERROR(L65/J65,0)</x:f>
        <x:v>0.6206896551724138</x:v>
      </x:c>
      <x:c r="O65" s="17" t="str">
        <x:f>IF(K65&gt;MAX(L65,S65),"קואליציית ההקמה 2022",IF(L65&gt;MAX(K65,S65),"אופוזיציה רחבה 2022","רשימות אחרות"))</x:f>
        <x:v>אופוזיציה רחבה 2022</x:v>
      </x:c>
      <x:c r="P65" s="17" t="str">
        <x:f>IF(AND(H65&lt;50%,N65&gt;50%),"כן","לא")</x:f>
        <x:v>כן</x:v>
      </x:c>
      <x:c r="Q65" s="18" t="n">
        <x:f>SUM(AV65,AJ65,AL65,T65,AN65)</x:f>
        <x:v>118</x:v>
      </x:c>
      <x:c r="R65" s="18" t="n">
        <x:f>SUM(Y65,AU65,X65)</x:f>
        <x:v>8</x:v>
      </x:c>
      <x:c r="S65" s="18" t="n">
        <x:f>J65-K65-L65</x:f>
        <x:v>3</x:v>
      </x:c>
      <x:c r="T65" s="18" t="n">
        <x:v>4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8</x:v>
      </x:c>
      <x:c r="Z65" s="18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12</x:v>
      </x:c>
      <x:c r="AE65" s="18" t="n">
        <x:v>0</x:v>
      </x:c>
      <x:c r="AF65" s="18" t="n">
        <x:v>2</x:v>
      </x:c>
      <x:c r="AG65" s="18" t="n">
        <x:v>0</x:v>
      </x:c>
      <x:c r="AH65" s="18" t="n">
        <x:v>1</x:v>
      </x:c>
      <x:c r="AI65" s="18" t="n">
        <x:v>0</x:v>
      </x:c>
      <x:c r="AJ65" s="18" t="n">
        <x:v>27</x:v>
      </x:c>
      <x:c r="AK65" s="18" t="n">
        <x:v>0</x:v>
      </x:c>
      <x:c r="AL65" s="18" t="n">
        <x:v>47</x:v>
      </x:c>
      <x:c r="AM65" s="18" t="n">
        <x:v>50</x:v>
      </x:c>
      <x:c r="AN65" s="18" t="n">
        <x:v>5</x:v>
      </x:c>
      <x:c r="AO65" s="18" t="n">
        <x:v>0</x:v>
      </x:c>
      <x:c r="AP65" s="18" t="n">
        <x:v>0</x:v>
      </x:c>
      <x:c r="AQ65" s="18" t="n">
        <x:v>0</x:v>
      </x:c>
      <x:c r="AR65" s="18" t="n">
        <x:v>0</x:v>
      </x:c>
      <x:c r="AS65" s="18" t="n">
        <x:v>0</x:v>
      </x:c>
      <x:c r="AT65" s="18" t="n">
        <x:v>0</x:v>
      </x:c>
      <x:c r="AU65" s="18" t="n">
        <x:v>0</x:v>
      </x:c>
      <x:c r="AV65" s="18" t="n">
        <x:v>35</x:v>
      </x:c>
      <x:c r="AW65" s="18" t="n">
        <x:v>0</x:v>
      </x:c>
      <x:c r="AX65" s="18" t="n">
        <x:v>0</x:v>
      </x:c>
      <x:c r="AY65" s="18" t="n">
        <x:v>0</x:v>
      </x:c>
      <x:c r="AZ65" s="18" t="n">
        <x:v>0</x:v>
      </x:c>
      <x:c r="BA65" s="18" t="n">
        <x:v>0</x:v>
      </x:c>
      <x:c r="BB65" s="18" t="n">
        <x:v>0</x:v>
      </x:c>
      <x:c r="BC65" s="18" t="n">
        <x:v>0</x:v>
      </x:c>
      <x:c r="BD65" s="18" t="n">
        <x:v>0</x:v>
      </x:c>
      <x:c r="BE65" s="18" t="n">
        <x:v>0</x:v>
      </x:c>
      <x:c r="BF65" s="18" t="n">
        <x:v>12</x:v>
      </x:c>
      <x:c r="BG65" s="18" t="n">
        <x:v>0</x:v>
      </x:c>
    </x:row>
    <x:row r="66">
      <x:c r="A66" s="29" t="str">
        <x:v>136</x:v>
      </x:c>
      <x:c r="B66" s="17" t="n">
        <x:v>2941</x:v>
      </x:c>
      <x:c r="C66" s="17" t="str">
        <x:v>בי"ס יבניאלי</x:v>
      </x:c>
      <x:c r="D66" s="17" t="str">
        <x:v>יואב 5</x:v>
      </x:c>
      <x:c r="E66" s="17" t="str">
        <x:v>גבוה מאוד</x:v>
      </x:c>
      <x:c r="F66" s="18" t="n">
        <x:v>560</x:v>
      </x:c>
      <x:c r="G66" s="18" t="n">
        <x:v>234</x:v>
      </x:c>
      <x:c r="H66" s="19" t="n">
        <x:f>IFERROR(G66/F66,0)</x:f>
        <x:v>0.41785714285714287</x:v>
      </x:c>
      <x:c r="I66" s="18" t="n">
        <x:v>5</x:v>
      </x:c>
      <x:c r="J66" s="18" t="n">
        <x:v>229</x:v>
      </x:c>
      <x:c r="K66" s="18" t="n">
        <x:f>SUM(AM66,BF66,W66,AD66)</x:f>
        <x:v>96</x:v>
      </x:c>
      <x:c r="L66" s="18" t="n">
        <x:f>Q66+R66</x:f>
        <x:v>125</x:v>
      </x:c>
      <x:c r="M66" s="19" t="n">
        <x:f>IFERROR(K66/J66,0)</x:f>
        <x:v>0.4192139737991266</x:v>
      </x:c>
      <x:c r="N66" s="19" t="n">
        <x:f>IFERROR(L66/J66,0)</x:f>
        <x:v>0.5458515283842795</x:v>
      </x:c>
      <x:c r="O66" s="17" t="str">
        <x:f>IF(K66&gt;MAX(L66,S66),"קואליציית ההקמה 2022",IF(L66&gt;MAX(K66,S66),"אופוזיציה רחבה 2022","רשימות אחרות"))</x:f>
        <x:v>אופוזיציה רחבה 2022</x:v>
      </x:c>
      <x:c r="P66" s="17" t="str">
        <x:f>IF(AND(H66&lt;50%,N66&gt;50%),"כן","לא")</x:f>
        <x:v>כן</x:v>
      </x:c>
      <x:c r="Q66" s="18" t="n">
        <x:f>SUM(AV66,AJ66,AL66,T66,AN66)</x:f>
        <x:v>119</x:v>
      </x:c>
      <x:c r="R66" s="18" t="n">
        <x:f>SUM(Y66,AU66,X66)</x:f>
        <x:v>6</x:v>
      </x:c>
      <x:c r="S66" s="18" t="n">
        <x:f>J66-K66-L66</x:f>
        <x:v>8</x:v>
      </x:c>
      <x:c r="T66" s="18" t="n">
        <x:v>11</x:v>
      </x:c>
      <x:c r="U66" s="18" t="n">
        <x:v>1</x:v>
      </x:c>
      <x:c r="V66" s="18" t="n">
        <x:v>1</x:v>
      </x:c>
      <x:c r="W66" s="18" t="n">
        <x:v>0</x:v>
      </x:c>
      <x:c r="X66" s="18" t="n">
        <x:v>1</x:v>
      </x:c>
      <x:c r="Y66" s="18" t="n">
        <x:v>5</x:v>
      </x:c>
      <x:c r="Z66" s="18" t="n">
        <x:v>0</x:v>
      </x:c>
      <x:c r="AA66" s="18" t="n">
        <x:v>1</x:v>
      </x:c>
      <x:c r="AB66" s="18" t="n">
        <x:v>0</x:v>
      </x:c>
      <x:c r="AC66" s="18" t="n">
        <x:v>0</x:v>
      </x:c>
      <x:c r="AD66" s="18" t="n">
        <x:v>15</x:v>
      </x:c>
      <x:c r="AE66" s="18" t="n">
        <x:v>0</x:v>
      </x:c>
      <x:c r="AF66" s="18" t="n">
        <x:v>1</x:v>
      </x:c>
      <x:c r="AG66" s="18" t="n">
        <x:v>0</x:v>
      </x:c>
      <x:c r="AH66" s="18" t="n">
        <x:v>0</x:v>
      </x:c>
      <x:c r="AI66" s="18" t="n">
        <x:v>0</x:v>
      </x:c>
      <x:c r="AJ66" s="18" t="n">
        <x:v>16</x:v>
      </x:c>
      <x:c r="AK66" s="18" t="n">
        <x:v>1</x:v>
      </x:c>
      <x:c r="AL66" s="18" t="n">
        <x:v>57</x:v>
      </x:c>
      <x:c r="AM66" s="18" t="n">
        <x:v>68</x:v>
      </x:c>
      <x:c r="AN66" s="18" t="n">
        <x:v>4</x:v>
      </x:c>
      <x:c r="AO66" s="18" t="n">
        <x:v>0</x:v>
      </x:c>
      <x:c r="AP66" s="18" t="n">
        <x:v>0</x:v>
      </x:c>
      <x:c r="AQ66" s="18" t="n">
        <x:v>1</x:v>
      </x:c>
      <x:c r="AR66" s="18" t="n">
        <x:v>0</x:v>
      </x:c>
      <x:c r="AS66" s="18" t="n">
        <x:v>0</x:v>
      </x:c>
      <x:c r="AT66" s="18" t="n">
        <x:v>0</x:v>
      </x:c>
      <x:c r="AU66" s="18" t="n">
        <x:v>0</x:v>
      </x:c>
      <x:c r="AV66" s="18" t="n">
        <x:v>31</x:v>
      </x:c>
      <x:c r="AW66" s="18" t="n">
        <x:v>0</x:v>
      </x:c>
      <x:c r="AX66" s="18" t="n">
        <x:v>1</x:v>
      </x:c>
      <x:c r="AY66" s="18" t="n">
        <x:v>0</x:v>
      </x:c>
      <x:c r="AZ66" s="18" t="n">
        <x:v>1</x:v>
      </x:c>
      <x:c r="BA66" s="18" t="n">
        <x:v>0</x:v>
      </x:c>
      <x:c r="BB66" s="18" t="n">
        <x:v>0</x:v>
      </x:c>
      <x:c r="BC66" s="18" t="n">
        <x:v>0</x:v>
      </x:c>
      <x:c r="BD66" s="18" t="n">
        <x:v>0</x:v>
      </x:c>
      <x:c r="BE66" s="18" t="n">
        <x:v>0</x:v>
      </x:c>
      <x:c r="BF66" s="18" t="n">
        <x:v>13</x:v>
      </x:c>
      <x:c r="BG66" s="18" t="n">
        <x:v>0</x:v>
      </x:c>
    </x:row>
    <x:row r="67">
      <x:c r="A67" s="29" t="str">
        <x:v>138</x:v>
      </x:c>
      <x:c r="B67" s="17" t="n">
        <x:v>2942</x:v>
      </x:c>
      <x:c r="C67" s="17" t="str">
        <x:v>בי"ס חטיבת בינים רעות</x:v>
      </x:c>
      <x:c r="D67" s="17" t="str">
        <x:v>נח"ל 2</x:v>
      </x:c>
      <x:c r="E67" s="17" t="str">
        <x:v>גבוה מאוד</x:v>
      </x:c>
      <x:c r="F67" s="18" t="n">
        <x:v>436</x:v>
      </x:c>
      <x:c r="G67" s="18" t="n">
        <x:v>186</x:v>
      </x:c>
      <x:c r="H67" s="19" t="n">
        <x:f>IFERROR(G67/F67,0)</x:f>
        <x:v>0.42660550458715596</x:v>
      </x:c>
      <x:c r="I67" s="18" t="n">
        <x:v>6</x:v>
      </x:c>
      <x:c r="J67" s="18" t="n">
        <x:v>180</x:v>
      </x:c>
      <x:c r="K67" s="18" t="n">
        <x:f>SUM(AM67,BF67,W67,AD67)</x:f>
        <x:v>65</x:v>
      </x:c>
      <x:c r="L67" s="18" t="n">
        <x:f>Q67+R67</x:f>
        <x:v>113</x:v>
      </x:c>
      <x:c r="M67" s="19" t="n">
        <x:f>IFERROR(K67/J67,0)</x:f>
        <x:v>0.3611111111111111</x:v>
      </x:c>
      <x:c r="N67" s="19" t="n">
        <x:f>IFERROR(L67/J67,0)</x:f>
        <x:v>0.6277777777777778</x:v>
      </x:c>
      <x:c r="O67" s="17" t="str">
        <x:f>IF(K67&gt;MAX(L67,S67),"קואליציית ההקמה 2022",IF(L67&gt;MAX(K67,S67),"אופוזיציה רחבה 2022","רשימות אחרות"))</x:f>
        <x:v>אופוזיציה רחבה 2022</x:v>
      </x:c>
      <x:c r="P67" s="17" t="str">
        <x:f>IF(AND(H67&lt;50%,N67&gt;50%),"כן","לא")</x:f>
        <x:v>כן</x:v>
      </x:c>
      <x:c r="Q67" s="18" t="n">
        <x:f>SUM(AV67,AJ67,AL67,T67,AN67)</x:f>
        <x:v>110</x:v>
      </x:c>
      <x:c r="R67" s="18" t="n">
        <x:f>SUM(Y67,AU67,X67)</x:f>
        <x:v>3</x:v>
      </x:c>
      <x:c r="S67" s="18" t="n">
        <x:f>J67-K67-L67</x:f>
        <x:v>2</x:v>
      </x:c>
      <x:c r="T67" s="18" t="n">
        <x:v>2</x:v>
      </x:c>
      <x:c r="U67" s="18" t="n">
        <x:v>0</x:v>
      </x:c>
      <x:c r="V67" s="18" t="n">
        <x:v>0</x:v>
      </x:c>
      <x:c r="W67" s="18" t="n">
        <x:v>0</x:v>
      </x:c>
      <x:c r="X67" s="18" t="n">
        <x:v>0</x:v>
      </x:c>
      <x:c r="Y67" s="18" t="n">
        <x:v>2</x:v>
      </x:c>
      <x:c r="Z67" s="18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7</x:v>
      </x:c>
      <x:c r="AE67" s="18" t="n">
        <x:v>0</x:v>
      </x:c>
      <x:c r="AF67" s="18" t="n">
        <x:v>1</x:v>
      </x:c>
      <x:c r="AG67" s="18" t="n">
        <x:v>0</x:v>
      </x:c>
      <x:c r="AH67" s="18" t="n">
        <x:v>0</x:v>
      </x:c>
      <x:c r="AI67" s="18" t="n">
        <x:v>0</x:v>
      </x:c>
      <x:c r="AJ67" s="18" t="n">
        <x:v>8</x:v>
      </x:c>
      <x:c r="AK67" s="18" t="n">
        <x:v>0</x:v>
      </x:c>
      <x:c r="AL67" s="18" t="n">
        <x:v>50</x:v>
      </x:c>
      <x:c r="AM67" s="18" t="n">
        <x:v>51</x:v>
      </x:c>
      <x:c r="AN67" s="18" t="n">
        <x:v>4</x:v>
      </x:c>
      <x:c r="AO67" s="18" t="n">
        <x:v>0</x:v>
      </x:c>
      <x:c r="AP67" s="18" t="n">
        <x:v>0</x:v>
      </x:c>
      <x:c r="AQ67" s="18" t="n">
        <x:v>0</x:v>
      </x:c>
      <x:c r="AR67" s="18" t="n">
        <x:v>0</x:v>
      </x:c>
      <x:c r="AS67" s="18" t="n">
        <x:v>0</x:v>
      </x:c>
      <x:c r="AT67" s="18" t="n">
        <x:v>0</x:v>
      </x:c>
      <x:c r="AU67" s="18" t="n">
        <x:v>1</x:v>
      </x:c>
      <x:c r="AV67" s="18" t="n">
        <x:v>46</x:v>
      </x:c>
      <x:c r="AW67" s="18" t="n">
        <x:v>0</x:v>
      </x:c>
      <x:c r="AX67" s="18" t="n">
        <x:v>0</x:v>
      </x:c>
      <x:c r="AY67" s="18" t="n">
        <x:v>0</x:v>
      </x:c>
      <x:c r="AZ67" s="18" t="n">
        <x:v>0</x:v>
      </x:c>
      <x:c r="BA67" s="18" t="n">
        <x:v>0</x:v>
      </x:c>
      <x:c r="BB67" s="18" t="n">
        <x:v>0</x:v>
      </x:c>
      <x:c r="BC67" s="18" t="n">
        <x:v>0</x:v>
      </x:c>
      <x:c r="BD67" s="18" t="n">
        <x:v>1</x:v>
      </x:c>
      <x:c r="BE67" s="18" t="n">
        <x:v>0</x:v>
      </x:c>
      <x:c r="BF67" s="18" t="n">
        <x:v>7</x:v>
      </x:c>
      <x:c r="BG67" s="18" t="n">
        <x:v>0</x:v>
      </x:c>
    </x:row>
    <x:row r="68">
      <x:c r="A68" s="29" t="str">
        <x:v>140</x:v>
      </x:c>
      <x:c r="B68" s="17" t="n">
        <x:v>2980</x:v>
      </x:c>
      <x:c r="C68" s="17" t="str">
        <x:v>גן ילדים שחר</x:v>
      </x:c>
      <x:c r="D68" s="17" t="str">
        <x:v>העוגן 39</x:v>
      </x:c>
      <x:c r="E68" s="17" t="str">
        <x:v>גבוה מאוד</x:v>
      </x:c>
      <x:c r="F68" s="18" t="n">
        <x:v>531</x:v>
      </x:c>
      <x:c r="G68" s="18" t="n">
        <x:v>312</x:v>
      </x:c>
      <x:c r="H68" s="19" t="n">
        <x:f>IFERROR(G68/F68,0)</x:f>
        <x:v>0.5875706214689266</x:v>
      </x:c>
      <x:c r="I68" s="18" t="n">
        <x:v>3</x:v>
      </x:c>
      <x:c r="J68" s="18" t="n">
        <x:v>309</x:v>
      </x:c>
      <x:c r="K68" s="18" t="n">
        <x:f>SUM(AM68,BF68,W68,AD68)</x:f>
        <x:v>41</x:v>
      </x:c>
      <x:c r="L68" s="18" t="n">
        <x:f>Q68+R68</x:f>
        <x:v>267</x:v>
      </x:c>
      <x:c r="M68" s="19" t="n">
        <x:f>IFERROR(K68/J68,0)</x:f>
        <x:v>0.13268608414239483</x:v>
      </x:c>
      <x:c r="N68" s="19" t="n">
        <x:f>IFERROR(L68/J68,0)</x:f>
        <x:v>0.8640776699029126</x:v>
      </x:c>
      <x:c r="O68" s="17" t="str">
        <x:f>IF(K68&gt;MAX(L68,S68),"קואליציית ההקמה 2022",IF(L68&gt;MAX(K68,S68),"אופוזיציה רחבה 2022","רשימות אחרות"))</x:f>
        <x:v>אופוזיציה רחבה 2022</x:v>
      </x:c>
      <x:c r="P68" s="17" t="str">
        <x:f>IF(AND(H68&lt;50%,N68&gt;50%),"כן","לא")</x:f>
        <x:v>לא</x:v>
      </x:c>
      <x:c r="Q68" s="18" t="n">
        <x:f>SUM(AV68,AJ68,AL68,T68,AN68)</x:f>
        <x:v>68</x:v>
      </x:c>
      <x:c r="R68" s="18" t="n">
        <x:f>SUM(Y68,AU68,X68)</x:f>
        <x:v>199</x:v>
      </x:c>
      <x:c r="S68" s="18" t="n">
        <x:f>J68-K68-L68</x:f>
        <x:v>1</x:v>
      </x:c>
      <x:c r="T68" s="18" t="n">
        <x:v>13</x:v>
      </x:c>
      <x:c r="U68" s="18" t="n">
        <x:v>0</x:v>
      </x:c>
      <x:c r="V68" s="18" t="n">
        <x:v>0</x:v>
      </x:c>
      <x:c r="W68" s="18" t="n">
        <x:v>0</x:v>
      </x:c>
      <x:c r="X68" s="18" t="n">
        <x:v>58</x:v>
      </x:c>
      <x:c r="Y68" s="18" t="n">
        <x:v>129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4</x:v>
      </x:c>
      <x:c r="AE68" s="18" t="n">
        <x:v>0</x:v>
      </x:c>
      <x:c r="AF68" s="18" t="n">
        <x:v>0</x:v>
      </x:c>
      <x:c r="AG68" s="18" t="n">
        <x:v>0</x:v>
      </x:c>
      <x:c r="AH68" s="18" t="n">
        <x:v>0</x:v>
      </x:c>
      <x:c r="AI68" s="18" t="n">
        <x:v>0</x:v>
      </x:c>
      <x:c r="AJ68" s="18" t="n">
        <x:v>6</x:v>
      </x:c>
      <x:c r="AK68" s="18" t="n">
        <x:v>1</x:v>
      </x:c>
      <x:c r="AL68" s="18" t="n">
        <x:v>2</x:v>
      </x:c>
      <x:c r="AM68" s="18" t="n">
        <x:v>21</x:v>
      </x:c>
      <x:c r="AN68" s="18" t="n">
        <x:v>25</x:v>
      </x:c>
      <x:c r="AO68" s="18" t="n">
        <x:v>0</x:v>
      </x:c>
      <x:c r="AP68" s="18" t="n">
        <x:v>0</x:v>
      </x:c>
      <x:c r="AQ68" s="18" t="n">
        <x:v>0</x:v>
      </x:c>
      <x:c r="AR68" s="18" t="n">
        <x:v>0</x:v>
      </x:c>
      <x:c r="AS68" s="18" t="n">
        <x:v>0</x:v>
      </x:c>
      <x:c r="AT68" s="18" t="n">
        <x:v>0</x:v>
      </x:c>
      <x:c r="AU68" s="18" t="n">
        <x:v>12</x:v>
      </x:c>
      <x:c r="AV68" s="18" t="n">
        <x:v>22</x:v>
      </x:c>
      <x:c r="AW68" s="18" t="n">
        <x:v>0</x:v>
      </x:c>
      <x:c r="AX68" s="18" t="n">
        <x:v>0</x:v>
      </x:c>
      <x:c r="AY68" s="18" t="n">
        <x:v>0</x:v>
      </x:c>
      <x:c r="AZ68" s="18" t="n">
        <x:v>0</x:v>
      </x:c>
      <x:c r="BA68" s="18" t="n">
        <x:v>0</x:v>
      </x:c>
      <x:c r="BB68" s="18" t="n">
        <x:v>0</x:v>
      </x:c>
      <x:c r="BC68" s="18" t="n">
        <x:v>0</x:v>
      </x:c>
      <x:c r="BD68" s="18" t="n">
        <x:v>0</x:v>
      </x:c>
      <x:c r="BE68" s="18" t="n">
        <x:v>0</x:v>
      </x:c>
      <x:c r="BF68" s="18" t="n">
        <x:v>16</x:v>
      </x:c>
      <x:c r="BG68" s="18" t="n">
        <x:v>0</x:v>
      </x:c>
    </x:row>
    <x:row r="69">
      <x:c r="A69" s="29" t="str">
        <x:v>141</x:v>
      </x:c>
      <x:c r="B69" s="17" t="n">
        <x:v>2943</x:v>
      </x:c>
      <x:c r="C69" s="17" t="str">
        <x:v>מרכז קהילתי בת גלים</x:v>
      </x:c>
      <x:c r="D69" s="17" t="str">
        <x:v>העליה השניה 45</x:v>
      </x:c>
      <x:c r="E69" s="17" t="str">
        <x:v>גבוה מאוד</x:v>
      </x:c>
      <x:c r="F69" s="18" t="n">
        <x:v>691</x:v>
      </x:c>
      <x:c r="G69" s="18" t="n">
        <x:v>285</x:v>
      </x:c>
      <x:c r="H69" s="19" t="n">
        <x:f>IFERROR(G69/F69,0)</x:f>
        <x:v>0.41244573082489144</x:v>
      </x:c>
      <x:c r="I69" s="18" t="n">
        <x:v>2</x:v>
      </x:c>
      <x:c r="J69" s="18" t="n">
        <x:v>283</x:v>
      </x:c>
      <x:c r="K69" s="18" t="n">
        <x:f>SUM(AM69,BF69,W69,AD69)</x:f>
        <x:v>100</x:v>
      </x:c>
      <x:c r="L69" s="18" t="n">
        <x:f>Q69+R69</x:f>
        <x:v>177</x:v>
      </x:c>
      <x:c r="M69" s="19" t="n">
        <x:f>IFERROR(K69/J69,0)</x:f>
        <x:v>0.35335689045936397</x:v>
      </x:c>
      <x:c r="N69" s="19" t="n">
        <x:f>IFERROR(L69/J69,0)</x:f>
        <x:v>0.6254416961130742</x:v>
      </x:c>
      <x:c r="O69" s="17" t="str">
        <x:f>IF(K69&gt;MAX(L69,S69),"קואליציית ההקמה 2022",IF(L69&gt;MAX(K69,S69),"אופוזיציה רחבה 2022","רשימות אחרות"))</x:f>
        <x:v>אופוזיציה רחבה 2022</x:v>
      </x:c>
      <x:c r="P69" s="17" t="str">
        <x:f>IF(AND(H69&lt;50%,N69&gt;50%),"כן","לא")</x:f>
        <x:v>כן</x:v>
      </x:c>
      <x:c r="Q69" s="18" t="n">
        <x:f>SUM(AV69,AJ69,AL69,T69,AN69)</x:f>
        <x:v>172</x:v>
      </x:c>
      <x:c r="R69" s="18" t="n">
        <x:f>SUM(Y69,AU69,X69)</x:f>
        <x:v>5</x:v>
      </x:c>
      <x:c r="S69" s="18" t="n">
        <x:f>J69-K69-L69</x:f>
        <x:v>6</x:v>
      </x:c>
      <x:c r="T69" s="18" t="n">
        <x:v>27</x:v>
      </x:c>
      <x:c r="U69" s="18" t="n">
        <x:v>0</x:v>
      </x:c>
      <x:c r="V69" s="18" t="n">
        <x:v>0</x:v>
      </x:c>
      <x:c r="W69" s="18" t="n">
        <x:v>2</x:v>
      </x:c>
      <x:c r="X69" s="18" t="n">
        <x:v>2</x:v>
      </x:c>
      <x:c r="Y69" s="18" t="n">
        <x:v>2</x:v>
      </x:c>
      <x:c r="Z69" s="18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14</x:v>
      </x:c>
      <x:c r="AE69" s="18" t="n">
        <x:v>0</x:v>
      </x:c>
      <x:c r="AF69" s="18" t="n">
        <x:v>1</x:v>
      </x:c>
      <x:c r="AG69" s="18" t="n">
        <x:v>0</x:v>
      </x:c>
      <x:c r="AH69" s="18" t="n">
        <x:v>0</x:v>
      </x:c>
      <x:c r="AI69" s="18" t="n">
        <x:v>0</x:v>
      </x:c>
      <x:c r="AJ69" s="18" t="n">
        <x:v>26</x:v>
      </x:c>
      <x:c r="AK69" s="18" t="n">
        <x:v>0</x:v>
      </x:c>
      <x:c r="AL69" s="18" t="n">
        <x:v>43</x:v>
      </x:c>
      <x:c r="AM69" s="18" t="n">
        <x:v>77</x:v>
      </x:c>
      <x:c r="AN69" s="18" t="n">
        <x:v>20</x:v>
      </x:c>
      <x:c r="AO69" s="18" t="n">
        <x:v>0</x:v>
      </x:c>
      <x:c r="AP69" s="18" t="n">
        <x:v>0</x:v>
      </x:c>
      <x:c r="AQ69" s="18" t="n">
        <x:v>0</x:v>
      </x:c>
      <x:c r="AR69" s="18" t="n">
        <x:v>0</x:v>
      </x:c>
      <x:c r="AS69" s="18" t="n">
        <x:v>0</x:v>
      </x:c>
      <x:c r="AT69" s="18" t="n">
        <x:v>0</x:v>
      </x:c>
      <x:c r="AU69" s="18" t="n">
        <x:v>1</x:v>
      </x:c>
      <x:c r="AV69" s="18" t="n">
        <x:v>56</x:v>
      </x:c>
      <x:c r="AW69" s="18" t="n">
        <x:v>0</x:v>
      </x:c>
      <x:c r="AX69" s="18" t="n">
        <x:v>0</x:v>
      </x:c>
      <x:c r="AY69" s="18" t="n">
        <x:v>1</x:v>
      </x:c>
      <x:c r="AZ69" s="18" t="n">
        <x:v>0</x:v>
      </x:c>
      <x:c r="BA69" s="18" t="n">
        <x:v>1</x:v>
      </x:c>
      <x:c r="BB69" s="18" t="n">
        <x:v>0</x:v>
      </x:c>
      <x:c r="BC69" s="18" t="n">
        <x:v>0</x:v>
      </x:c>
      <x:c r="BD69" s="18" t="n">
        <x:v>3</x:v>
      </x:c>
      <x:c r="BE69" s="18" t="n">
        <x:v>0</x:v>
      </x:c>
      <x:c r="BF69" s="18" t="n">
        <x:v>7</x:v>
      </x:c>
      <x:c r="BG69" s="18" t="n">
        <x:v>0</x:v>
      </x:c>
    </x:row>
    <x:row r="70">
      <x:c r="A70" s="29" t="str">
        <x:v>143</x:v>
      </x:c>
      <x:c r="B70" s="17" t="n">
        <x:v>2944</x:v>
      </x:c>
      <x:c r="C70" s="17" t="str">
        <x:v>מרכז קהילתי בת גלים</x:v>
      </x:c>
      <x:c r="D70" s="17" t="str">
        <x:v>העליה השניה 45</x:v>
      </x:c>
      <x:c r="E70" s="17" t="str">
        <x:v>גבוה מאוד</x:v>
      </x:c>
      <x:c r="F70" s="18" t="n">
        <x:v>595</x:v>
      </x:c>
      <x:c r="G70" s="18" t="n">
        <x:v>305</x:v>
      </x:c>
      <x:c r="H70" s="19" t="n">
        <x:f>IFERROR(G70/F70,0)</x:f>
        <x:v>0.5126050420168067</x:v>
      </x:c>
      <x:c r="I70" s="18" t="n">
        <x:v>2</x:v>
      </x:c>
      <x:c r="J70" s="18" t="n">
        <x:v>303</x:v>
      </x:c>
      <x:c r="K70" s="18" t="n">
        <x:f>SUM(AM70,BF70,W70,AD70)</x:f>
        <x:v>63</x:v>
      </x:c>
      <x:c r="L70" s="18" t="n">
        <x:f>Q70+R70</x:f>
        <x:v>232</x:v>
      </x:c>
      <x:c r="M70" s="19" t="n">
        <x:f>IFERROR(K70/J70,0)</x:f>
        <x:v>0.2079207920792079</x:v>
      </x:c>
      <x:c r="N70" s="19" t="n">
        <x:f>IFERROR(L70/J70,0)</x:f>
        <x:v>0.7656765676567657</x:v>
      </x:c>
      <x:c r="O70" s="17" t="str">
        <x:f>IF(K70&gt;MAX(L70,S70),"קואליציית ההקמה 2022",IF(L70&gt;MAX(K70,S70),"אופוזיציה רחבה 2022","רשימות אחרות"))</x:f>
        <x:v>אופוזיציה רחבה 2022</x:v>
      </x:c>
      <x:c r="P70" s="17" t="str">
        <x:f>IF(AND(H70&lt;50%,N70&gt;50%),"כן","לא")</x:f>
        <x:v>לא</x:v>
      </x:c>
      <x:c r="Q70" s="18" t="n">
        <x:f>SUM(AV70,AJ70,AL70,T70,AN70)</x:f>
        <x:v>227</x:v>
      </x:c>
      <x:c r="R70" s="18" t="n">
        <x:f>SUM(Y70,AU70,X70)</x:f>
        <x:v>5</x:v>
      </x:c>
      <x:c r="S70" s="18" t="n">
        <x:f>J70-K70-L70</x:f>
        <x:v>8</x:v>
      </x:c>
      <x:c r="T70" s="18" t="n">
        <x:v>43</x:v>
      </x:c>
      <x:c r="U70" s="18" t="n">
        <x:v>1</x:v>
      </x:c>
      <x:c r="V70" s="18" t="n">
        <x:v>2</x:v>
      </x:c>
      <x:c r="W70" s="18" t="n">
        <x:v>0</x:v>
      </x:c>
      <x:c r="X70" s="18" t="n">
        <x:v>2</x:v>
      </x:c>
      <x:c r="Y70" s="18" t="n">
        <x:v>3</x:v>
      </x:c>
      <x:c r="Z70" s="18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11</x:v>
      </x:c>
      <x:c r="AE70" s="18" t="n">
        <x:v>0</x:v>
      </x:c>
      <x:c r="AF70" s="18" t="n">
        <x:v>0</x:v>
      </x:c>
      <x:c r="AG70" s="18" t="n">
        <x:v>0</x:v>
      </x:c>
      <x:c r="AH70" s="18" t="n">
        <x:v>0</x:v>
      </x:c>
      <x:c r="AI70" s="18" t="n">
        <x:v>0</x:v>
      </x:c>
      <x:c r="AJ70" s="18" t="n">
        <x:v>19</x:v>
      </x:c>
      <x:c r="AK70" s="18" t="n">
        <x:v>0</x:v>
      </x:c>
      <x:c r="AL70" s="18" t="n">
        <x:v>30</x:v>
      </x:c>
      <x:c r="AM70" s="18" t="n">
        <x:v>51</x:v>
      </x:c>
      <x:c r="AN70" s="18" t="n">
        <x:v>33</x:v>
      </x:c>
      <x:c r="AO70" s="18" t="n">
        <x:v>0</x:v>
      </x:c>
      <x:c r="AP70" s="18" t="n">
        <x:v>0</x:v>
      </x:c>
      <x:c r="AQ70" s="18" t="n">
        <x:v>0</x:v>
      </x:c>
      <x:c r="AR70" s="18" t="n">
        <x:v>0</x:v>
      </x:c>
      <x:c r="AS70" s="18" t="n">
        <x:v>0</x:v>
      </x:c>
      <x:c r="AT70" s="18" t="n">
        <x:v>0</x:v>
      </x:c>
      <x:c r="AU70" s="18" t="n">
        <x:v>0</x:v>
      </x:c>
      <x:c r="AV70" s="18" t="n">
        <x:v>102</x:v>
      </x:c>
      <x:c r="AW70" s="18" t="n">
        <x:v>1</x:v>
      </x:c>
      <x:c r="AX70" s="18" t="n">
        <x:v>0</x:v>
      </x:c>
      <x:c r="AY70" s="18" t="n">
        <x:v>0</x:v>
      </x:c>
      <x:c r="AZ70" s="18" t="n">
        <x:v>0</x:v>
      </x:c>
      <x:c r="BA70" s="18" t="n">
        <x:v>0</x:v>
      </x:c>
      <x:c r="BB70" s="18" t="n">
        <x:v>0</x:v>
      </x:c>
      <x:c r="BC70" s="18" t="n">
        <x:v>0</x:v>
      </x:c>
      <x:c r="BD70" s="18" t="n">
        <x:v>3</x:v>
      </x:c>
      <x:c r="BE70" s="18" t="n">
        <x:v>1</x:v>
      </x:c>
      <x:c r="BF70" s="18" t="n">
        <x:v>1</x:v>
      </x:c>
      <x:c r="BG70" s="18" t="n">
        <x:v>0</x:v>
      </x:c>
    </x:row>
    <x:row r="71">
      <x:c r="A71" s="29" t="str">
        <x:v>146</x:v>
      </x:c>
      <x:c r="B71" s="17" t="n">
        <x:v>2945</x:v>
      </x:c>
      <x:c r="C71" s="17" t="str">
        <x:v>מרכז קהילתי בת גלים</x:v>
      </x:c>
      <x:c r="D71" s="17" t="str">
        <x:v>העליה השניה 45</x:v>
      </x:c>
      <x:c r="E71" s="17" t="str">
        <x:v>גבוה מאוד</x:v>
      </x:c>
      <x:c r="F71" s="18" t="n">
        <x:v>645</x:v>
      </x:c>
      <x:c r="G71" s="18" t="n">
        <x:v>226</x:v>
      </x:c>
      <x:c r="H71" s="19" t="n">
        <x:f>IFERROR(G71/F71,0)</x:f>
        <x:v>0.35038759689922483</x:v>
      </x:c>
      <x:c r="I71" s="18" t="n">
        <x:v>1</x:v>
      </x:c>
      <x:c r="J71" s="18" t="n">
        <x:v>225</x:v>
      </x:c>
      <x:c r="K71" s="18" t="n">
        <x:f>SUM(AM71,BF71,W71,AD71)</x:f>
        <x:v>57</x:v>
      </x:c>
      <x:c r="L71" s="18" t="n">
        <x:f>Q71+R71</x:f>
        <x:v>161</x:v>
      </x:c>
      <x:c r="M71" s="19" t="n">
        <x:f>IFERROR(K71/J71,0)</x:f>
        <x:v>0.25333333333333335</x:v>
      </x:c>
      <x:c r="N71" s="19" t="n">
        <x:f>IFERROR(L71/J71,0)</x:f>
        <x:v>0.7155555555555555</x:v>
      </x:c>
      <x:c r="O71" s="17" t="str">
        <x:f>IF(K71&gt;MAX(L71,S71),"קואליציית ההקמה 2022",IF(L71&gt;MAX(K71,S71),"אופוזיציה רחבה 2022","רשימות אחרות"))</x:f>
        <x:v>אופוזיציה רחבה 2022</x:v>
      </x:c>
      <x:c r="P71" s="17" t="str">
        <x:f>IF(AND(H71&lt;50%,N71&gt;50%),"כן","לא")</x:f>
        <x:v>כן</x:v>
      </x:c>
      <x:c r="Q71" s="18" t="n">
        <x:f>SUM(AV71,AJ71,AL71,T71,AN71)</x:f>
        <x:v>136</x:v>
      </x:c>
      <x:c r="R71" s="18" t="n">
        <x:f>SUM(Y71,AU71,X71)</x:f>
        <x:v>25</x:v>
      </x:c>
      <x:c r="S71" s="18" t="n">
        <x:f>J71-K71-L71</x:f>
        <x:v>7</x:v>
      </x:c>
      <x:c r="T71" s="18" t="n">
        <x:v>20</x:v>
      </x:c>
      <x:c r="U71" s="18" t="n">
        <x:v>0</x:v>
      </x:c>
      <x:c r="V71" s="18" t="n">
        <x:v>2</x:v>
      </x:c>
      <x:c r="W71" s="18" t="n">
        <x:v>1</x:v>
      </x:c>
      <x:c r="X71" s="18" t="n">
        <x:v>11</x:v>
      </x:c>
      <x:c r="Y71" s="18" t="n">
        <x:v>10</x:v>
      </x:c>
      <x:c r="Z71" s="18" t="n">
        <x:v>0</x:v>
      </x:c>
      <x:c r="AA71" s="18" t="n">
        <x:v>0</x:v>
      </x:c>
      <x:c r="AB71" s="18" t="n">
        <x:v>0</x:v>
      </x:c>
      <x:c r="AC71" s="18" t="n">
        <x:v>0</x:v>
      </x:c>
      <x:c r="AD71" s="18" t="n">
        <x:v>7</x:v>
      </x:c>
      <x:c r="AE71" s="18" t="n">
        <x:v>0</x:v>
      </x:c>
      <x:c r="AF71" s="18" t="n">
        <x:v>0</x:v>
      </x:c>
      <x:c r="AG71" s="18" t="n">
        <x:v>0</x:v>
      </x:c>
      <x:c r="AH71" s="18" t="n">
        <x:v>0</x:v>
      </x:c>
      <x:c r="AI71" s="18" t="n">
        <x:v>0</x:v>
      </x:c>
      <x:c r="AJ71" s="18" t="n">
        <x:v>24</x:v>
      </x:c>
      <x:c r="AK71" s="18" t="n">
        <x:v>0</x:v>
      </x:c>
      <x:c r="AL71" s="18" t="n">
        <x:v>14</x:v>
      </x:c>
      <x:c r="AM71" s="18" t="n">
        <x:v>44</x:v>
      </x:c>
      <x:c r="AN71" s="18" t="n">
        <x:v>10</x:v>
      </x:c>
      <x:c r="AO71" s="18" t="n">
        <x:v>0</x:v>
      </x:c>
      <x:c r="AP71" s="18" t="n">
        <x:v>0</x:v>
      </x:c>
      <x:c r="AQ71" s="18" t="n">
        <x:v>0</x:v>
      </x:c>
      <x:c r="AR71" s="18" t="n">
        <x:v>0</x:v>
      </x:c>
      <x:c r="AS71" s="18" t="n">
        <x:v>0</x:v>
      </x:c>
      <x:c r="AT71" s="18" t="n">
        <x:v>0</x:v>
      </x:c>
      <x:c r="AU71" s="18" t="n">
        <x:v>4</x:v>
      </x:c>
      <x:c r="AV71" s="18" t="n">
        <x:v>68</x:v>
      </x:c>
      <x:c r="AW71" s="18" t="n">
        <x:v>0</x:v>
      </x:c>
      <x:c r="AX71" s="18" t="n">
        <x:v>0</x:v>
      </x:c>
      <x:c r="AY71" s="18" t="n">
        <x:v>0</x:v>
      </x:c>
      <x:c r="AZ71" s="18" t="n">
        <x:v>0</x:v>
      </x:c>
      <x:c r="BA71" s="18" t="n">
        <x:v>1</x:v>
      </x:c>
      <x:c r="BB71" s="18" t="n">
        <x:v>0</x:v>
      </x:c>
      <x:c r="BC71" s="18" t="n">
        <x:v>0</x:v>
      </x:c>
      <x:c r="BD71" s="18" t="n">
        <x:v>4</x:v>
      </x:c>
      <x:c r="BE71" s="18" t="n">
        <x:v>0</x:v>
      </x:c>
      <x:c r="BF71" s="18" t="n">
        <x:v>5</x:v>
      </x:c>
      <x:c r="BG71" s="18" t="n">
        <x:v>0</x:v>
      </x:c>
    </x:row>
    <x:row r="72">
      <x:c r="A72" s="29" t="str">
        <x:v>147</x:v>
      </x:c>
      <x:c r="B72" s="17" t="n">
        <x:v>2981</x:v>
      </x:c>
      <x:c r="C72" s="17" t="str">
        <x:v>גן ילדים עין הים - אורות</x:v>
      </x:c>
      <x:c r="D72" s="17" t="str">
        <x:v>יציאת אירופה 19</x:v>
      </x:c>
      <x:c r="E72" s="17" t="str">
        <x:v>גבוה מאוד</x:v>
      </x:c>
      <x:c r="F72" s="18" t="n">
        <x:v>554</x:v>
      </x:c>
      <x:c r="G72" s="18" t="n">
        <x:v>281</x:v>
      </x:c>
      <x:c r="H72" s="19" t="n">
        <x:f>IFERROR(G72/F72,0)</x:f>
        <x:v>0.5072202166064982</x:v>
      </x:c>
      <x:c r="I72" s="18" t="n">
        <x:v>0</x:v>
      </x:c>
      <x:c r="J72" s="18" t="n">
        <x:v>281</x:v>
      </x:c>
      <x:c r="K72" s="18" t="n">
        <x:f>SUM(AM72,BF72,W72,AD72)</x:f>
        <x:v>93</x:v>
      </x:c>
      <x:c r="L72" s="18" t="n">
        <x:f>Q72+R72</x:f>
        <x:v>184</x:v>
      </x:c>
      <x:c r="M72" s="19" t="n">
        <x:f>IFERROR(K72/J72,0)</x:f>
        <x:v>0.3309608540925267</x:v>
      </x:c>
      <x:c r="N72" s="19" t="n">
        <x:f>IFERROR(L72/J72,0)</x:f>
        <x:v>0.6548042704626335</x:v>
      </x:c>
      <x:c r="O72" s="17" t="str">
        <x:f>IF(K72&gt;MAX(L72,S72),"קואליציית ההקמה 2022",IF(L72&gt;MAX(K72,S72),"אופוזיציה רחבה 2022","רשימות אחרות"))</x:f>
        <x:v>אופוזיציה רחבה 2022</x:v>
      </x:c>
      <x:c r="P72" s="17" t="str">
        <x:f>IF(AND(H72&lt;50%,N72&gt;50%),"כן","לא")</x:f>
        <x:v>לא</x:v>
      </x:c>
      <x:c r="Q72" s="18" t="n">
        <x:f>SUM(AV72,AJ72,AL72,T72,AN72)</x:f>
        <x:v>67</x:v>
      </x:c>
      <x:c r="R72" s="18" t="n">
        <x:f>SUM(Y72,AU72,X72)</x:f>
        <x:v>117</x:v>
      </x:c>
      <x:c r="S72" s="18" t="n">
        <x:f>J72-K72-L72</x:f>
        <x:v>4</x:v>
      </x:c>
      <x:c r="T72" s="18" t="n">
        <x:v>8</x:v>
      </x:c>
      <x:c r="U72" s="18" t="n">
        <x:v>0</x:v>
      </x:c>
      <x:c r="V72" s="18" t="n">
        <x:v>0</x:v>
      </x:c>
      <x:c r="W72" s="18" t="n">
        <x:v>0</x:v>
      </x:c>
      <x:c r="X72" s="18" t="n">
        <x:v>27</x:v>
      </x:c>
      <x:c r="Y72" s="18" t="n">
        <x:v>77</x:v>
      </x:c>
      <x:c r="Z72" s="18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9</x:v>
      </x:c>
      <x:c r="AE72" s="18" t="n">
        <x:v>0</x:v>
      </x:c>
      <x:c r="AF72" s="18" t="n">
        <x:v>1</x:v>
      </x:c>
      <x:c r="AG72" s="18" t="n">
        <x:v>0</x:v>
      </x:c>
      <x:c r="AH72" s="18" t="n">
        <x:v>0</x:v>
      </x:c>
      <x:c r="AI72" s="18" t="n">
        <x:v>0</x:v>
      </x:c>
      <x:c r="AJ72" s="18" t="n">
        <x:v>7</x:v>
      </x:c>
      <x:c r="AK72" s="18" t="n">
        <x:v>0</x:v>
      </x:c>
      <x:c r="AL72" s="18" t="n">
        <x:v>13</x:v>
      </x:c>
      <x:c r="AM72" s="18" t="n">
        <x:v>26</x:v>
      </x:c>
      <x:c r="AN72" s="18" t="n">
        <x:v>14</x:v>
      </x:c>
      <x:c r="AO72" s="18" t="n">
        <x:v>0</x:v>
      </x:c>
      <x:c r="AP72" s="18" t="n">
        <x:v>0</x:v>
      </x:c>
      <x:c r="AQ72" s="18" t="n">
        <x:v>0</x:v>
      </x:c>
      <x:c r="AR72" s="18" t="n">
        <x:v>0</x:v>
      </x:c>
      <x:c r="AS72" s="18" t="n">
        <x:v>0</x:v>
      </x:c>
      <x:c r="AT72" s="18" t="n">
        <x:v>0</x:v>
      </x:c>
      <x:c r="AU72" s="18" t="n">
        <x:v>13</x:v>
      </x:c>
      <x:c r="AV72" s="18" t="n">
        <x:v>25</x:v>
      </x:c>
      <x:c r="AW72" s="18" t="n">
        <x:v>0</x:v>
      </x:c>
      <x:c r="AX72" s="18" t="n">
        <x:v>1</x:v>
      </x:c>
      <x:c r="AY72" s="18" t="n">
        <x:v>1</x:v>
      </x:c>
      <x:c r="AZ72" s="18" t="n">
        <x:v>0</x:v>
      </x:c>
      <x:c r="BA72" s="18" t="n">
        <x:v>0</x:v>
      </x:c>
      <x:c r="BB72" s="18" t="n">
        <x:v>0</x:v>
      </x:c>
      <x:c r="BC72" s="18" t="n">
        <x:v>0</x:v>
      </x:c>
      <x:c r="BD72" s="18" t="n">
        <x:v>1</x:v>
      </x:c>
      <x:c r="BE72" s="18" t="n">
        <x:v>0</x:v>
      </x:c>
      <x:c r="BF72" s="18" t="n">
        <x:v>58</x:v>
      </x:c>
      <x:c r="BG72" s="18" t="n">
        <x:v>0</x:v>
      </x:c>
    </x:row>
    <x:row r="73">
      <x:c r="A73" s="29" t="str">
        <x:v>148</x:v>
      </x:c>
      <x:c r="B73" s="17" t="n">
        <x:v>2982</x:v>
      </x:c>
      <x:c r="C73" s="17" t="str">
        <x:v>מתנ"ס קלור</x:v>
      </x:c>
      <x:c r="D73" s="17" t="str">
        <x:v>שטרן יאיר 20</x:v>
      </x:c>
      <x:c r="E73" s="17" t="str">
        <x:v>גבוה מאוד</x:v>
      </x:c>
      <x:c r="F73" s="18" t="n">
        <x:v>689</x:v>
      </x:c>
      <x:c r="G73" s="18" t="n">
        <x:v>381</x:v>
      </x:c>
      <x:c r="H73" s="19" t="n">
        <x:f>IFERROR(G73/F73,0)</x:f>
        <x:v>0.5529753265602322</x:v>
      </x:c>
      <x:c r="I73" s="18" t="n">
        <x:v>6</x:v>
      </x:c>
      <x:c r="J73" s="18" t="n">
        <x:v>375</x:v>
      </x:c>
      <x:c r="K73" s="18" t="n">
        <x:f>SUM(AM73,BF73,W73,AD73)</x:f>
        <x:v>54</x:v>
      </x:c>
      <x:c r="L73" s="18" t="n">
        <x:f>Q73+R73</x:f>
        <x:v>317</x:v>
      </x:c>
      <x:c r="M73" s="19" t="n">
        <x:f>IFERROR(K73/J73,0)</x:f>
        <x:v>0.144</x:v>
      </x:c>
      <x:c r="N73" s="19" t="n">
        <x:f>IFERROR(L73/J73,0)</x:f>
        <x:v>0.8453333333333334</x:v>
      </x:c>
      <x:c r="O73" s="17" t="str">
        <x:f>IF(K73&gt;MAX(L73,S73),"קואליציית ההקמה 2022",IF(L73&gt;MAX(K73,S73),"אופוזיציה רחבה 2022","רשימות אחרות"))</x:f>
        <x:v>אופוזיציה רחבה 2022</x:v>
      </x:c>
      <x:c r="P73" s="17" t="str">
        <x:f>IF(AND(H73&lt;50%,N73&gt;50%),"כן","לא")</x:f>
        <x:v>לא</x:v>
      </x:c>
      <x:c r="Q73" s="18" t="n">
        <x:f>SUM(AV73,AJ73,AL73,T73,AN73)</x:f>
        <x:v>96</x:v>
      </x:c>
      <x:c r="R73" s="18" t="n">
        <x:f>SUM(Y73,AU73,X73)</x:f>
        <x:v>221</x:v>
      </x:c>
      <x:c r="S73" s="18" t="n">
        <x:f>J73-K73-L73</x:f>
        <x:v>4</x:v>
      </x:c>
      <x:c r="T73" s="18" t="n">
        <x:v>6</x:v>
      </x:c>
      <x:c r="U73" s="18" t="n">
        <x:v>2</x:v>
      </x:c>
      <x:c r="V73" s="18" t="n">
        <x:v>1</x:v>
      </x:c>
      <x:c r="W73" s="18" t="n">
        <x:v>1</x:v>
      </x:c>
      <x:c r="X73" s="18" t="n">
        <x:v>75</x:v>
      </x:c>
      <x:c r="Y73" s="18" t="n">
        <x:v>134</x:v>
      </x:c>
      <x:c r="Z73" s="18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3</x:v>
      </x:c>
      <x:c r="AE73" s="18" t="n">
        <x:v>0</x:v>
      </x:c>
      <x:c r="AF73" s="18" t="n">
        <x:v>0</x:v>
      </x:c>
      <x:c r="AG73" s="18" t="n">
        <x:v>0</x:v>
      </x:c>
      <x:c r="AH73" s="18" t="n">
        <x:v>1</x:v>
      </x:c>
      <x:c r="AI73" s="18" t="n">
        <x:v>0</x:v>
      </x:c>
      <x:c r="AJ73" s="18" t="n">
        <x:v>10</x:v>
      </x:c>
      <x:c r="AK73" s="18" t="n">
        <x:v>0</x:v>
      </x:c>
      <x:c r="AL73" s="18" t="n">
        <x:v>23</x:v>
      </x:c>
      <x:c r="AM73" s="18" t="n">
        <x:v>41</x:v>
      </x:c>
      <x:c r="AN73" s="18" t="n">
        <x:v>29</x:v>
      </x:c>
      <x:c r="AO73" s="18" t="n">
        <x:v>0</x:v>
      </x:c>
      <x:c r="AP73" s="18" t="n">
        <x:v>0</x:v>
      </x:c>
      <x:c r="AQ73" s="18" t="n">
        <x:v>0</x:v>
      </x:c>
      <x:c r="AR73" s="18" t="n">
        <x:v>0</x:v>
      </x:c>
      <x:c r="AS73" s="18" t="n">
        <x:v>0</x:v>
      </x:c>
      <x:c r="AT73" s="18" t="n">
        <x:v>0</x:v>
      </x:c>
      <x:c r="AU73" s="18" t="n">
        <x:v>12</x:v>
      </x:c>
      <x:c r="AV73" s="18" t="n">
        <x:v>28</x:v>
      </x:c>
      <x:c r="AW73" s="18" t="n">
        <x:v>0</x:v>
      </x:c>
      <x:c r="AX73" s="18" t="n">
        <x:v>0</x:v>
      </x:c>
      <x:c r="AY73" s="18" t="n">
        <x:v>0</x:v>
      </x:c>
      <x:c r="AZ73" s="18" t="n">
        <x:v>0</x:v>
      </x:c>
      <x:c r="BA73" s="18" t="n">
        <x:v>0</x:v>
      </x:c>
      <x:c r="BB73" s="18" t="n">
        <x:v>0</x:v>
      </x:c>
      <x:c r="BC73" s="18" t="n">
        <x:v>0</x:v>
      </x:c>
      <x:c r="BD73" s="18" t="n">
        <x:v>0</x:v>
      </x:c>
      <x:c r="BE73" s="18" t="n">
        <x:v>0</x:v>
      </x:c>
      <x:c r="BF73" s="18" t="n">
        <x:v>9</x:v>
      </x:c>
      <x:c r="BG73" s="18" t="n">
        <x:v>0</x:v>
      </x:c>
    </x:row>
    <x:row r="74">
      <x:c r="A74" s="29" t="str">
        <x:v>149.1</x:v>
      </x:c>
      <x:c r="B74" s="17" t="n">
        <x:v>2947</x:v>
      </x:c>
      <x:c r="C74" s="17" t="str">
        <x:v>בי"ס רמות</x:v>
      </x:c>
      <x:c r="D74" s="17" t="str">
        <x:v>דרך צרפת 85</x:v>
      </x:c>
      <x:c r="E74" s="17" t="str">
        <x:v>גבוה מאוד</x:v>
      </x:c>
      <x:c r="F74" s="18" t="n">
        <x:v>637</x:v>
      </x:c>
      <x:c r="G74" s="18" t="n">
        <x:v>367</x:v>
      </x:c>
      <x:c r="H74" s="19" t="n">
        <x:f>IFERROR(G74/F74,0)</x:f>
        <x:v>0.576138147566719</x:v>
      </x:c>
      <x:c r="I74" s="18" t="n">
        <x:v>1</x:v>
      </x:c>
      <x:c r="J74" s="18" t="n">
        <x:v>366</x:v>
      </x:c>
      <x:c r="K74" s="18" t="n">
        <x:f>SUM(AM74,BF74,W74,AD74)</x:f>
        <x:v>174</x:v>
      </x:c>
      <x:c r="L74" s="18" t="n">
        <x:f>Q74+R74</x:f>
        <x:v>185</x:v>
      </x:c>
      <x:c r="M74" s="19" t="n">
        <x:f>IFERROR(K74/J74,0)</x:f>
        <x:v>0.47540983606557374</x:v>
      </x:c>
      <x:c r="N74" s="19" t="n">
        <x:f>IFERROR(L74/J74,0)</x:f>
        <x:v>0.505464480874317</x:v>
      </x:c>
      <x:c r="O74" s="17" t="str">
        <x:f>IF(K74&gt;MAX(L74,S74),"קואליציית ההקמה 2022",IF(L74&gt;MAX(K74,S74),"אופוזיציה רחבה 2022","רשימות אחרות"))</x:f>
        <x:v>אופוזיציה רחבה 2022</x:v>
      </x:c>
      <x:c r="P74" s="17" t="str">
        <x:f>IF(AND(H74&lt;50%,N74&gt;50%),"כן","לא")</x:f>
        <x:v>לא</x:v>
      </x:c>
      <x:c r="Q74" s="18" t="n">
        <x:f>SUM(AV74,AJ74,AL74,T74,AN74)</x:f>
        <x:v>177</x:v>
      </x:c>
      <x:c r="R74" s="18" t="n">
        <x:f>SUM(Y74,AU74,X74)</x:f>
        <x:v>8</x:v>
      </x:c>
      <x:c r="S74" s="18" t="n">
        <x:f>J74-K74-L74</x:f>
        <x:v>7</x:v>
      </x:c>
      <x:c r="T74" s="18" t="n">
        <x:v>8</x:v>
      </x:c>
      <x:c r="U74" s="18" t="n">
        <x:v>0</x:v>
      </x:c>
      <x:c r="V74" s="18" t="n">
        <x:v>0</x:v>
      </x:c>
      <x:c r="W74" s="18" t="n">
        <x:v>2</x:v>
      </x:c>
      <x:c r="X74" s="18" t="n">
        <x:v>0</x:v>
      </x:c>
      <x:c r="Y74" s="18" t="n">
        <x:v>8</x:v>
      </x:c>
      <x:c r="Z74" s="18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31</x:v>
      </x:c>
      <x:c r="AE74" s="18" t="n">
        <x:v>0</x:v>
      </x:c>
      <x:c r="AF74" s="18" t="n">
        <x:v>3</x:v>
      </x:c>
      <x:c r="AG74" s="18" t="n">
        <x:v>0</x:v>
      </x:c>
      <x:c r="AH74" s="18" t="n">
        <x:v>0</x:v>
      </x:c>
      <x:c r="AI74" s="18" t="n">
        <x:v>0</x:v>
      </x:c>
      <x:c r="AJ74" s="18" t="n">
        <x:v>39</x:v>
      </x:c>
      <x:c r="AK74" s="18" t="n">
        <x:v>0</x:v>
      </x:c>
      <x:c r="AL74" s="18" t="n">
        <x:v>35</x:v>
      </x:c>
      <x:c r="AM74" s="18" t="n">
        <x:v>127</x:v>
      </x:c>
      <x:c r="AN74" s="18" t="n">
        <x:v>9</x:v>
      </x:c>
      <x:c r="AO74" s="18" t="n">
        <x:v>0</x:v>
      </x:c>
      <x:c r="AP74" s="18" t="n">
        <x:v>0</x:v>
      </x:c>
      <x:c r="AQ74" s="18" t="n">
        <x:v>0</x:v>
      </x:c>
      <x:c r="AR74" s="18" t="n">
        <x:v>0</x:v>
      </x:c>
      <x:c r="AS74" s="18" t="n">
        <x:v>0</x:v>
      </x:c>
      <x:c r="AT74" s="18" t="n">
        <x:v>0</x:v>
      </x:c>
      <x:c r="AU74" s="18" t="n">
        <x:v>0</x:v>
      </x:c>
      <x:c r="AV74" s="18" t="n">
        <x:v>86</x:v>
      </x:c>
      <x:c r="AW74" s="18" t="n">
        <x:v>0</x:v>
      </x:c>
      <x:c r="AX74" s="18" t="n">
        <x:v>0</x:v>
      </x:c>
      <x:c r="AY74" s="18" t="n">
        <x:v>1</x:v>
      </x:c>
      <x:c r="AZ74" s="18" t="n">
        <x:v>0</x:v>
      </x:c>
      <x:c r="BA74" s="18" t="n">
        <x:v>0</x:v>
      </x:c>
      <x:c r="BB74" s="18" t="n">
        <x:v>1</x:v>
      </x:c>
      <x:c r="BC74" s="18" t="n">
        <x:v>0</x:v>
      </x:c>
      <x:c r="BD74" s="18" t="n">
        <x:v>2</x:v>
      </x:c>
      <x:c r="BE74" s="18" t="n">
        <x:v>0</x:v>
      </x:c>
      <x:c r="BF74" s="18" t="n">
        <x:v>14</x:v>
      </x:c>
      <x:c r="BG74" s="18" t="n">
        <x:v>0</x:v>
      </x:c>
    </x:row>
    <x:row r="75">
      <x:c r="A75" s="29" t="str">
        <x:v>149.2</x:v>
      </x:c>
      <x:c r="B75" s="17" t="n">
        <x:v>2948</x:v>
      </x:c>
      <x:c r="C75" s="17" t="str">
        <x:v>בי"ס רמות</x:v>
      </x:c>
      <x:c r="D75" s="17" t="str">
        <x:v>דרך צרפת 85</x:v>
      </x:c>
      <x:c r="E75" s="17" t="str">
        <x:v>גבוה מאוד</x:v>
      </x:c>
      <x:c r="F75" s="18" t="n">
        <x:v>637</x:v>
      </x:c>
      <x:c r="G75" s="18" t="n">
        <x:v>353</x:v>
      </x:c>
      <x:c r="H75" s="19" t="n">
        <x:f>IFERROR(G75/F75,0)</x:f>
        <x:v>0.554160125588697</x:v>
      </x:c>
      <x:c r="I75" s="18" t="n">
        <x:v>3</x:v>
      </x:c>
      <x:c r="J75" s="18" t="n">
        <x:v>350</x:v>
      </x:c>
      <x:c r="K75" s="18" t="n">
        <x:f>SUM(AM75,BF75,W75,AD75)</x:f>
        <x:v>149</x:v>
      </x:c>
      <x:c r="L75" s="18" t="n">
        <x:f>Q75+R75</x:f>
        <x:v>193</x:v>
      </x:c>
      <x:c r="M75" s="19" t="n">
        <x:f>IFERROR(K75/J75,0)</x:f>
        <x:v>0.4257142857142857</x:v>
      </x:c>
      <x:c r="N75" s="19" t="n">
        <x:f>IFERROR(L75/J75,0)</x:f>
        <x:v>0.5514285714285714</x:v>
      </x:c>
      <x:c r="O75" s="17" t="str">
        <x:f>IF(K75&gt;MAX(L75,S75),"קואליציית ההקמה 2022",IF(L75&gt;MAX(K75,S75),"אופוזיציה רחבה 2022","רשימות אחרות"))</x:f>
        <x:v>אופוזיציה רחבה 2022</x:v>
      </x:c>
      <x:c r="P75" s="17" t="str">
        <x:f>IF(AND(H75&lt;50%,N75&gt;50%),"כן","לא")</x:f>
        <x:v>לא</x:v>
      </x:c>
      <x:c r="Q75" s="18" t="n">
        <x:f>SUM(AV75,AJ75,AL75,T75,AN75)</x:f>
        <x:v>187</x:v>
      </x:c>
      <x:c r="R75" s="18" t="n">
        <x:f>SUM(Y75,AU75,X75)</x:f>
        <x:v>6</x:v>
      </x:c>
      <x:c r="S75" s="18" t="n">
        <x:f>J75-K75-L75</x:f>
        <x:v>8</x:v>
      </x:c>
      <x:c r="T75" s="18" t="n">
        <x:v>13</x:v>
      </x:c>
      <x:c r="U75" s="18" t="n">
        <x:v>1</x:v>
      </x:c>
      <x:c r="V75" s="18" t="n">
        <x:v>2</x:v>
      </x:c>
      <x:c r="W75" s="18" t="n">
        <x:v>1</x:v>
      </x:c>
      <x:c r="X75" s="18" t="n">
        <x:v>2</x:v>
      </x:c>
      <x:c r="Y75" s="18" t="n">
        <x:v>4</x:v>
      </x:c>
      <x:c r="Z75" s="18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19</x:v>
      </x:c>
      <x:c r="AE75" s="18" t="n">
        <x:v>0</x:v>
      </x:c>
      <x:c r="AF75" s="18" t="n">
        <x:v>0</x:v>
      </x:c>
      <x:c r="AG75" s="18" t="n">
        <x:v>0</x:v>
      </x:c>
      <x:c r="AH75" s="18" t="n">
        <x:v>0</x:v>
      </x:c>
      <x:c r="AI75" s="18" t="n">
        <x:v>0</x:v>
      </x:c>
      <x:c r="AJ75" s="18" t="n">
        <x:v>46</x:v>
      </x:c>
      <x:c r="AK75" s="18" t="n">
        <x:v>0</x:v>
      </x:c>
      <x:c r="AL75" s="18" t="n">
        <x:v>37</x:v>
      </x:c>
      <x:c r="AM75" s="18" t="n">
        <x:v>120</x:v>
      </x:c>
      <x:c r="AN75" s="18" t="n">
        <x:v>5</x:v>
      </x:c>
      <x:c r="AO75" s="18" t="n">
        <x:v>0</x:v>
      </x:c>
      <x:c r="AP75" s="18" t="n">
        <x:v>1</x:v>
      </x:c>
      <x:c r="AQ75" s="18" t="n">
        <x:v>0</x:v>
      </x:c>
      <x:c r="AR75" s="18" t="n">
        <x:v>0</x:v>
      </x:c>
      <x:c r="AS75" s="18" t="n">
        <x:v>0</x:v>
      </x:c>
      <x:c r="AT75" s="18" t="n">
        <x:v>0</x:v>
      </x:c>
      <x:c r="AU75" s="18" t="n">
        <x:v>0</x:v>
      </x:c>
      <x:c r="AV75" s="18" t="n">
        <x:v>86</x:v>
      </x:c>
      <x:c r="AW75" s="18" t="n">
        <x:v>0</x:v>
      </x:c>
      <x:c r="AX75" s="18" t="n">
        <x:v>0</x:v>
      </x:c>
      <x:c r="AY75" s="18" t="n">
        <x:v>0</x:v>
      </x:c>
      <x:c r="AZ75" s="18" t="n">
        <x:v>1</x:v>
      </x:c>
      <x:c r="BA75" s="18" t="n">
        <x:v>0</x:v>
      </x:c>
      <x:c r="BB75" s="18" t="n">
        <x:v>0</x:v>
      </x:c>
      <x:c r="BC75" s="18" t="n">
        <x:v>0</x:v>
      </x:c>
      <x:c r="BD75" s="18" t="n">
        <x:v>2</x:v>
      </x:c>
      <x:c r="BE75" s="18" t="n">
        <x:v>1</x:v>
      </x:c>
      <x:c r="BF75" s="18" t="n">
        <x:v>9</x:v>
      </x:c>
      <x:c r="BG75" s="18" t="n">
        <x:v>0</x:v>
      </x:c>
    </x:row>
    <x:row r="76">
      <x:c r="A76" s="29" t="str">
        <x:v>149.3</x:v>
      </x:c>
      <x:c r="B76" s="17" t="n">
        <x:v>2949</x:v>
      </x:c>
      <x:c r="C76" s="17" t="str">
        <x:v>בי"ס רמות</x:v>
      </x:c>
      <x:c r="D76" s="17" t="str">
        <x:v>דרך צרפת 85</x:v>
      </x:c>
      <x:c r="E76" s="17" t="str">
        <x:v>גבוה מאוד</x:v>
      </x:c>
      <x:c r="F76" s="18" t="n">
        <x:v>637</x:v>
      </x:c>
      <x:c r="G76" s="18" t="n">
        <x:v>363</x:v>
      </x:c>
      <x:c r="H76" s="19" t="n">
        <x:f>IFERROR(G76/F76,0)</x:f>
        <x:v>0.5698587127158555</x:v>
      </x:c>
      <x:c r="I76" s="18" t="n">
        <x:v>1</x:v>
      </x:c>
      <x:c r="J76" s="18" t="n">
        <x:v>362</x:v>
      </x:c>
      <x:c r="K76" s="18" t="n">
        <x:f>SUM(AM76,BF76,W76,AD76)</x:f>
        <x:v>133</x:v>
      </x:c>
      <x:c r="L76" s="18" t="n">
        <x:f>Q76+R76</x:f>
        <x:v>215</x:v>
      </x:c>
      <x:c r="M76" s="19" t="n">
        <x:f>IFERROR(K76/J76,0)</x:f>
        <x:v>0.3674033149171271</x:v>
      </x:c>
      <x:c r="N76" s="19" t="n">
        <x:f>IFERROR(L76/J76,0)</x:f>
        <x:v>0.5939226519337016</x:v>
      </x:c>
      <x:c r="O76" s="17" t="str">
        <x:f>IF(K76&gt;MAX(L76,S76),"קואליציית ההקמה 2022",IF(L76&gt;MAX(K76,S76),"אופוזיציה רחבה 2022","רשימות אחרות"))</x:f>
        <x:v>אופוזיציה רחבה 2022</x:v>
      </x:c>
      <x:c r="P76" s="17" t="str">
        <x:f>IF(AND(H76&lt;50%,N76&gt;50%),"כן","לא")</x:f>
        <x:v>לא</x:v>
      </x:c>
      <x:c r="Q76" s="18" t="n">
        <x:f>SUM(AV76,AJ76,AL76,T76,AN76)</x:f>
        <x:v>201</x:v>
      </x:c>
      <x:c r="R76" s="18" t="n">
        <x:f>SUM(Y76,AU76,X76)</x:f>
        <x:v>14</x:v>
      </x:c>
      <x:c r="S76" s="18" t="n">
        <x:f>J76-K76-L76</x:f>
        <x:v>14</x:v>
      </x:c>
      <x:c r="T76" s="18" t="n">
        <x:v>15</x:v>
      </x:c>
      <x:c r="U76" s="18" t="n">
        <x:v>1</x:v>
      </x:c>
      <x:c r="V76" s="18" t="n">
        <x:v>1</x:v>
      </x:c>
      <x:c r="W76" s="18" t="n">
        <x:v>2</x:v>
      </x:c>
      <x:c r="X76" s="18" t="n">
        <x:v>4</x:v>
      </x:c>
      <x:c r="Y76" s="18" t="n">
        <x:v>7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24</x:v>
      </x:c>
      <x:c r="AE76" s="18" t="n">
        <x:v>0</x:v>
      </x:c>
      <x:c r="AF76" s="18" t="n">
        <x:v>0</x:v>
      </x:c>
      <x:c r="AG76" s="18" t="n">
        <x:v>0</x:v>
      </x:c>
      <x:c r="AH76" s="18" t="n">
        <x:v>0</x:v>
      </x:c>
      <x:c r="AI76" s="18" t="n">
        <x:v>0</x:v>
      </x:c>
      <x:c r="AJ76" s="18" t="n">
        <x:v>59</x:v>
      </x:c>
      <x:c r="AK76" s="18" t="n">
        <x:v>1</x:v>
      </x:c>
      <x:c r="AL76" s="18" t="n">
        <x:v>39</x:v>
      </x:c>
      <x:c r="AM76" s="18" t="n">
        <x:v>99</x:v>
      </x:c>
      <x:c r="AN76" s="18" t="n">
        <x:v>6</x:v>
      </x:c>
      <x:c r="AO76" s="18" t="n">
        <x:v>0</x:v>
      </x:c>
      <x:c r="AP76" s="18" t="n">
        <x:v>0</x:v>
      </x:c>
      <x:c r="AQ76" s="18" t="n">
        <x:v>0</x:v>
      </x:c>
      <x:c r="AR76" s="18" t="n">
        <x:v>2</x:v>
      </x:c>
      <x:c r="AS76" s="18" t="n">
        <x:v>0</x:v>
      </x:c>
      <x:c r="AT76" s="18" t="n">
        <x:v>0</x:v>
      </x:c>
      <x:c r="AU76" s="18" t="n">
        <x:v>3</x:v>
      </x:c>
      <x:c r="AV76" s="18" t="n">
        <x:v>82</x:v>
      </x:c>
      <x:c r="AW76" s="18" t="n">
        <x:v>0</x:v>
      </x:c>
      <x:c r="AX76" s="18" t="n">
        <x:v>1</x:v>
      </x:c>
      <x:c r="AY76" s="18" t="n">
        <x:v>0</x:v>
      </x:c>
      <x:c r="AZ76" s="18" t="n">
        <x:v>1</x:v>
      </x:c>
      <x:c r="BA76" s="18" t="n">
        <x:v>0</x:v>
      </x:c>
      <x:c r="BB76" s="18" t="n">
        <x:v>0</x:v>
      </x:c>
      <x:c r="BC76" s="18" t="n">
        <x:v>0</x:v>
      </x:c>
      <x:c r="BD76" s="18" t="n">
        <x:v>6</x:v>
      </x:c>
      <x:c r="BE76" s="18" t="n">
        <x:v>1</x:v>
      </x:c>
      <x:c r="BF76" s="18" t="n">
        <x:v>8</x:v>
      </x:c>
      <x:c r="BG76" s="18" t="n">
        <x:v>0</x:v>
      </x:c>
    </x:row>
    <x:row r="77">
      <x:c r="A77" s="29" t="str">
        <x:v>149.4</x:v>
      </x:c>
      <x:c r="B77" s="17" t="n">
        <x:v>2950</x:v>
      </x:c>
      <x:c r="C77" s="17" t="str">
        <x:v>בי"ס רמות</x:v>
      </x:c>
      <x:c r="D77" s="17" t="str">
        <x:v>דרך צרפת 85</x:v>
      </x:c>
      <x:c r="E77" s="17" t="str">
        <x:v>גבוה מאוד</x:v>
      </x:c>
      <x:c r="F77" s="18" t="n">
        <x:v>634</x:v>
      </x:c>
      <x:c r="G77" s="18" t="n">
        <x:v>301</x:v>
      </x:c>
      <x:c r="H77" s="19" t="n">
        <x:f>IFERROR(G77/F77,0)</x:f>
        <x:v>0.4747634069400631</x:v>
      </x:c>
      <x:c r="I77" s="18" t="n">
        <x:v>1</x:v>
      </x:c>
      <x:c r="J77" s="18" t="n">
        <x:v>300</x:v>
      </x:c>
      <x:c r="K77" s="18" t="n">
        <x:f>SUM(AM77,BF77,W77,AD77)</x:f>
        <x:v>114</x:v>
      </x:c>
      <x:c r="L77" s="18" t="n">
        <x:f>Q77+R77</x:f>
        <x:v>176</x:v>
      </x:c>
      <x:c r="M77" s="19" t="n">
        <x:f>IFERROR(K77/J77,0)</x:f>
        <x:v>0.38</x:v>
      </x:c>
      <x:c r="N77" s="19" t="n">
        <x:f>IFERROR(L77/J77,0)</x:f>
        <x:v>0.5866666666666667</x:v>
      </x:c>
      <x:c r="O77" s="17" t="str">
        <x:f>IF(K77&gt;MAX(L77,S77),"קואליציית ההקמה 2022",IF(L77&gt;MAX(K77,S77),"אופוזיציה רחבה 2022","רשימות אחרות"))</x:f>
        <x:v>אופוזיציה רחבה 2022</x:v>
      </x:c>
      <x:c r="P77" s="17" t="str">
        <x:f>IF(AND(H77&lt;50%,N77&gt;50%),"כן","לא")</x:f>
        <x:v>כן</x:v>
      </x:c>
      <x:c r="Q77" s="18" t="n">
        <x:f>SUM(AV77,AJ77,AL77,T77,AN77)</x:f>
        <x:v>172</x:v>
      </x:c>
      <x:c r="R77" s="18" t="n">
        <x:f>SUM(Y77,AU77,X77)</x:f>
        <x:v>4</x:v>
      </x:c>
      <x:c r="S77" s="18" t="n">
        <x:f>J77-K77-L77</x:f>
        <x:v>10</x:v>
      </x:c>
      <x:c r="T77" s="18" t="n">
        <x:v>14</x:v>
      </x:c>
      <x:c r="U77" s="18" t="n">
        <x:v>3</x:v>
      </x:c>
      <x:c r="V77" s="18" t="n">
        <x:v>2</x:v>
      </x:c>
      <x:c r="W77" s="18" t="n">
        <x:v>1</x:v>
      </x:c>
      <x:c r="X77" s="18" t="n">
        <x:v>3</x:v>
      </x:c>
      <x:c r="Y77" s="18" t="n">
        <x:v>1</x:v>
      </x:c>
      <x:c r="Z77" s="18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21</x:v>
      </x:c>
      <x:c r="AE77" s="18" t="n">
        <x:v>0</x:v>
      </x:c>
      <x:c r="AF77" s="18" t="n">
        <x:v>1</x:v>
      </x:c>
      <x:c r="AG77" s="18" t="n">
        <x:v>0</x:v>
      </x:c>
      <x:c r="AH77" s="18" t="n">
        <x:v>0</x:v>
      </x:c>
      <x:c r="AI77" s="18" t="n">
        <x:v>0</x:v>
      </x:c>
      <x:c r="AJ77" s="18" t="n">
        <x:v>32</x:v>
      </x:c>
      <x:c r="AK77" s="18" t="n">
        <x:v>0</x:v>
      </x:c>
      <x:c r="AL77" s="18" t="n">
        <x:v>31</x:v>
      </x:c>
      <x:c r="AM77" s="18" t="n">
        <x:v>83</x:v>
      </x:c>
      <x:c r="AN77" s="18" t="n">
        <x:v>7</x:v>
      </x:c>
      <x:c r="AO77" s="18" t="n">
        <x:v>0</x:v>
      </x:c>
      <x:c r="AP77" s="18" t="n">
        <x:v>0</x:v>
      </x:c>
      <x:c r="AQ77" s="18" t="n">
        <x:v>0</x:v>
      </x:c>
      <x:c r="AR77" s="18" t="n">
        <x:v>0</x:v>
      </x:c>
      <x:c r="AS77" s="18" t="n">
        <x:v>0</x:v>
      </x:c>
      <x:c r="AT77" s="18" t="n">
        <x:v>0</x:v>
      </x:c>
      <x:c r="AU77" s="18" t="n">
        <x:v>0</x:v>
      </x:c>
      <x:c r="AV77" s="18" t="n">
        <x:v>88</x:v>
      </x:c>
      <x:c r="AW77" s="18" t="n">
        <x:v>0</x:v>
      </x:c>
      <x:c r="AX77" s="18" t="n">
        <x:v>0</x:v>
      </x:c>
      <x:c r="AY77" s="18" t="n">
        <x:v>0</x:v>
      </x:c>
      <x:c r="AZ77" s="18" t="n">
        <x:v>0</x:v>
      </x:c>
      <x:c r="BA77" s="18" t="n">
        <x:v>0</x:v>
      </x:c>
      <x:c r="BB77" s="18" t="n">
        <x:v>1</x:v>
      </x:c>
      <x:c r="BC77" s="18" t="n">
        <x:v>0</x:v>
      </x:c>
      <x:c r="BD77" s="18" t="n">
        <x:v>3</x:v>
      </x:c>
      <x:c r="BE77" s="18" t="n">
        <x:v>0</x:v>
      </x:c>
      <x:c r="BF77" s="18" t="n">
        <x:v>9</x:v>
      </x:c>
      <x:c r="BG77" s="18" t="n">
        <x:v>0</x:v>
      </x:c>
    </x:row>
    <x:row r="78">
      <x:c r="A78" s="29" t="str">
        <x:v>151</x:v>
      </x:c>
      <x:c r="B78" s="17" t="n">
        <x:v>2983</x:v>
      </x:c>
      <x:c r="C78" s="17" t="str">
        <x:v>בי"ס בסמת - חטיבה עליונה</x:v>
      </x:c>
      <x:c r="D78" s="17" t="str">
        <x:v>דוד המלך 28</x:v>
      </x:c>
      <x:c r="E78" s="17" t="str">
        <x:v>גבוה מאוד</x:v>
      </x:c>
      <x:c r="F78" s="18" t="n">
        <x:v>565</x:v>
      </x:c>
      <x:c r="G78" s="18" t="n">
        <x:v>308</x:v>
      </x:c>
      <x:c r="H78" s="19" t="n">
        <x:f>IFERROR(G78/F78,0)</x:f>
        <x:v>0.5451327433628319</x:v>
      </x:c>
      <x:c r="I78" s="18" t="n">
        <x:v>2</x:v>
      </x:c>
      <x:c r="J78" s="18" t="n">
        <x:v>306</x:v>
      </x:c>
      <x:c r="K78" s="18" t="n">
        <x:f>SUM(AM78,BF78,W78,AD78)</x:f>
        <x:v>152</x:v>
      </x:c>
      <x:c r="L78" s="18" t="n">
        <x:f>Q78+R78</x:f>
        <x:v>148</x:v>
      </x:c>
      <x:c r="M78" s="19" t="n">
        <x:f>IFERROR(K78/J78,0)</x:f>
        <x:v>0.49673202614379086</x:v>
      </x:c>
      <x:c r="N78" s="19" t="n">
        <x:f>IFERROR(L78/J78,0)</x:f>
        <x:v>0.48366013071895425</x:v>
      </x:c>
      <x:c r="O78" s="17" t="str">
        <x:f>IF(K78&gt;MAX(L78,S78),"קואליציית ההקמה 2022",IF(L78&gt;MAX(K78,S78),"אופוזיציה רחבה 2022","רשימות אחרות"))</x:f>
        <x:v>קואליציית ההקמה 2022</x:v>
      </x:c>
      <x:c r="P78" s="17" t="str">
        <x:f>IF(AND(H78&lt;50%,N78&gt;50%),"כן","לא")</x:f>
        <x:v>לא</x:v>
      </x:c>
      <x:c r="Q78" s="18" t="n">
        <x:f>SUM(AV78,AJ78,AL78,T78,AN78)</x:f>
        <x:v>148</x:v>
      </x:c>
      <x:c r="R78" s="18" t="n">
        <x:f>SUM(Y78,AU78,X78)</x:f>
        <x:v>0</x:v>
      </x:c>
      <x:c r="S78" s="18" t="n">
        <x:f>J78-K78-L78</x:f>
        <x:v>6</x:v>
      </x:c>
      <x:c r="T78" s="18" t="n">
        <x:v>10</x:v>
      </x:c>
      <x:c r="U78" s="18" t="n">
        <x:v>0</x:v>
      </x:c>
      <x:c r="V78" s="18" t="n">
        <x:v>2</x:v>
      </x:c>
      <x:c r="W78" s="18" t="n">
        <x:v>3</x:v>
      </x:c>
      <x:c r="X78" s="18" t="n">
        <x:v>0</x:v>
      </x:c>
      <x:c r="Y78" s="18" t="n">
        <x:v>0</x:v>
      </x:c>
      <x:c r="Z78" s="18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24</x:v>
      </x:c>
      <x:c r="AE78" s="18" t="n">
        <x:v>1</x:v>
      </x:c>
      <x:c r="AF78" s="18" t="n">
        <x:v>1</x:v>
      </x:c>
      <x:c r="AG78" s="18" t="n">
        <x:v>0</x:v>
      </x:c>
      <x:c r="AH78" s="18" t="n">
        <x:v>0</x:v>
      </x:c>
      <x:c r="AI78" s="18" t="n">
        <x:v>0</x:v>
      </x:c>
      <x:c r="AJ78" s="18" t="n">
        <x:v>30</x:v>
      </x:c>
      <x:c r="AK78" s="18" t="n">
        <x:v>0</x:v>
      </x:c>
      <x:c r="AL78" s="18" t="n">
        <x:v>56</x:v>
      </x:c>
      <x:c r="AM78" s="18" t="n">
        <x:v>101</x:v>
      </x:c>
      <x:c r="AN78" s="18" t="n">
        <x:v>1</x:v>
      </x:c>
      <x:c r="AO78" s="18" t="n">
        <x:v>0</x:v>
      </x:c>
      <x:c r="AP78" s="18" t="n">
        <x:v>0</x:v>
      </x:c>
      <x:c r="AQ78" s="18" t="n">
        <x:v>0</x:v>
      </x:c>
      <x:c r="AR78" s="18" t="n">
        <x:v>0</x:v>
      </x:c>
      <x:c r="AS78" s="18" t="n">
        <x:v>0</x:v>
      </x:c>
      <x:c r="AT78" s="18" t="n">
        <x:v>0</x:v>
      </x:c>
      <x:c r="AU78" s="18" t="n">
        <x:v>0</x:v>
      </x:c>
      <x:c r="AV78" s="18" t="n">
        <x:v>51</x:v>
      </x:c>
      <x:c r="AW78" s="18" t="n">
        <x:v>0</x:v>
      </x:c>
      <x:c r="AX78" s="18" t="n">
        <x:v>0</x:v>
      </x:c>
      <x:c r="AY78" s="18" t="n">
        <x:v>0</x:v>
      </x:c>
      <x:c r="AZ78" s="18" t="n">
        <x:v>0</x:v>
      </x:c>
      <x:c r="BA78" s="18" t="n">
        <x:v>0</x:v>
      </x:c>
      <x:c r="BB78" s="18" t="n">
        <x:v>1</x:v>
      </x:c>
      <x:c r="BC78" s="18" t="n">
        <x:v>0</x:v>
      </x:c>
      <x:c r="BD78" s="18" t="n">
        <x:v>1</x:v>
      </x:c>
      <x:c r="BE78" s="18" t="n">
        <x:v>0</x:v>
      </x:c>
      <x:c r="BF78" s="18" t="n">
        <x:v>24</x:v>
      </x:c>
      <x:c r="BG78" s="18" t="n">
        <x:v>0</x:v>
      </x:c>
    </x:row>
    <x:row r="79">
      <x:c r="A79" s="29" t="str">
        <x:v>152</x:v>
      </x:c>
      <x:c r="B79" s="17" t="n">
        <x:v>2984</x:v>
      </x:c>
      <x:c r="C79" s="17" t="str">
        <x:v>מרכז קהילתי נווה דוד</x:v>
      </x:c>
      <x:c r="D79" s="17" t="str">
        <x:v>יהושפט המלך 6א</x:v>
      </x:c>
      <x:c r="E79" s="17" t="str">
        <x:v>גבוה מאוד</x:v>
      </x:c>
      <x:c r="F79" s="18" t="n">
        <x:v>611</x:v>
      </x:c>
      <x:c r="G79" s="18" t="n">
        <x:v>332</x:v>
      </x:c>
      <x:c r="H79" s="19" t="n">
        <x:f>IFERROR(G79/F79,0)</x:f>
        <x:v>0.5433715220949263</x:v>
      </x:c>
      <x:c r="I79" s="18" t="n">
        <x:v>4</x:v>
      </x:c>
      <x:c r="J79" s="18" t="n">
        <x:v>328</x:v>
      </x:c>
      <x:c r="K79" s="18" t="n">
        <x:f>SUM(AM79,BF79,W79,AD79)</x:f>
        <x:v>221</x:v>
      </x:c>
      <x:c r="L79" s="18" t="n">
        <x:f>Q79+R79</x:f>
        <x:v>104</x:v>
      </x:c>
      <x:c r="M79" s="19" t="n">
        <x:f>IFERROR(K79/J79,0)</x:f>
        <x:v>0.6737804878048781</x:v>
      </x:c>
      <x:c r="N79" s="19" t="n">
        <x:f>IFERROR(L79/J79,0)</x:f>
        <x:v>0.3170731707317073</x:v>
      </x:c>
      <x:c r="O79" s="17" t="str">
        <x:f>IF(K79&gt;MAX(L79,S79),"קואליציית ההקמה 2022",IF(L79&gt;MAX(K79,S79),"אופוזיציה רחבה 2022","רשימות אחרות"))</x:f>
        <x:v>קואליציית ההקמה 2022</x:v>
      </x:c>
      <x:c r="P79" s="17" t="str">
        <x:f>IF(AND(H79&lt;50%,N79&gt;50%),"כן","לא")</x:f>
        <x:v>לא</x:v>
      </x:c>
      <x:c r="Q79" s="18" t="n">
        <x:f>SUM(AV79,AJ79,AL79,T79,AN79)</x:f>
        <x:v>104</x:v>
      </x:c>
      <x:c r="R79" s="18" t="n">
        <x:f>SUM(Y79,AU79,X79)</x:f>
        <x:v>0</x:v>
      </x:c>
      <x:c r="S79" s="18" t="n">
        <x:f>J79-K79-L79</x:f>
        <x:v>3</x:v>
      </x:c>
      <x:c r="T79" s="18" t="n">
        <x:v>7</x:v>
      </x:c>
      <x:c r="U79" s="18" t="n">
        <x:v>0</x:v>
      </x:c>
      <x:c r="V79" s="18" t="n">
        <x:v>1</x:v>
      </x:c>
      <x:c r="W79" s="18" t="n">
        <x:v>0</x:v>
      </x:c>
      <x:c r="X79" s="18" t="n">
        <x:v>0</x:v>
      </x:c>
      <x:c r="Y79" s="18" t="n">
        <x:v>0</x:v>
      </x:c>
      <x:c r="Z79" s="18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29</x:v>
      </x:c>
      <x:c r="AE79" s="18" t="n">
        <x:v>0</x:v>
      </x:c>
      <x:c r="AF79" s="18" t="n">
        <x:v>1</x:v>
      </x:c>
      <x:c r="AG79" s="18" t="n">
        <x:v>0</x:v>
      </x:c>
      <x:c r="AH79" s="18" t="n">
        <x:v>0</x:v>
      </x:c>
      <x:c r="AI79" s="18" t="n">
        <x:v>0</x:v>
      </x:c>
      <x:c r="AJ79" s="18" t="n">
        <x:v>11</x:v>
      </x:c>
      <x:c r="AK79" s="18" t="n">
        <x:v>0</x:v>
      </x:c>
      <x:c r="AL79" s="18" t="n">
        <x:v>41</x:v>
      </x:c>
      <x:c r="AM79" s="18" t="n">
        <x:v>162</x:v>
      </x:c>
      <x:c r="AN79" s="18" t="n">
        <x:v>6</x:v>
      </x:c>
      <x:c r="AO79" s="18" t="n">
        <x:v>0</x:v>
      </x:c>
      <x:c r="AP79" s="18" t="n">
        <x:v>0</x:v>
      </x:c>
      <x:c r="AQ79" s="18" t="n">
        <x:v>0</x:v>
      </x:c>
      <x:c r="AR79" s="18" t="n">
        <x:v>0</x:v>
      </x:c>
      <x:c r="AS79" s="18" t="n">
        <x:v>0</x:v>
      </x:c>
      <x:c r="AT79" s="18" t="n">
        <x:v>0</x:v>
      </x:c>
      <x:c r="AU79" s="18" t="n">
        <x:v>0</x:v>
      </x:c>
      <x:c r="AV79" s="18" t="n">
        <x:v>39</x:v>
      </x:c>
      <x:c r="AW79" s="18" t="n">
        <x:v>0</x:v>
      </x:c>
      <x:c r="AX79" s="18" t="n">
        <x:v>0</x:v>
      </x:c>
      <x:c r="AY79" s="18" t="n">
        <x:v>1</x:v>
      </x:c>
      <x:c r="AZ79" s="18" t="n">
        <x:v>0</x:v>
      </x:c>
      <x:c r="BA79" s="18" t="n">
        <x:v>0</x:v>
      </x:c>
      <x:c r="BB79" s="18" t="n">
        <x:v>0</x:v>
      </x:c>
      <x:c r="BC79" s="18" t="n">
        <x:v>0</x:v>
      </x:c>
      <x:c r="BD79" s="18" t="n">
        <x:v>0</x:v>
      </x:c>
      <x:c r="BE79" s="18" t="n">
        <x:v>0</x:v>
      </x:c>
      <x:c r="BF79" s="18" t="n">
        <x:v>30</x:v>
      </x:c>
      <x:c r="BG79" s="18" t="n">
        <x:v>0</x:v>
      </x:c>
    </x:row>
    <x:row r="80">
      <x:c r="A80" s="29" t="str">
        <x:v>154</x:v>
      </x:c>
      <x:c r="B80" s="17" t="n">
        <x:v>2985</x:v>
      </x:c>
      <x:c r="C80" s="17" t="str">
        <x:v>בי"ס עופרים</x:v>
      </x:c>
      <x:c r="D80" s="17" t="str">
        <x:v>דוד המלך 29</x:v>
      </x:c>
      <x:c r="E80" s="17" t="str">
        <x:v>גבוה מאוד</x:v>
      </x:c>
      <x:c r="F80" s="18" t="n">
        <x:v>643</x:v>
      </x:c>
      <x:c r="G80" s="18" t="n">
        <x:v>314</x:v>
      </x:c>
      <x:c r="H80" s="19" t="n">
        <x:f>IFERROR(G80/F80,0)</x:f>
        <x:v>0.48833592534992226</x:v>
      </x:c>
      <x:c r="I80" s="18" t="n">
        <x:v>5</x:v>
      </x:c>
      <x:c r="J80" s="18" t="n">
        <x:v>309</x:v>
      </x:c>
      <x:c r="K80" s="18" t="n">
        <x:f>SUM(AM80,BF80,W80,AD80)</x:f>
        <x:v>181</x:v>
      </x:c>
      <x:c r="L80" s="18" t="n">
        <x:f>Q80+R80</x:f>
        <x:v>121</x:v>
      </x:c>
      <x:c r="M80" s="19" t="n">
        <x:f>IFERROR(K80/J80,0)</x:f>
        <x:v>0.5857605177993528</x:v>
      </x:c>
      <x:c r="N80" s="19" t="n">
        <x:f>IFERROR(L80/J80,0)</x:f>
        <x:v>0.39158576051779936</x:v>
      </x:c>
      <x:c r="O80" s="17" t="str">
        <x:f>IF(K80&gt;MAX(L80,S80),"קואליציית ההקמה 2022",IF(L80&gt;MAX(K80,S80),"אופוזיציה רחבה 2022","רשימות אחרות"))</x:f>
        <x:v>קואליציית ההקמה 2022</x:v>
      </x:c>
      <x:c r="P80" s="17" t="str">
        <x:f>IF(AND(H80&lt;50%,N80&gt;50%),"כן","לא")</x:f>
        <x:v>לא</x:v>
      </x:c>
      <x:c r="Q80" s="18" t="n">
        <x:f>SUM(AV80,AJ80,AL80,T80,AN80)</x:f>
        <x:v>120</x:v>
      </x:c>
      <x:c r="R80" s="18" t="n">
        <x:f>SUM(Y80,AU80,X80)</x:f>
        <x:v>1</x:v>
      </x:c>
      <x:c r="S80" s="18" t="n">
        <x:f>J80-K80-L80</x:f>
        <x:v>7</x:v>
      </x:c>
      <x:c r="T80" s="18" t="n">
        <x:v>8</x:v>
      </x:c>
      <x:c r="U80" s="18" t="n">
        <x:v>1</x:v>
      </x:c>
      <x:c r="V80" s="18" t="n">
        <x:v>3</x:v>
      </x:c>
      <x:c r="W80" s="18" t="n">
        <x:v>1</x:v>
      </x:c>
      <x:c r="X80" s="18" t="n">
        <x:v>0</x:v>
      </x:c>
      <x:c r="Y80" s="18" t="n">
        <x:v>1</x:v>
      </x:c>
      <x:c r="Z80" s="18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34</x:v>
      </x:c>
      <x:c r="AE80" s="18" t="n">
        <x:v>0</x:v>
      </x:c>
      <x:c r="AF80" s="18" t="n">
        <x:v>1</x:v>
      </x:c>
      <x:c r="AG80" s="18" t="n">
        <x:v>0</x:v>
      </x:c>
      <x:c r="AH80" s="18" t="n">
        <x:v>0</x:v>
      </x:c>
      <x:c r="AI80" s="18" t="n">
        <x:v>0</x:v>
      </x:c>
      <x:c r="AJ80" s="18" t="n">
        <x:v>23</x:v>
      </x:c>
      <x:c r="AK80" s="18" t="n">
        <x:v>0</x:v>
      </x:c>
      <x:c r="AL80" s="18" t="n">
        <x:v>32</x:v>
      </x:c>
      <x:c r="AM80" s="18" t="n">
        <x:v>131</x:v>
      </x:c>
      <x:c r="AN80" s="18" t="n">
        <x:v>1</x:v>
      </x:c>
      <x:c r="AO80" s="18" t="n">
        <x:v>0</x:v>
      </x:c>
      <x:c r="AP80" s="18" t="n">
        <x:v>1</x:v>
      </x:c>
      <x:c r="AQ80" s="18" t="n">
        <x:v>0</x:v>
      </x:c>
      <x:c r="AR80" s="18" t="n">
        <x:v>0</x:v>
      </x:c>
      <x:c r="AS80" s="18" t="n">
        <x:v>0</x:v>
      </x:c>
      <x:c r="AT80" s="18" t="n">
        <x:v>0</x:v>
      </x:c>
      <x:c r="AU80" s="18" t="n">
        <x:v>0</x:v>
      </x:c>
      <x:c r="AV80" s="18" t="n">
        <x:v>56</x:v>
      </x:c>
      <x:c r="AW80" s="18" t="n">
        <x:v>1</x:v>
      </x:c>
      <x:c r="AX80" s="18" t="n">
        <x:v>0</x:v>
      </x:c>
      <x:c r="AY80" s="18" t="n">
        <x:v>0</x:v>
      </x:c>
      <x:c r="AZ80" s="18" t="n">
        <x:v>0</x:v>
      </x:c>
      <x:c r="BA80" s="18" t="n">
        <x:v>0</x:v>
      </x:c>
      <x:c r="BB80" s="18" t="n">
        <x:v>0</x:v>
      </x:c>
      <x:c r="BC80" s="18" t="n">
        <x:v>0</x:v>
      </x:c>
      <x:c r="BD80" s="18" t="n">
        <x:v>0</x:v>
      </x:c>
      <x:c r="BE80" s="18" t="n">
        <x:v>0</x:v>
      </x:c>
      <x:c r="BF80" s="18" t="n">
        <x:v>15</x:v>
      </x:c>
      <x:c r="BG80" s="18" t="n">
        <x:v>0</x:v>
      </x:c>
    </x:row>
    <x:row r="81">
      <x:c r="A81" s="29" t="str">
        <x:v>155.1</x:v>
      </x:c>
      <x:c r="B81" s="17" t="n">
        <x:v>2986</x:v>
      </x:c>
      <x:c r="C81" s="17" t="str">
        <x:v>בי"ס עין הים</x:v>
      </x:c>
      <x:c r="D81" s="17" t="str">
        <x:v>יציאת אירופה 17</x:v>
      </x:c>
      <x:c r="E81" s="17" t="str">
        <x:v>גבוה מאוד</x:v>
      </x:c>
      <x:c r="F81" s="18" t="n">
        <x:v>651</x:v>
      </x:c>
      <x:c r="G81" s="18" t="n">
        <x:v>330</x:v>
      </x:c>
      <x:c r="H81" s="19" t="n">
        <x:f>IFERROR(G81/F81,0)</x:f>
        <x:v>0.5069124423963134</x:v>
      </x:c>
      <x:c r="I81" s="18" t="n">
        <x:v>5</x:v>
      </x:c>
      <x:c r="J81" s="18" t="n">
        <x:v>325</x:v>
      </x:c>
      <x:c r="K81" s="18" t="n">
        <x:f>SUM(AM81,BF81,W81,AD81)</x:f>
        <x:v>150</x:v>
      </x:c>
      <x:c r="L81" s="18" t="n">
        <x:f>Q81+R81</x:f>
        <x:v>164</x:v>
      </x:c>
      <x:c r="M81" s="19" t="n">
        <x:f>IFERROR(K81/J81,0)</x:f>
        <x:v>0.46153846153846156</x:v>
      </x:c>
      <x:c r="N81" s="19" t="n">
        <x:f>IFERROR(L81/J81,0)</x:f>
        <x:v>0.5046153846153846</x:v>
      </x:c>
      <x:c r="O81" s="17" t="str">
        <x:f>IF(K81&gt;MAX(L81,S81),"קואליציית ההקמה 2022",IF(L81&gt;MAX(K81,S81),"אופוזיציה רחבה 2022","רשימות אחרות"))</x:f>
        <x:v>אופוזיציה רחבה 2022</x:v>
      </x:c>
      <x:c r="P81" s="17" t="str">
        <x:f>IF(AND(H81&lt;50%,N81&gt;50%),"כן","לא")</x:f>
        <x:v>לא</x:v>
      </x:c>
      <x:c r="Q81" s="18" t="n">
        <x:f>SUM(AV81,AJ81,AL81,T81,AN81)</x:f>
        <x:v>158</x:v>
      </x:c>
      <x:c r="R81" s="18" t="n">
        <x:f>SUM(Y81,AU81,X81)</x:f>
        <x:v>6</x:v>
      </x:c>
      <x:c r="S81" s="18" t="n">
        <x:f>J81-K81-L81</x:f>
        <x:v>11</x:v>
      </x:c>
      <x:c r="T81" s="18" t="n">
        <x:v>8</x:v>
      </x:c>
      <x:c r="U81" s="18" t="n">
        <x:v>1</x:v>
      </x:c>
      <x:c r="V81" s="18" t="n">
        <x:v>0</x:v>
      </x:c>
      <x:c r="W81" s="18" t="n">
        <x:v>0</x:v>
      </x:c>
      <x:c r="X81" s="18" t="n">
        <x:v>4</x:v>
      </x:c>
      <x:c r="Y81" s="18" t="n">
        <x:v>1</x:v>
      </x:c>
      <x:c r="Z81" s="18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22</x:v>
      </x:c>
      <x:c r="AE81" s="18" t="n">
        <x:v>0</x:v>
      </x:c>
      <x:c r="AF81" s="18" t="n">
        <x:v>1</x:v>
      </x:c>
      <x:c r="AG81" s="18" t="n">
        <x:v>0</x:v>
      </x:c>
      <x:c r="AH81" s="18" t="n">
        <x:v>0</x:v>
      </x:c>
      <x:c r="AI81" s="18" t="n">
        <x:v>0</x:v>
      </x:c>
      <x:c r="AJ81" s="18" t="n">
        <x:v>24</x:v>
      </x:c>
      <x:c r="AK81" s="18" t="n">
        <x:v>0</x:v>
      </x:c>
      <x:c r="AL81" s="18" t="n">
        <x:v>45</x:v>
      </x:c>
      <x:c r="AM81" s="18" t="n">
        <x:v>103</x:v>
      </x:c>
      <x:c r="AN81" s="18" t="n">
        <x:v>6</x:v>
      </x:c>
      <x:c r="AO81" s="18" t="n">
        <x:v>1</x:v>
      </x:c>
      <x:c r="AP81" s="18" t="n">
        <x:v>0</x:v>
      </x:c>
      <x:c r="AQ81" s="18" t="n">
        <x:v>0</x:v>
      </x:c>
      <x:c r="AR81" s="18" t="n">
        <x:v>0</x:v>
      </x:c>
      <x:c r="AS81" s="18" t="n">
        <x:v>0</x:v>
      </x:c>
      <x:c r="AT81" s="18" t="n">
        <x:v>0</x:v>
      </x:c>
      <x:c r="AU81" s="18" t="n">
        <x:v>1</x:v>
      </x:c>
      <x:c r="AV81" s="18" t="n">
        <x:v>75</x:v>
      </x:c>
      <x:c r="AW81" s="18" t="n">
        <x:v>0</x:v>
      </x:c>
      <x:c r="AX81" s="18" t="n">
        <x:v>1</x:v>
      </x:c>
      <x:c r="AY81" s="18" t="n">
        <x:v>0</x:v>
      </x:c>
      <x:c r="AZ81" s="18" t="n">
        <x:v>1</x:v>
      </x:c>
      <x:c r="BA81" s="18" t="n">
        <x:v>0</x:v>
      </x:c>
      <x:c r="BB81" s="18" t="n">
        <x:v>0</x:v>
      </x:c>
      <x:c r="BC81" s="18" t="n">
        <x:v>0</x:v>
      </x:c>
      <x:c r="BD81" s="18" t="n">
        <x:v>3</x:v>
      </x:c>
      <x:c r="BE81" s="18" t="n">
        <x:v>2</x:v>
      </x:c>
      <x:c r="BF81" s="18" t="n">
        <x:v>25</x:v>
      </x:c>
      <x:c r="BG81" s="18" t="n">
        <x:v>1</x:v>
      </x:c>
    </x:row>
    <x:row r="82">
      <x:c r="A82" s="29" t="str">
        <x:v>155.2</x:v>
      </x:c>
      <x:c r="B82" s="17" t="n">
        <x:v>2987</x:v>
      </x:c>
      <x:c r="C82" s="17" t="str">
        <x:v>בי"ס עין הים</x:v>
      </x:c>
      <x:c r="D82" s="17" t="str">
        <x:v>יציאת אירופה 17</x:v>
      </x:c>
      <x:c r="E82" s="17" t="str">
        <x:v>גבוה מאוד</x:v>
      </x:c>
      <x:c r="F82" s="18" t="n">
        <x:v>651</x:v>
      </x:c>
      <x:c r="G82" s="18" t="n">
        <x:v>329</x:v>
      </x:c>
      <x:c r="H82" s="19" t="n">
        <x:f>IFERROR(G82/F82,0)</x:f>
        <x:v>0.5053763440860215</x:v>
      </x:c>
      <x:c r="I82" s="18" t="n">
        <x:v>4</x:v>
      </x:c>
      <x:c r="J82" s="18" t="n">
        <x:v>325</x:v>
      </x:c>
      <x:c r="K82" s="18" t="n">
        <x:f>SUM(AM82,BF82,W82,AD82)</x:f>
        <x:v>147</x:v>
      </x:c>
      <x:c r="L82" s="18" t="n">
        <x:f>Q82+R82</x:f>
        <x:v>171</x:v>
      </x:c>
      <x:c r="M82" s="19" t="n">
        <x:f>IFERROR(K82/J82,0)</x:f>
        <x:v>0.4523076923076923</x:v>
      </x:c>
      <x:c r="N82" s="19" t="n">
        <x:f>IFERROR(L82/J82,0)</x:f>
        <x:v>0.5261538461538462</x:v>
      </x:c>
      <x:c r="O82" s="17" t="str">
        <x:f>IF(K82&gt;MAX(L82,S82),"קואליציית ההקמה 2022",IF(L82&gt;MAX(K82,S82),"אופוזיציה רחבה 2022","רשימות אחרות"))</x:f>
        <x:v>אופוזיציה רחבה 2022</x:v>
      </x:c>
      <x:c r="P82" s="17" t="str">
        <x:f>IF(AND(H82&lt;50%,N82&gt;50%),"כן","לא")</x:f>
        <x:v>לא</x:v>
      </x:c>
      <x:c r="Q82" s="18" t="n">
        <x:f>SUM(AV82,AJ82,AL82,T82,AN82)</x:f>
        <x:v>166</x:v>
      </x:c>
      <x:c r="R82" s="18" t="n">
        <x:f>SUM(Y82,AU82,X82)</x:f>
        <x:v>5</x:v>
      </x:c>
      <x:c r="S82" s="18" t="n">
        <x:f>J82-K82-L82</x:f>
        <x:v>7</x:v>
      </x:c>
      <x:c r="T82" s="18" t="n">
        <x:v>9</x:v>
      </x:c>
      <x:c r="U82" s="18" t="n">
        <x:v>1</x:v>
      </x:c>
      <x:c r="V82" s="18" t="n">
        <x:v>2</x:v>
      </x:c>
      <x:c r="W82" s="18" t="n">
        <x:v>0</x:v>
      </x:c>
      <x:c r="X82" s="18" t="n">
        <x:v>3</x:v>
      </x:c>
      <x:c r="Y82" s="18" t="n">
        <x:v>2</x:v>
      </x:c>
      <x:c r="Z82" s="18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19</x:v>
      </x:c>
      <x:c r="AE82" s="18" t="n">
        <x:v>1</x:v>
      </x:c>
      <x:c r="AF82" s="18" t="n">
        <x:v>2</x:v>
      </x:c>
      <x:c r="AG82" s="18" t="n">
        <x:v>0</x:v>
      </x:c>
      <x:c r="AH82" s="18" t="n">
        <x:v>0</x:v>
      </x:c>
      <x:c r="AI82" s="18" t="n">
        <x:v>0</x:v>
      </x:c>
      <x:c r="AJ82" s="18" t="n">
        <x:v>15</x:v>
      </x:c>
      <x:c r="AK82" s="18" t="n">
        <x:v>0</x:v>
      </x:c>
      <x:c r="AL82" s="18" t="n">
        <x:v>61</x:v>
      </x:c>
      <x:c r="AM82" s="18" t="n">
        <x:v>110</x:v>
      </x:c>
      <x:c r="AN82" s="18" t="n">
        <x:v>7</x:v>
      </x:c>
      <x:c r="AO82" s="18" t="n">
        <x:v>0</x:v>
      </x:c>
      <x:c r="AP82" s="18" t="n">
        <x:v>0</x:v>
      </x:c>
      <x:c r="AQ82" s="18" t="n">
        <x:v>0</x:v>
      </x:c>
      <x:c r="AR82" s="18" t="n">
        <x:v>0</x:v>
      </x:c>
      <x:c r="AS82" s="18" t="n">
        <x:v>0</x:v>
      </x:c>
      <x:c r="AT82" s="18" t="n">
        <x:v>0</x:v>
      </x:c>
      <x:c r="AU82" s="18" t="n">
        <x:v>0</x:v>
      </x:c>
      <x:c r="AV82" s="18" t="n">
        <x:v>74</x:v>
      </x:c>
      <x:c r="AW82" s="18" t="n">
        <x:v>0</x:v>
      </x:c>
      <x:c r="AX82" s="18" t="n">
        <x:v>0</x:v>
      </x:c>
      <x:c r="AY82" s="18" t="n">
        <x:v>0</x:v>
      </x:c>
      <x:c r="AZ82" s="18" t="n">
        <x:v>0</x:v>
      </x:c>
      <x:c r="BA82" s="18" t="n">
        <x:v>0</x:v>
      </x:c>
      <x:c r="BB82" s="18" t="n">
        <x:v>0</x:v>
      </x:c>
      <x:c r="BC82" s="18" t="n">
        <x:v>0</x:v>
      </x:c>
      <x:c r="BD82" s="18" t="n">
        <x:v>1</x:v>
      </x:c>
      <x:c r="BE82" s="18" t="n">
        <x:v>0</x:v>
      </x:c>
      <x:c r="BF82" s="18" t="n">
        <x:v>18</x:v>
      </x:c>
      <x:c r="BG82" s="18" t="n">
        <x:v>0</x:v>
      </x:c>
    </x:row>
    <x:row r="83">
      <x:c r="A83" s="29" t="str">
        <x:v>155.3</x:v>
      </x:c>
      <x:c r="B83" s="17" t="n">
        <x:v>2988</x:v>
      </x:c>
      <x:c r="C83" s="17" t="str">
        <x:v>בי"ס עין הים</x:v>
      </x:c>
      <x:c r="D83" s="17" t="str">
        <x:v>יציאת אירופה 17</x:v>
      </x:c>
      <x:c r="E83" s="17" t="str">
        <x:v>גבוה מאוד</x:v>
      </x:c>
      <x:c r="F83" s="18" t="n">
        <x:v>651</x:v>
      </x:c>
      <x:c r="G83" s="18" t="n">
        <x:v>320</x:v>
      </x:c>
      <x:c r="H83" s="19" t="n">
        <x:f>IFERROR(G83/F83,0)</x:f>
        <x:v>0.4915514592933948</x:v>
      </x:c>
      <x:c r="I83" s="18" t="n">
        <x:v>2</x:v>
      </x:c>
      <x:c r="J83" s="18" t="n">
        <x:v>318</x:v>
      </x:c>
      <x:c r="K83" s="18" t="n">
        <x:f>SUM(AM83,BF83,W83,AD83)</x:f>
        <x:v>140</x:v>
      </x:c>
      <x:c r="L83" s="18" t="n">
        <x:f>Q83+R83</x:f>
        <x:v>171</x:v>
      </x:c>
      <x:c r="M83" s="19" t="n">
        <x:f>IFERROR(K83/J83,0)</x:f>
        <x:v>0.44025157232704404</x:v>
      </x:c>
      <x:c r="N83" s="19" t="n">
        <x:f>IFERROR(L83/J83,0)</x:f>
        <x:v>0.5377358490566038</x:v>
      </x:c>
      <x:c r="O83" s="17" t="str">
        <x:f>IF(K83&gt;MAX(L83,S83),"קואליציית ההקמה 2022",IF(L83&gt;MAX(K83,S83),"אופוזיציה רחבה 2022","רשימות אחרות"))</x:f>
        <x:v>אופוזיציה רחבה 2022</x:v>
      </x:c>
      <x:c r="P83" s="17" t="str">
        <x:f>IF(AND(H83&lt;50%,N83&gt;50%),"כן","לא")</x:f>
        <x:v>כן</x:v>
      </x:c>
      <x:c r="Q83" s="18" t="n">
        <x:f>SUM(AV83,AJ83,AL83,T83,AN83)</x:f>
        <x:v>164</x:v>
      </x:c>
      <x:c r="R83" s="18" t="n">
        <x:f>SUM(Y83,AU83,X83)</x:f>
        <x:v>7</x:v>
      </x:c>
      <x:c r="S83" s="18" t="n">
        <x:f>J83-K83-L83</x:f>
        <x:v>7</x:v>
      </x:c>
      <x:c r="T83" s="18" t="n">
        <x:v>5</x:v>
      </x:c>
      <x:c r="U83" s="18" t="n">
        <x:v>1</x:v>
      </x:c>
      <x:c r="V83" s="18" t="n">
        <x:v>1</x:v>
      </x:c>
      <x:c r="W83" s="18" t="n">
        <x:v>3</x:v>
      </x:c>
      <x:c r="X83" s="18" t="n">
        <x:v>3</x:v>
      </x:c>
      <x:c r="Y83" s="18" t="n">
        <x:v>4</x:v>
      </x:c>
      <x:c r="Z83" s="18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23</x:v>
      </x:c>
      <x:c r="AE83" s="18" t="n">
        <x:v>0</x:v>
      </x:c>
      <x:c r="AF83" s="18" t="n">
        <x:v>2</x:v>
      </x:c>
      <x:c r="AG83" s="18" t="n">
        <x:v>0</x:v>
      </x:c>
      <x:c r="AH83" s="18" t="n">
        <x:v>0</x:v>
      </x:c>
      <x:c r="AI83" s="18" t="n">
        <x:v>0</x:v>
      </x:c>
      <x:c r="AJ83" s="18" t="n">
        <x:v>14</x:v>
      </x:c>
      <x:c r="AK83" s="18" t="n">
        <x:v>0</x:v>
      </x:c>
      <x:c r="AL83" s="18" t="n">
        <x:v>59</x:v>
      </x:c>
      <x:c r="AM83" s="18" t="n">
        <x:v>102</x:v>
      </x:c>
      <x:c r="AN83" s="18" t="n">
        <x:v>10</x:v>
      </x:c>
      <x:c r="AO83" s="18" t="n">
        <x:v>0</x:v>
      </x:c>
      <x:c r="AP83" s="18" t="n">
        <x:v>0</x:v>
      </x:c>
      <x:c r="AQ83" s="18" t="n">
        <x:v>0</x:v>
      </x:c>
      <x:c r="AR83" s="18" t="n">
        <x:v>0</x:v>
      </x:c>
      <x:c r="AS83" s="18" t="n">
        <x:v>0</x:v>
      </x:c>
      <x:c r="AT83" s="18" t="n">
        <x:v>0</x:v>
      </x:c>
      <x:c r="AU83" s="18" t="n">
        <x:v>0</x:v>
      </x:c>
      <x:c r="AV83" s="18" t="n">
        <x:v>76</x:v>
      </x:c>
      <x:c r="AW83" s="18" t="n">
        <x:v>0</x:v>
      </x:c>
      <x:c r="AX83" s="18" t="n">
        <x:v>0</x:v>
      </x:c>
      <x:c r="AY83" s="18" t="n">
        <x:v>0</x:v>
      </x:c>
      <x:c r="AZ83" s="18" t="n">
        <x:v>0</x:v>
      </x:c>
      <x:c r="BA83" s="18" t="n">
        <x:v>0</x:v>
      </x:c>
      <x:c r="BB83" s="18" t="n">
        <x:v>0</x:v>
      </x:c>
      <x:c r="BC83" s="18" t="n">
        <x:v>1</x:v>
      </x:c>
      <x:c r="BD83" s="18" t="n">
        <x:v>1</x:v>
      </x:c>
      <x:c r="BE83" s="18" t="n">
        <x:v>0</x:v>
      </x:c>
      <x:c r="BF83" s="18" t="n">
        <x:v>12</x:v>
      </x:c>
      <x:c r="BG83" s="18" t="n">
        <x:v>1</x:v>
      </x:c>
    </x:row>
    <x:row r="84">
      <x:c r="A84" s="29" t="str">
        <x:v>155.4</x:v>
      </x:c>
      <x:c r="B84" s="17" t="n">
        <x:v>2989</x:v>
      </x:c>
      <x:c r="C84" s="17" t="str">
        <x:v>בי"ס עין הים</x:v>
      </x:c>
      <x:c r="D84" s="17" t="str">
        <x:v>יציאת אירופה 17</x:v>
      </x:c>
      <x:c r="E84" s="17" t="str">
        <x:v>גבוה מאוד</x:v>
      </x:c>
      <x:c r="F84" s="18" t="n">
        <x:v>651</x:v>
      </x:c>
      <x:c r="G84" s="18" t="n">
        <x:v>328</x:v>
      </x:c>
      <x:c r="H84" s="19" t="n">
        <x:f>IFERROR(G84/F84,0)</x:f>
        <x:v>0.5038402457757296</x:v>
      </x:c>
      <x:c r="I84" s="18" t="n">
        <x:v>4</x:v>
      </x:c>
      <x:c r="J84" s="18" t="n">
        <x:v>324</x:v>
      </x:c>
      <x:c r="K84" s="18" t="n">
        <x:f>SUM(AM84,BF84,W84,AD84)</x:f>
        <x:v>124</x:v>
      </x:c>
      <x:c r="L84" s="18" t="n">
        <x:f>Q84+R84</x:f>
        <x:v>196</x:v>
      </x:c>
      <x:c r="M84" s="19" t="n">
        <x:f>IFERROR(K84/J84,0)</x:f>
        <x:v>0.38271604938271603</x:v>
      </x:c>
      <x:c r="N84" s="19" t="n">
        <x:f>IFERROR(L84/J84,0)</x:f>
        <x:v>0.6049382716049383</x:v>
      </x:c>
      <x:c r="O84" s="17" t="str">
        <x:f>IF(K84&gt;MAX(L84,S84),"קואליציית ההקמה 2022",IF(L84&gt;MAX(K84,S84),"אופוזיציה רחבה 2022","רשימות אחרות"))</x:f>
        <x:v>אופוזיציה רחבה 2022</x:v>
      </x:c>
      <x:c r="P84" s="17" t="str">
        <x:f>IF(AND(H84&lt;50%,N84&gt;50%),"כן","לא")</x:f>
        <x:v>לא</x:v>
      </x:c>
      <x:c r="Q84" s="18" t="n">
        <x:f>SUM(AV84,AJ84,AL84,T84,AN84)</x:f>
        <x:v>171</x:v>
      </x:c>
      <x:c r="R84" s="18" t="n">
        <x:f>SUM(Y84,AU84,X84)</x:f>
        <x:v>25</x:v>
      </x:c>
      <x:c r="S84" s="18" t="n">
        <x:f>J84-K84-L84</x:f>
        <x:v>4</x:v>
      </x:c>
      <x:c r="T84" s="18" t="n">
        <x:v>5</x:v>
      </x:c>
      <x:c r="U84" s="18" t="n">
        <x:v>0</x:v>
      </x:c>
      <x:c r="V84" s="18" t="n">
        <x:v>1</x:v>
      </x:c>
      <x:c r="W84" s="18" t="n">
        <x:v>4</x:v>
      </x:c>
      <x:c r="X84" s="18" t="n">
        <x:v>8</x:v>
      </x:c>
      <x:c r="Y84" s="18" t="n">
        <x:v>16</x:v>
      </x:c>
      <x:c r="Z84" s="18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17</x:v>
      </x:c>
      <x:c r="AE84" s="18" t="n">
        <x:v>1</x:v>
      </x:c>
      <x:c r="AF84" s="18" t="n">
        <x:v>0</x:v>
      </x:c>
      <x:c r="AG84" s="18" t="n">
        <x:v>0</x:v>
      </x:c>
      <x:c r="AH84" s="18" t="n">
        <x:v>0</x:v>
      </x:c>
      <x:c r="AI84" s="18" t="n">
        <x:v>0</x:v>
      </x:c>
      <x:c r="AJ84" s="18" t="n">
        <x:v>28</x:v>
      </x:c>
      <x:c r="AK84" s="18" t="n">
        <x:v>0</x:v>
      </x:c>
      <x:c r="AL84" s="18" t="n">
        <x:v>63</x:v>
      </x:c>
      <x:c r="AM84" s="18" t="n">
        <x:v>85</x:v>
      </x:c>
      <x:c r="AN84" s="18" t="n">
        <x:v>3</x:v>
      </x:c>
      <x:c r="AO84" s="18" t="n">
        <x:v>0</x:v>
      </x:c>
      <x:c r="AP84" s="18" t="n">
        <x:v>0</x:v>
      </x:c>
      <x:c r="AQ84" s="18" t="n">
        <x:v>0</x:v>
      </x:c>
      <x:c r="AR84" s="18" t="n">
        <x:v>0</x:v>
      </x:c>
      <x:c r="AS84" s="18" t="n">
        <x:v>0</x:v>
      </x:c>
      <x:c r="AT84" s="18" t="n">
        <x:v>0</x:v>
      </x:c>
      <x:c r="AU84" s="18" t="n">
        <x:v>1</x:v>
      </x:c>
      <x:c r="AV84" s="18" t="n">
        <x:v>72</x:v>
      </x:c>
      <x:c r="AW84" s="18" t="n">
        <x:v>0</x:v>
      </x:c>
      <x:c r="AX84" s="18" t="n">
        <x:v>0</x:v>
      </x:c>
      <x:c r="AY84" s="18" t="n">
        <x:v>0</x:v>
      </x:c>
      <x:c r="AZ84" s="18" t="n">
        <x:v>0</x:v>
      </x:c>
      <x:c r="BA84" s="18" t="n">
        <x:v>0</x:v>
      </x:c>
      <x:c r="BB84" s="18" t="n">
        <x:v>0</x:v>
      </x:c>
      <x:c r="BC84" s="18" t="n">
        <x:v>0</x:v>
      </x:c>
      <x:c r="BD84" s="18" t="n">
        <x:v>1</x:v>
      </x:c>
      <x:c r="BE84" s="18" t="n">
        <x:v>1</x:v>
      </x:c>
      <x:c r="BF84" s="18" t="n">
        <x:v>18</x:v>
      </x:c>
      <x:c r="BG84" s="18" t="n">
        <x:v>0</x:v>
      </x:c>
    </x:row>
    <x:row r="85">
      <x:c r="A85" s="29" t="str">
        <x:v>155.5</x:v>
      </x:c>
      <x:c r="B85" s="17" t="n">
        <x:v>2990</x:v>
      </x:c>
      <x:c r="C85" s="17" t="str">
        <x:v>בי"ס עין הים</x:v>
      </x:c>
      <x:c r="D85" s="17" t="str">
        <x:v>יציאת אירופה 17</x:v>
      </x:c>
      <x:c r="E85" s="17" t="str">
        <x:v>גבוה מאוד</x:v>
      </x:c>
      <x:c r="F85" s="18" t="n">
        <x:v>651</x:v>
      </x:c>
      <x:c r="G85" s="18" t="n">
        <x:v>301</x:v>
      </x:c>
      <x:c r="H85" s="19" t="n">
        <x:f>IFERROR(G85/F85,0)</x:f>
        <x:v>0.46236559139784944</x:v>
      </x:c>
      <x:c r="I85" s="18" t="n">
        <x:v>3</x:v>
      </x:c>
      <x:c r="J85" s="18" t="n">
        <x:v>298</x:v>
      </x:c>
      <x:c r="K85" s="18" t="n">
        <x:f>SUM(AM85,BF85,W85,AD85)</x:f>
        <x:v>121</x:v>
      </x:c>
      <x:c r="L85" s="18" t="n">
        <x:f>Q85+R85</x:f>
        <x:v>174</x:v>
      </x:c>
      <x:c r="M85" s="19" t="n">
        <x:f>IFERROR(K85/J85,0)</x:f>
        <x:v>0.40604026845637586</x:v>
      </x:c>
      <x:c r="N85" s="19" t="n">
        <x:f>IFERROR(L85/J85,0)</x:f>
        <x:v>0.5838926174496645</x:v>
      </x:c>
      <x:c r="O85" s="17" t="str">
        <x:f>IF(K85&gt;MAX(L85,S85),"קואליציית ההקמה 2022",IF(L85&gt;MAX(K85,S85),"אופוזיציה רחבה 2022","רשימות אחרות"))</x:f>
        <x:v>אופוזיציה רחבה 2022</x:v>
      </x:c>
      <x:c r="P85" s="17" t="str">
        <x:f>IF(AND(H85&lt;50%,N85&gt;50%),"כן","לא")</x:f>
        <x:v>כן</x:v>
      </x:c>
      <x:c r="Q85" s="18" t="n">
        <x:f>SUM(AV85,AJ85,AL85,T85,AN85)</x:f>
        <x:v>166</x:v>
      </x:c>
      <x:c r="R85" s="18" t="n">
        <x:f>SUM(Y85,AU85,X85)</x:f>
        <x:v>8</x:v>
      </x:c>
      <x:c r="S85" s="18" t="n">
        <x:f>J85-K85-L85</x:f>
        <x:v>3</x:v>
      </x:c>
      <x:c r="T85" s="18" t="n">
        <x:v>8</x:v>
      </x:c>
      <x:c r="U85" s="18" t="n">
        <x:v>0</x:v>
      </x:c>
      <x:c r="V85" s="18" t="n">
        <x:v>0</x:v>
      </x:c>
      <x:c r="W85" s="18" t="n">
        <x:v>0</x:v>
      </x:c>
      <x:c r="X85" s="18" t="n">
        <x:v>1</x:v>
      </x:c>
      <x:c r="Y85" s="18" t="n">
        <x:v>6</x:v>
      </x:c>
      <x:c r="Z85" s="18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19</x:v>
      </x:c>
      <x:c r="AE85" s="18" t="n">
        <x:v>0</x:v>
      </x:c>
      <x:c r="AF85" s="18" t="n">
        <x:v>2</x:v>
      </x:c>
      <x:c r="AG85" s="18" t="n">
        <x:v>0</x:v>
      </x:c>
      <x:c r="AH85" s="18" t="n">
        <x:v>0</x:v>
      </x:c>
      <x:c r="AI85" s="18" t="n">
        <x:v>0</x:v>
      </x:c>
      <x:c r="AJ85" s="18" t="n">
        <x:v>19</x:v>
      </x:c>
      <x:c r="AK85" s="18" t="n">
        <x:v>0</x:v>
      </x:c>
      <x:c r="AL85" s="18" t="n">
        <x:v>58</x:v>
      </x:c>
      <x:c r="AM85" s="18" t="n">
        <x:v>83</x:v>
      </x:c>
      <x:c r="AN85" s="18" t="n">
        <x:v>4</x:v>
      </x:c>
      <x:c r="AO85" s="18" t="n">
        <x:v>0</x:v>
      </x:c>
      <x:c r="AP85" s="18" t="n">
        <x:v>0</x:v>
      </x:c>
      <x:c r="AQ85" s="18" t="n">
        <x:v>0</x:v>
      </x:c>
      <x:c r="AR85" s="18" t="n">
        <x:v>0</x:v>
      </x:c>
      <x:c r="AS85" s="18" t="n">
        <x:v>0</x:v>
      </x:c>
      <x:c r="AT85" s="18" t="n">
        <x:v>0</x:v>
      </x:c>
      <x:c r="AU85" s="18" t="n">
        <x:v>1</x:v>
      </x:c>
      <x:c r="AV85" s="18" t="n">
        <x:v>77</x:v>
      </x:c>
      <x:c r="AW85" s="18" t="n">
        <x:v>0</x:v>
      </x:c>
      <x:c r="AX85" s="18" t="n">
        <x:v>0</x:v>
      </x:c>
      <x:c r="AY85" s="18" t="n">
        <x:v>0</x:v>
      </x:c>
      <x:c r="AZ85" s="18" t="n">
        <x:v>0</x:v>
      </x:c>
      <x:c r="BA85" s="18" t="n">
        <x:v>0</x:v>
      </x:c>
      <x:c r="BB85" s="18" t="n">
        <x:v>0</x:v>
      </x:c>
      <x:c r="BC85" s="18" t="n">
        <x:v>0</x:v>
      </x:c>
      <x:c r="BD85" s="18" t="n">
        <x:v>1</x:v>
      </x:c>
      <x:c r="BE85" s="18" t="n">
        <x:v>0</x:v>
      </x:c>
      <x:c r="BF85" s="18" t="n">
        <x:v>19</x:v>
      </x:c>
      <x:c r="BG85" s="18" t="n">
        <x:v>0</x:v>
      </x:c>
    </x:row>
    <x:row r="86">
      <x:c r="A86" s="29" t="str">
        <x:v>159</x:v>
      </x:c>
      <x:c r="B86" s="17" t="n">
        <x:v>2946</x:v>
      </x:c>
      <x:c r="C86" s="17" t="str">
        <x:v>אשכול פייס</x:v>
      </x:c>
      <x:c r="D86" s="17" t="str">
        <x:v>צה"ל 41</x:v>
      </x:c>
      <x:c r="E86" s="17" t="str">
        <x:v>גבוה מאוד</x:v>
      </x:c>
      <x:c r="F86" s="18" t="n">
        <x:v>513</x:v>
      </x:c>
      <x:c r="G86" s="18" t="n">
        <x:v>239</x:v>
      </x:c>
      <x:c r="H86" s="19" t="n">
        <x:f>IFERROR(G86/F86,0)</x:f>
        <x:v>0.46588693957115007</x:v>
      </x:c>
      <x:c r="I86" s="18" t="n">
        <x:v>5</x:v>
      </x:c>
      <x:c r="J86" s="18" t="n">
        <x:v>234</x:v>
      </x:c>
      <x:c r="K86" s="18" t="n">
        <x:f>SUM(AM86,BF86,W86,AD86)</x:f>
        <x:v>78</x:v>
      </x:c>
      <x:c r="L86" s="18" t="n">
        <x:f>Q86+R86</x:f>
        <x:v>149</x:v>
      </x:c>
      <x:c r="M86" s="19" t="n">
        <x:f>IFERROR(K86/J86,0)</x:f>
        <x:v>0.3333333333333333</x:v>
      </x:c>
      <x:c r="N86" s="19" t="n">
        <x:f>IFERROR(L86/J86,0)</x:f>
        <x:v>0.6367521367521367</x:v>
      </x:c>
      <x:c r="O86" s="17" t="str">
        <x:f>IF(K86&gt;MAX(L86,S86),"קואליציית ההקמה 2022",IF(L86&gt;MAX(K86,S86),"אופוזיציה רחבה 2022","רשימות אחרות"))</x:f>
        <x:v>אופוזיציה רחבה 2022</x:v>
      </x:c>
      <x:c r="P86" s="17" t="str">
        <x:f>IF(AND(H86&lt;50%,N86&gt;50%),"כן","לא")</x:f>
        <x:v>כן</x:v>
      </x:c>
      <x:c r="Q86" s="18" t="n">
        <x:f>SUM(AV86,AJ86,AL86,T86,AN86)</x:f>
        <x:v>131</x:v>
      </x:c>
      <x:c r="R86" s="18" t="n">
        <x:f>SUM(Y86,AU86,X86)</x:f>
        <x:v>18</x:v>
      </x:c>
      <x:c r="S86" s="18" t="n">
        <x:f>J86-K86-L86</x:f>
        <x:v>7</x:v>
      </x:c>
      <x:c r="T86" s="18" t="n">
        <x:v>5</x:v>
      </x:c>
      <x:c r="U86" s="18" t="n">
        <x:v>1</x:v>
      </x:c>
      <x:c r="V86" s="18" t="n">
        <x:v>1</x:v>
      </x:c>
      <x:c r="W86" s="18" t="n">
        <x:v>3</x:v>
      </x:c>
      <x:c r="X86" s="18" t="n">
        <x:v>7</x:v>
      </x:c>
      <x:c r="Y86" s="18" t="n">
        <x:v>9</x:v>
      </x:c>
      <x:c r="Z86" s="18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16</x:v>
      </x:c>
      <x:c r="AE86" s="18" t="n">
        <x:v>0</x:v>
      </x:c>
      <x:c r="AF86" s="18" t="n">
        <x:v>2</x:v>
      </x:c>
      <x:c r="AG86" s="18" t="n">
        <x:v>0</x:v>
      </x:c>
      <x:c r="AH86" s="18" t="n">
        <x:v>0</x:v>
      </x:c>
      <x:c r="AI86" s="18" t="n">
        <x:v>0</x:v>
      </x:c>
      <x:c r="AJ86" s="18" t="n">
        <x:v>20</x:v>
      </x:c>
      <x:c r="AK86" s="18" t="n">
        <x:v>0</x:v>
      </x:c>
      <x:c r="AL86" s="18" t="n">
        <x:v>54</x:v>
      </x:c>
      <x:c r="AM86" s="18" t="n">
        <x:v>52</x:v>
      </x:c>
      <x:c r="AN86" s="18" t="n">
        <x:v>5</x:v>
      </x:c>
      <x:c r="AO86" s="18" t="n">
        <x:v>0</x:v>
      </x:c>
      <x:c r="AP86" s="18" t="n">
        <x:v>0</x:v>
      </x:c>
      <x:c r="AQ86" s="18" t="n">
        <x:v>0</x:v>
      </x:c>
      <x:c r="AR86" s="18" t="n">
        <x:v>0</x:v>
      </x:c>
      <x:c r="AS86" s="18" t="n">
        <x:v>0</x:v>
      </x:c>
      <x:c r="AT86" s="18" t="n">
        <x:v>0</x:v>
      </x:c>
      <x:c r="AU86" s="18" t="n">
        <x:v>2</x:v>
      </x:c>
      <x:c r="AV86" s="18" t="n">
        <x:v>47</x:v>
      </x:c>
      <x:c r="AW86" s="18" t="n">
        <x:v>1</x:v>
      </x:c>
      <x:c r="AX86" s="18" t="n">
        <x:v>1</x:v>
      </x:c>
      <x:c r="AY86" s="18" t="n">
        <x:v>0</x:v>
      </x:c>
      <x:c r="AZ86" s="18" t="n">
        <x:v>0</x:v>
      </x:c>
      <x:c r="BA86" s="18" t="n">
        <x:v>1</x:v>
      </x:c>
      <x:c r="BB86" s="18" t="n">
        <x:v>0</x:v>
      </x:c>
      <x:c r="BC86" s="18" t="n">
        <x:v>0</x:v>
      </x:c>
      <x:c r="BD86" s="18" t="n">
        <x:v>0</x:v>
      </x:c>
      <x:c r="BE86" s="18" t="n">
        <x:v>0</x:v>
      </x:c>
      <x:c r="BF86" s="18" t="n">
        <x:v>7</x:v>
      </x:c>
      <x:c r="BG86" s="18" t="n">
        <x:v>0</x:v>
      </x:c>
    </x:row>
    <x:row r="87">
      <x:c r="A87" s="29" t="str">
        <x:v>161</x:v>
      </x:c>
      <x:c r="B87" s="17" t="n">
        <x:v>2991</x:v>
      </x:c>
      <x:c r="C87" s="17" t="str">
        <x:v>בי"ס בסמת - חטיבה עליונה</x:v>
      </x:c>
      <x:c r="D87" s="17" t="str">
        <x:v>דוד המלך 28</x:v>
      </x:c>
      <x:c r="E87" s="17" t="str">
        <x:v>גבוה מאוד</x:v>
      </x:c>
      <x:c r="F87" s="18" t="n">
        <x:v>589</x:v>
      </x:c>
      <x:c r="G87" s="18" t="n">
        <x:v>285</x:v>
      </x:c>
      <x:c r="H87" s="19" t="n">
        <x:f>IFERROR(G87/F87,0)</x:f>
        <x:v>0.4838709677419355</x:v>
      </x:c>
      <x:c r="I87" s="18" t="n">
        <x:v>4</x:v>
      </x:c>
      <x:c r="J87" s="18" t="n">
        <x:v>281</x:v>
      </x:c>
      <x:c r="K87" s="18" t="n">
        <x:f>SUM(AM87,BF87,W87,AD87)</x:f>
        <x:v>107</x:v>
      </x:c>
      <x:c r="L87" s="18" t="n">
        <x:f>Q87+R87</x:f>
        <x:v>170</x:v>
      </x:c>
      <x:c r="M87" s="19" t="n">
        <x:f>IFERROR(K87/J87,0)</x:f>
        <x:v>0.3807829181494662</x:v>
      </x:c>
      <x:c r="N87" s="19" t="n">
        <x:f>IFERROR(L87/J87,0)</x:f>
        <x:v>0.604982206405694</x:v>
      </x:c>
      <x:c r="O87" s="17" t="str">
        <x:f>IF(K87&gt;MAX(L87,S87),"קואליציית ההקמה 2022",IF(L87&gt;MAX(K87,S87),"אופוזיציה רחבה 2022","רשימות אחרות"))</x:f>
        <x:v>אופוזיציה רחבה 2022</x:v>
      </x:c>
      <x:c r="P87" s="17" t="str">
        <x:f>IF(AND(H87&lt;50%,N87&gt;50%),"כן","לא")</x:f>
        <x:v>כן</x:v>
      </x:c>
      <x:c r="Q87" s="18" t="n">
        <x:f>SUM(AV87,AJ87,AL87,T87,AN87)</x:f>
        <x:v>165</x:v>
      </x:c>
      <x:c r="R87" s="18" t="n">
        <x:f>SUM(Y87,AU87,X87)</x:f>
        <x:v>5</x:v>
      </x:c>
      <x:c r="S87" s="18" t="n">
        <x:f>J87-K87-L87</x:f>
        <x:v>4</x:v>
      </x:c>
      <x:c r="T87" s="18" t="n">
        <x:v>3</x:v>
      </x:c>
      <x:c r="U87" s="18" t="n">
        <x:v>0</x:v>
      </x:c>
      <x:c r="V87" s="18" t="n">
        <x:v>1</x:v>
      </x:c>
      <x:c r="W87" s="18" t="n">
        <x:v>4</x:v>
      </x:c>
      <x:c r="X87" s="18" t="n">
        <x:v>5</x:v>
      </x:c>
      <x:c r="Y87" s="18" t="n">
        <x:v>0</x:v>
      </x:c>
      <x:c r="Z87" s="18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17</x:v>
      </x:c>
      <x:c r="AE87" s="18" t="n">
        <x:v>0</x:v>
      </x:c>
      <x:c r="AF87" s="18" t="n">
        <x:v>0</x:v>
      </x:c>
      <x:c r="AG87" s="18" t="n">
        <x:v>0</x:v>
      </x:c>
      <x:c r="AH87" s="18" t="n">
        <x:v>0</x:v>
      </x:c>
      <x:c r="AI87" s="18" t="n">
        <x:v>0</x:v>
      </x:c>
      <x:c r="AJ87" s="18" t="n">
        <x:v>27</x:v>
      </x:c>
      <x:c r="AK87" s="18" t="n">
        <x:v>0</x:v>
      </x:c>
      <x:c r="AL87" s="18" t="n">
        <x:v>58</x:v>
      </x:c>
      <x:c r="AM87" s="18" t="n">
        <x:v>71</x:v>
      </x:c>
      <x:c r="AN87" s="18" t="n">
        <x:v>2</x:v>
      </x:c>
      <x:c r="AO87" s="18" t="n">
        <x:v>1</x:v>
      </x:c>
      <x:c r="AP87" s="18" t="n">
        <x:v>0</x:v>
      </x:c>
      <x:c r="AQ87" s="18" t="n">
        <x:v>0</x:v>
      </x:c>
      <x:c r="AR87" s="18" t="n">
        <x:v>0</x:v>
      </x:c>
      <x:c r="AS87" s="18" t="n">
        <x:v>0</x:v>
      </x:c>
      <x:c r="AT87" s="18" t="n">
        <x:v>0</x:v>
      </x:c>
      <x:c r="AU87" s="18" t="n">
        <x:v>0</x:v>
      </x:c>
      <x:c r="AV87" s="18" t="n">
        <x:v>75</x:v>
      </x:c>
      <x:c r="AW87" s="18" t="n">
        <x:v>0</x:v>
      </x:c>
      <x:c r="AX87" s="18" t="n">
        <x:v>1</x:v>
      </x:c>
      <x:c r="AY87" s="18" t="n">
        <x:v>0</x:v>
      </x:c>
      <x:c r="AZ87" s="18" t="n">
        <x:v>0</x:v>
      </x:c>
      <x:c r="BA87" s="18" t="n">
        <x:v>0</x:v>
      </x:c>
      <x:c r="BB87" s="18" t="n">
        <x:v>0</x:v>
      </x:c>
      <x:c r="BC87" s="18" t="n">
        <x:v>0</x:v>
      </x:c>
      <x:c r="BD87" s="18" t="n">
        <x:v>1</x:v>
      </x:c>
      <x:c r="BE87" s="18" t="n">
        <x:v>0</x:v>
      </x:c>
      <x:c r="BF87" s="18" t="n">
        <x:v>15</x:v>
      </x:c>
      <x:c r="BG87" s="18" t="n">
        <x:v>0</x:v>
      </x:c>
    </x:row>
    <x:row r="88">
      <x:c r="A88" s="29" t="str">
        <x:v>162</x:v>
      </x:c>
      <x:c r="B88" s="17" t="n">
        <x:v>2992</x:v>
      </x:c>
      <x:c r="C88" s="17" t="str">
        <x:v>בי"ס חופית</x:v>
      </x:c>
      <x:c r="D88" s="17" t="str">
        <x:v>החיננית 3</x:v>
      </x:c>
      <x:c r="E88" s="17" t="str">
        <x:v>גבוה מאוד</x:v>
      </x:c>
      <x:c r="F88" s="18" t="n">
        <x:v>576</x:v>
      </x:c>
      <x:c r="G88" s="18" t="n">
        <x:v>299</x:v>
      </x:c>
      <x:c r="H88" s="19" t="n">
        <x:f>IFERROR(G88/F88,0)</x:f>
        <x:v>0.5190972222222222</x:v>
      </x:c>
      <x:c r="I88" s="18" t="n">
        <x:v>3</x:v>
      </x:c>
      <x:c r="J88" s="18" t="n">
        <x:v>296</x:v>
      </x:c>
      <x:c r="K88" s="18" t="n">
        <x:f>SUM(AM88,BF88,W88,AD88)</x:f>
        <x:v>158</x:v>
      </x:c>
      <x:c r="L88" s="18" t="n">
        <x:f>Q88+R88</x:f>
        <x:v>133</x:v>
      </x:c>
      <x:c r="M88" s="19" t="n">
        <x:f>IFERROR(K88/J88,0)</x:f>
        <x:v>0.5337837837837838</x:v>
      </x:c>
      <x:c r="N88" s="19" t="n">
        <x:f>IFERROR(L88/J88,0)</x:f>
        <x:v>0.44932432432432434</x:v>
      </x:c>
      <x:c r="O88" s="17" t="str">
        <x:f>IF(K88&gt;MAX(L88,S88),"קואליציית ההקמה 2022",IF(L88&gt;MAX(K88,S88),"אופוזיציה רחבה 2022","רשימות אחרות"))</x:f>
        <x:v>קואליציית ההקמה 2022</x:v>
      </x:c>
      <x:c r="P88" s="17" t="str">
        <x:f>IF(AND(H88&lt;50%,N88&gt;50%),"כן","לא")</x:f>
        <x:v>לא</x:v>
      </x:c>
      <x:c r="Q88" s="18" t="n">
        <x:f>SUM(AV88,AJ88,AL88,T88,AN88)</x:f>
        <x:v>130</x:v>
      </x:c>
      <x:c r="R88" s="18" t="n">
        <x:f>SUM(Y88,AU88,X88)</x:f>
        <x:v>3</x:v>
      </x:c>
      <x:c r="S88" s="18" t="n">
        <x:f>J88-K88-L88</x:f>
        <x:v>5</x:v>
      </x:c>
      <x:c r="T88" s="18" t="n">
        <x:v>4</x:v>
      </x:c>
      <x:c r="U88" s="18" t="n">
        <x:v>1</x:v>
      </x:c>
      <x:c r="V88" s="18" t="n">
        <x:v>0</x:v>
      </x:c>
      <x:c r="W88" s="18" t="n">
        <x:v>0</x:v>
      </x:c>
      <x:c r="X88" s="18" t="n">
        <x:v>3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25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18" t="n">
        <x:v>0</x:v>
      </x:c>
      <x:c r="AJ88" s="18" t="n">
        <x:v>13</x:v>
      </x:c>
      <x:c r="AK88" s="18" t="n">
        <x:v>0</x:v>
      </x:c>
      <x:c r="AL88" s="18" t="n">
        <x:v>50</x:v>
      </x:c>
      <x:c r="AM88" s="18" t="n">
        <x:v>112</x:v>
      </x:c>
      <x:c r="AN88" s="18" t="n">
        <x:v>5</x:v>
      </x:c>
      <x:c r="AO88" s="18" t="n">
        <x:v>0</x:v>
      </x:c>
      <x:c r="AP88" s="18" t="n">
        <x:v>0</x:v>
      </x:c>
      <x:c r="AQ88" s="18" t="n">
        <x:v>0</x:v>
      </x:c>
      <x:c r="AR88" s="18" t="n">
        <x:v>2</x:v>
      </x:c>
      <x:c r="AS88" s="18" t="n">
        <x:v>0</x:v>
      </x:c>
      <x:c r="AT88" s="18" t="n">
        <x:v>0</x:v>
      </x:c>
      <x:c r="AU88" s="18" t="n">
        <x:v>0</x:v>
      </x:c>
      <x:c r="AV88" s="18" t="n">
        <x:v>58</x:v>
      </x:c>
      <x:c r="AW88" s="18" t="n">
        <x:v>0</x:v>
      </x:c>
      <x:c r="AX88" s="18" t="n">
        <x:v>1</x:v>
      </x:c>
      <x:c r="AY88" s="18" t="n">
        <x:v>0</x:v>
      </x:c>
      <x:c r="AZ88" s="18" t="n">
        <x:v>0</x:v>
      </x:c>
      <x:c r="BA88" s="18" t="n">
        <x:v>0</x:v>
      </x:c>
      <x:c r="BB88" s="18" t="n">
        <x:v>0</x:v>
      </x:c>
      <x:c r="BC88" s="18" t="n">
        <x:v>0</x:v>
      </x:c>
      <x:c r="BD88" s="18" t="n">
        <x:v>0</x:v>
      </x:c>
      <x:c r="BE88" s="18" t="n">
        <x:v>0</x:v>
      </x:c>
      <x:c r="BF88" s="18" t="n">
        <x:v>21</x:v>
      </x:c>
      <x:c r="BG88" s="18" t="n">
        <x:v>1</x:v>
      </x:c>
    </x:row>
    <x:row r="89">
      <x:c r="A89" s="29" t="str">
        <x:v>163</x:v>
      </x:c>
      <x:c r="B89" s="17" t="n">
        <x:v>2993</x:v>
      </x:c>
      <x:c r="C89" s="17" t="str">
        <x:v>בי"ס חופית</x:v>
      </x:c>
      <x:c r="D89" s="17" t="str">
        <x:v>החיננית 3</x:v>
      </x:c>
      <x:c r="E89" s="17" t="str">
        <x:v>גבוה מאוד</x:v>
      </x:c>
      <x:c r="F89" s="18" t="n">
        <x:v>592</x:v>
      </x:c>
      <x:c r="G89" s="18" t="n">
        <x:v>318</x:v>
      </x:c>
      <x:c r="H89" s="19" t="n">
        <x:f>IFERROR(G89/F89,0)</x:f>
        <x:v>0.5371621621621622</x:v>
      </x:c>
      <x:c r="I89" s="18" t="n">
        <x:v>5</x:v>
      </x:c>
      <x:c r="J89" s="18" t="n">
        <x:v>313</x:v>
      </x:c>
      <x:c r="K89" s="18" t="n">
        <x:f>SUM(AM89,BF89,W89,AD89)</x:f>
        <x:v>146</x:v>
      </x:c>
      <x:c r="L89" s="18" t="n">
        <x:f>Q89+R89</x:f>
        <x:v>158</x:v>
      </x:c>
      <x:c r="M89" s="19" t="n">
        <x:f>IFERROR(K89/J89,0)</x:f>
        <x:v>0.46645367412140576</x:v>
      </x:c>
      <x:c r="N89" s="19" t="n">
        <x:f>IFERROR(L89/J89,0)</x:f>
        <x:v>0.5047923322683706</x:v>
      </x:c>
      <x:c r="O89" s="17" t="str">
        <x:f>IF(K89&gt;MAX(L89,S89),"קואליציית ההקמה 2022",IF(L89&gt;MAX(K89,S89),"אופוזיציה רחבה 2022","רשימות אחרות"))</x:f>
        <x:v>אופוזיציה רחבה 2022</x:v>
      </x:c>
      <x:c r="P89" s="17" t="str">
        <x:f>IF(AND(H89&lt;50%,N89&gt;50%),"כן","לא")</x:f>
        <x:v>לא</x:v>
      </x:c>
      <x:c r="Q89" s="18" t="n">
        <x:f>SUM(AV89,AJ89,AL89,T89,AN89)</x:f>
        <x:v>153</x:v>
      </x:c>
      <x:c r="R89" s="18" t="n">
        <x:f>SUM(Y89,AU89,X89)</x:f>
        <x:v>5</x:v>
      </x:c>
      <x:c r="S89" s="18" t="n">
        <x:f>J89-K89-L89</x:f>
        <x:v>9</x:v>
      </x:c>
      <x:c r="T89" s="18" t="n">
        <x:v>9</x:v>
      </x:c>
      <x:c r="U89" s="18" t="n">
        <x:v>2</x:v>
      </x:c>
      <x:c r="V89" s="18" t="n">
        <x:v>2</x:v>
      </x:c>
      <x:c r="W89" s="18" t="n">
        <x:v>0</x:v>
      </x:c>
      <x:c r="X89" s="18" t="n">
        <x:v>2</x:v>
      </x:c>
      <x:c r="Y89" s="18" t="n">
        <x:v>2</x:v>
      </x:c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16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18" t="n">
        <x:v>0</x:v>
      </x:c>
      <x:c r="AJ89" s="18" t="n">
        <x:v>26</x:v>
      </x:c>
      <x:c r="AK89" s="18" t="n">
        <x:v>0</x:v>
      </x:c>
      <x:c r="AL89" s="18" t="n">
        <x:v>67</x:v>
      </x:c>
      <x:c r="AM89" s="18" t="n">
        <x:v>110</x:v>
      </x:c>
      <x:c r="AN89" s="18" t="n">
        <x:v>1</x:v>
      </x:c>
      <x:c r="AO89" s="18" t="n">
        <x:v>0</x:v>
      </x:c>
      <x:c r="AP89" s="18" t="n">
        <x:v>1</x:v>
      </x:c>
      <x:c r="AQ89" s="18" t="n">
        <x:v>0</x:v>
      </x:c>
      <x:c r="AR89" s="18" t="n">
        <x:v>0</x:v>
      </x:c>
      <x:c r="AS89" s="18" t="n">
        <x:v>1</x:v>
      </x:c>
      <x:c r="AT89" s="18" t="n">
        <x:v>0</x:v>
      </x:c>
      <x:c r="AU89" s="18" t="n">
        <x:v>1</x:v>
      </x:c>
      <x:c r="AV89" s="18" t="n">
        <x:v>50</x:v>
      </x:c>
      <x:c r="AW89" s="18" t="n">
        <x:v>0</x:v>
      </x:c>
      <x:c r="AX89" s="18" t="n">
        <x:v>0</x:v>
      </x:c>
      <x:c r="AY89" s="18" t="n">
        <x:v>0</x:v>
      </x:c>
      <x:c r="AZ89" s="18" t="n">
        <x:v>1</x:v>
      </x:c>
      <x:c r="BA89" s="18" t="n">
        <x:v>0</x:v>
      </x:c>
      <x:c r="BB89" s="18" t="n">
        <x:v>0</x:v>
      </x:c>
      <x:c r="BC89" s="18" t="n">
        <x:v>1</x:v>
      </x:c>
      <x:c r="BD89" s="18" t="n">
        <x:v>0</x:v>
      </x:c>
      <x:c r="BE89" s="18" t="n">
        <x:v>1</x:v>
      </x:c>
      <x:c r="BF89" s="18" t="n">
        <x:v>20</x:v>
      </x:c>
      <x:c r="BG89" s="18" t="n">
        <x:v>0</x:v>
      </x:c>
    </x:row>
    <x:row r="90">
      <x:c r="A90" s="29" t="str">
        <x:v>164</x:v>
      </x:c>
      <x:c r="B90" s="17" t="n">
        <x:v>2994</x:v>
      </x:c>
      <x:c r="C90" s="17" t="str">
        <x:v>בי"ס בסמת - חטיבה עליונה</x:v>
      </x:c>
      <x:c r="D90" s="17" t="str">
        <x:v>דוד המלך 28</x:v>
      </x:c>
      <x:c r="E90" s="17" t="str">
        <x:v>גבוה מאוד</x:v>
      </x:c>
      <x:c r="F90" s="18" t="n">
        <x:v>679</x:v>
      </x:c>
      <x:c r="G90" s="18" t="n">
        <x:v>336</x:v>
      </x:c>
      <x:c r="H90" s="19" t="n">
        <x:f>IFERROR(G90/F90,0)</x:f>
        <x:v>0.4948453608247423</x:v>
      </x:c>
      <x:c r="I90" s="18" t="n">
        <x:v>1</x:v>
      </x:c>
      <x:c r="J90" s="18" t="n">
        <x:v>335</x:v>
      </x:c>
      <x:c r="K90" s="18" t="n">
        <x:f>SUM(AM90,BF90,W90,AD90)</x:f>
        <x:v>204</x:v>
      </x:c>
      <x:c r="L90" s="18" t="n">
        <x:f>Q90+R90</x:f>
        <x:v>123</x:v>
      </x:c>
      <x:c r="M90" s="19" t="n">
        <x:f>IFERROR(K90/J90,0)</x:f>
        <x:v>0.608955223880597</x:v>
      </x:c>
      <x:c r="N90" s="19" t="n">
        <x:f>IFERROR(L90/J90,0)</x:f>
        <x:v>0.36716417910447763</x:v>
      </x:c>
      <x:c r="O90" s="17" t="str">
        <x:f>IF(K90&gt;MAX(L90,S90),"קואליציית ההקמה 2022",IF(L90&gt;MAX(K90,S90),"אופוזיציה רחבה 2022","רשימות אחרות"))</x:f>
        <x:v>קואליציית ההקמה 2022</x:v>
      </x:c>
      <x:c r="P90" s="17" t="str">
        <x:f>IF(AND(H90&lt;50%,N90&gt;50%),"כן","לא")</x:f>
        <x:v>לא</x:v>
      </x:c>
      <x:c r="Q90" s="18" t="n">
        <x:f>SUM(AV90,AJ90,AL90,T90,AN90)</x:f>
        <x:v>117</x:v>
      </x:c>
      <x:c r="R90" s="18" t="n">
        <x:f>SUM(Y90,AU90,X90)</x:f>
        <x:v>6</x:v>
      </x:c>
      <x:c r="S90" s="18" t="n">
        <x:f>J90-K90-L90</x:f>
        <x:v>8</x:v>
      </x:c>
      <x:c r="T90" s="18" t="n">
        <x:v>5</x:v>
      </x:c>
      <x:c r="U90" s="18" t="n">
        <x:v>0</x:v>
      </x:c>
      <x:c r="V90" s="18" t="n">
        <x:v>1</x:v>
      </x:c>
      <x:c r="W90" s="18" t="n">
        <x:v>3</x:v>
      </x:c>
      <x:c r="X90" s="18" t="n">
        <x:v>1</x:v>
      </x:c>
      <x:c r="Y90" s="18" t="n">
        <x:v>5</x:v>
      </x:c>
      <x:c r="Z90" s="18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39</x:v>
      </x:c>
      <x:c r="AE90" s="18" t="n">
        <x:v>0</x:v>
      </x:c>
      <x:c r="AF90" s="18" t="n">
        <x:v>4</x:v>
      </x:c>
      <x:c r="AG90" s="18" t="n">
        <x:v>0</x:v>
      </x:c>
      <x:c r="AH90" s="18" t="n">
        <x:v>0</x:v>
      </x:c>
      <x:c r="AI90" s="18" t="n">
        <x:v>0</x:v>
      </x:c>
      <x:c r="AJ90" s="18" t="n">
        <x:v>15</x:v>
      </x:c>
      <x:c r="AK90" s="18" t="n">
        <x:v>0</x:v>
      </x:c>
      <x:c r="AL90" s="18" t="n">
        <x:v>55</x:v>
      </x:c>
      <x:c r="AM90" s="18" t="n">
        <x:v>145</x:v>
      </x:c>
      <x:c r="AN90" s="18" t="n">
        <x:v>3</x:v>
      </x:c>
      <x:c r="AO90" s="18" t="n">
        <x:v>0</x:v>
      </x:c>
      <x:c r="AP90" s="18" t="n">
        <x:v>0</x:v>
      </x:c>
      <x:c r="AQ90" s="18" t="n">
        <x:v>0</x:v>
      </x:c>
      <x:c r="AR90" s="18" t="n">
        <x:v>0</x:v>
      </x:c>
      <x:c r="AS90" s="18" t="n">
        <x:v>0</x:v>
      </x:c>
      <x:c r="AT90" s="18" t="n">
        <x:v>0</x:v>
      </x:c>
      <x:c r="AU90" s="18" t="n">
        <x:v>0</x:v>
      </x:c>
      <x:c r="AV90" s="18" t="n">
        <x:v>39</x:v>
      </x:c>
      <x:c r="AW90" s="18" t="n">
        <x:v>1</x:v>
      </x:c>
      <x:c r="AX90" s="18" t="n">
        <x:v>1</x:v>
      </x:c>
      <x:c r="AY90" s="18" t="n">
        <x:v>0</x:v>
      </x:c>
      <x:c r="AZ90" s="18" t="n">
        <x:v>0</x:v>
      </x:c>
      <x:c r="BA90" s="18" t="n">
        <x:v>0</x:v>
      </x:c>
      <x:c r="BB90" s="18" t="n">
        <x:v>0</x:v>
      </x:c>
      <x:c r="BC90" s="18" t="n">
        <x:v>0</x:v>
      </x:c>
      <x:c r="BD90" s="18" t="n">
        <x:v>1</x:v>
      </x:c>
      <x:c r="BE90" s="18" t="n">
        <x:v>0</x:v>
      </x:c>
      <x:c r="BF90" s="18" t="n">
        <x:v>17</x:v>
      </x:c>
      <x:c r="BG90" s="18" t="n">
        <x:v>0</x:v>
      </x:c>
    </x:row>
    <x:row r="91">
      <x:c r="A91" s="29" t="str">
        <x:v>165</x:v>
      </x:c>
      <x:c r="B91" s="17" t="n">
        <x:v>2995</x:v>
      </x:c>
      <x:c r="C91" s="17" t="str">
        <x:v>בית תרבות ע"ש פאני קפלן</x:v>
      </x:c>
      <x:c r="D91" s="17" t="str">
        <x:v>הרותם 1</x:v>
      </x:c>
      <x:c r="E91" s="17" t="str">
        <x:v>גבוה מאוד</x:v>
      </x:c>
      <x:c r="F91" s="18" t="n">
        <x:v>520</x:v>
      </x:c>
      <x:c r="G91" s="18" t="n">
        <x:v>264</x:v>
      </x:c>
      <x:c r="H91" s="19" t="n">
        <x:f>IFERROR(G91/F91,0)</x:f>
        <x:v>0.5076923076923077</x:v>
      </x:c>
      <x:c r="I91" s="18" t="n">
        <x:v>3</x:v>
      </x:c>
      <x:c r="J91" s="18" t="n">
        <x:v>261</x:v>
      </x:c>
      <x:c r="K91" s="18" t="n">
        <x:f>SUM(AM91,BF91,W91,AD91)</x:f>
        <x:v>130</x:v>
      </x:c>
      <x:c r="L91" s="18" t="n">
        <x:f>Q91+R91</x:f>
        <x:v>130</x:v>
      </x:c>
      <x:c r="M91" s="19" t="n">
        <x:f>IFERROR(K91/J91,0)</x:f>
        <x:v>0.49808429118773945</x:v>
      </x:c>
      <x:c r="N91" s="19" t="n">
        <x:f>IFERROR(L91/J91,0)</x:f>
        <x:v>0.49808429118773945</x:v>
      </x:c>
      <x:c r="O91" s="17" t="str">
        <x:f>IF(K91&gt;MAX(L91,S91),"קואליציית ההקמה 2022",IF(L91&gt;MAX(K91,S91),"אופוזיציה רחבה 2022","רשימות אחרות"))</x:f>
        <x:v>רשימות אחרות</x:v>
      </x:c>
      <x:c r="P91" s="17" t="str">
        <x:f>IF(AND(H91&lt;50%,N91&gt;50%),"כן","לא")</x:f>
        <x:v>לא</x:v>
      </x:c>
      <x:c r="Q91" s="18" t="n">
        <x:f>SUM(AV91,AJ91,AL91,T91,AN91)</x:f>
        <x:v>129</x:v>
      </x:c>
      <x:c r="R91" s="18" t="n">
        <x:f>SUM(Y91,AU91,X91)</x:f>
        <x:v>1</x:v>
      </x:c>
      <x:c r="S91" s="18" t="n">
        <x:f>J91-K91-L91</x:f>
        <x:v>1</x:v>
      </x:c>
      <x:c r="T91" s="18" t="n">
        <x:v>6</x:v>
      </x:c>
      <x:c r="U91" s="18" t="n">
        <x:v>0</x:v>
      </x:c>
      <x:c r="V91" s="18" t="n">
        <x:v>1</x:v>
      </x:c>
      <x:c r="W91" s="18" t="n">
        <x:v>1</x:v>
      </x:c>
      <x:c r="X91" s="18" t="n">
        <x:v>0</x:v>
      </x:c>
      <x:c r="Y91" s="18" t="n">
        <x:v>1</x:v>
      </x:c>
      <x:c r="Z91" s="18" t="n">
        <x:v>0</x:v>
      </x:c>
      <x:c r="AA91" s="18" t="n">
        <x:v>0</x:v>
      </x:c>
      <x:c r="AB91" s="18" t="n">
        <x:v>0</x:v>
      </x:c>
      <x:c r="AC91" s="18" t="n">
        <x:v>0</x:v>
      </x:c>
      <x:c r="AD91" s="18" t="n">
        <x:v>18</x:v>
      </x:c>
      <x:c r="AE91" s="18" t="n">
        <x:v>0</x:v>
      </x:c>
      <x:c r="AF91" s="18" t="n">
        <x:v>0</x:v>
      </x:c>
      <x:c r="AG91" s="18" t="n">
        <x:v>0</x:v>
      </x:c>
      <x:c r="AH91" s="18" t="n">
        <x:v>0</x:v>
      </x:c>
      <x:c r="AI91" s="18" t="n">
        <x:v>0</x:v>
      </x:c>
      <x:c r="AJ91" s="18" t="n">
        <x:v>26</x:v>
      </x:c>
      <x:c r="AK91" s="18" t="n">
        <x:v>0</x:v>
      </x:c>
      <x:c r="AL91" s="18" t="n">
        <x:v>50</x:v>
      </x:c>
      <x:c r="AM91" s="18" t="n">
        <x:v>100</x:v>
      </x:c>
      <x:c r="AN91" s="18" t="n">
        <x:v>5</x:v>
      </x:c>
      <x:c r="AO91" s="18" t="n">
        <x:v>0</x:v>
      </x:c>
      <x:c r="AP91" s="18" t="n">
        <x:v>0</x:v>
      </x:c>
      <x:c r="AQ91" s="18" t="n">
        <x:v>0</x:v>
      </x:c>
      <x:c r="AR91" s="18" t="n">
        <x:v>0</x:v>
      </x:c>
      <x:c r="AS91" s="18" t="n">
        <x:v>0</x:v>
      </x:c>
      <x:c r="AT91" s="18" t="n">
        <x:v>0</x:v>
      </x:c>
      <x:c r="AU91" s="18" t="n">
        <x:v>0</x:v>
      </x:c>
      <x:c r="AV91" s="18" t="n">
        <x:v>42</x:v>
      </x:c>
      <x:c r="AW91" s="18" t="n">
        <x:v>0</x:v>
      </x:c>
      <x:c r="AX91" s="18" t="n">
        <x:v>0</x:v>
      </x:c>
      <x:c r="AY91" s="18" t="n">
        <x:v>0</x:v>
      </x:c>
      <x:c r="AZ91" s="18" t="n">
        <x:v>0</x:v>
      </x:c>
      <x:c r="BA91" s="18" t="n">
        <x:v>0</x:v>
      </x:c>
      <x:c r="BB91" s="18" t="n">
        <x:v>0</x:v>
      </x:c>
      <x:c r="BC91" s="18" t="n">
        <x:v>0</x:v>
      </x:c>
      <x:c r="BD91" s="18" t="n">
        <x:v>0</x:v>
      </x:c>
      <x:c r="BE91" s="18" t="n">
        <x:v>0</x:v>
      </x:c>
      <x:c r="BF91" s="18" t="n">
        <x:v>11</x:v>
      </x:c>
      <x:c r="BG91" s="18" t="n">
        <x:v>0</x:v>
      </x:c>
    </x:row>
    <x:row r="92">
      <x:c r="A92" s="29" t="str">
        <x:v>166</x:v>
      </x:c>
      <x:c r="B92" s="17" t="n">
        <x:v>2996</x:v>
      </x:c>
      <x:c r="C92" s="17" t="str">
        <x:v>בית תרבות ע"ש פאני קפלן</x:v>
      </x:c>
      <x:c r="D92" s="17" t="str">
        <x:v>הרותם 1</x:v>
      </x:c>
      <x:c r="E92" s="17" t="str">
        <x:v>גבוה מאוד</x:v>
      </x:c>
      <x:c r="F92" s="18" t="n">
        <x:v>523</x:v>
      </x:c>
      <x:c r="G92" s="18" t="n">
        <x:v>314</x:v>
      </x:c>
      <x:c r="H92" s="19" t="n">
        <x:f>IFERROR(G92/F92,0)</x:f>
        <x:v>0.6003824091778203</x:v>
      </x:c>
      <x:c r="I92" s="18" t="n">
        <x:v>5</x:v>
      </x:c>
      <x:c r="J92" s="18" t="n">
        <x:v>309</x:v>
      </x:c>
      <x:c r="K92" s="18" t="n">
        <x:f>SUM(AM92,BF92,W92,AD92)</x:f>
        <x:v>130</x:v>
      </x:c>
      <x:c r="L92" s="18" t="n">
        <x:f>Q92+R92</x:f>
        <x:v>173</x:v>
      </x:c>
      <x:c r="M92" s="19" t="n">
        <x:f>IFERROR(K92/J92,0)</x:f>
        <x:v>0.42071197411003236</x:v>
      </x:c>
      <x:c r="N92" s="19" t="n">
        <x:f>IFERROR(L92/J92,0)</x:f>
        <x:v>0.5598705501618123</x:v>
      </x:c>
      <x:c r="O92" s="17" t="str">
        <x:f>IF(K92&gt;MAX(L92,S92),"קואליציית ההקמה 2022",IF(L92&gt;MAX(K92,S92),"אופוזיציה רחבה 2022","רשימות אחרות"))</x:f>
        <x:v>אופוזיציה רחבה 2022</x:v>
      </x:c>
      <x:c r="P92" s="17" t="str">
        <x:f>IF(AND(H92&lt;50%,N92&gt;50%),"כן","לא")</x:f>
        <x:v>לא</x:v>
      </x:c>
      <x:c r="Q92" s="18" t="n">
        <x:f>SUM(AV92,AJ92,AL92,T92,AN92)</x:f>
        <x:v>169</x:v>
      </x:c>
      <x:c r="R92" s="18" t="n">
        <x:f>SUM(Y92,AU92,X92)</x:f>
        <x:v>4</x:v>
      </x:c>
      <x:c r="S92" s="18" t="n">
        <x:f>J92-K92-L92</x:f>
        <x:v>6</x:v>
      </x:c>
      <x:c r="T92" s="18" t="n">
        <x:v>12</x:v>
      </x:c>
      <x:c r="U92" s="18" t="n">
        <x:v>0</x:v>
      </x:c>
      <x:c r="V92" s="18" t="n">
        <x:v>1</x:v>
      </x:c>
      <x:c r="W92" s="18" t="n">
        <x:v>1</x:v>
      </x:c>
      <x:c r="X92" s="18" t="n">
        <x:v>1</x:v>
      </x:c>
      <x:c r="Y92" s="18" t="n">
        <x:v>3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16</x:v>
      </x:c>
      <x:c r="AE92" s="18" t="n">
        <x:v>0</x:v>
      </x:c>
      <x:c r="AF92" s="18" t="n">
        <x:v>1</x:v>
      </x:c>
      <x:c r="AG92" s="18" t="n">
        <x:v>0</x:v>
      </x:c>
      <x:c r="AH92" s="18" t="n">
        <x:v>0</x:v>
      </x:c>
      <x:c r="AI92" s="18" t="n">
        <x:v>0</x:v>
      </x:c>
      <x:c r="AJ92" s="18" t="n">
        <x:v>35</x:v>
      </x:c>
      <x:c r="AK92" s="18" t="n">
        <x:v>0</x:v>
      </x:c>
      <x:c r="AL92" s="18" t="n">
        <x:v>63</x:v>
      </x:c>
      <x:c r="AM92" s="18" t="n">
        <x:v>104</x:v>
      </x:c>
      <x:c r="AN92" s="18" t="n">
        <x:v>5</x:v>
      </x:c>
      <x:c r="AO92" s="18" t="n">
        <x:v>0</x:v>
      </x:c>
      <x:c r="AP92" s="18" t="n">
        <x:v>1</x:v>
      </x:c>
      <x:c r="AQ92" s="18" t="n">
        <x:v>0</x:v>
      </x:c>
      <x:c r="AR92" s="18" t="n">
        <x:v>1</x:v>
      </x:c>
      <x:c r="AS92" s="18" t="n">
        <x:v>0</x:v>
      </x:c>
      <x:c r="AT92" s="18" t="n">
        <x:v>0</x:v>
      </x:c>
      <x:c r="AU92" s="18" t="n">
        <x:v>0</x:v>
      </x:c>
      <x:c r="AV92" s="18" t="n">
        <x:v>54</x:v>
      </x:c>
      <x:c r="AW92" s="18" t="n">
        <x:v>0</x:v>
      </x:c>
      <x:c r="AX92" s="18" t="n">
        <x:v>1</x:v>
      </x:c>
      <x:c r="AY92" s="18" t="n">
        <x:v>0</x:v>
      </x:c>
      <x:c r="AZ92" s="18" t="n">
        <x:v>0</x:v>
      </x:c>
      <x:c r="BA92" s="18" t="n">
        <x:v>0</x:v>
      </x:c>
      <x:c r="BB92" s="18" t="n">
        <x:v>0</x:v>
      </x:c>
      <x:c r="BC92" s="18" t="n">
        <x:v>0</x:v>
      </x:c>
      <x:c r="BD92" s="18" t="n">
        <x:v>1</x:v>
      </x:c>
      <x:c r="BE92" s="18" t="n">
        <x:v>0</x:v>
      </x:c>
      <x:c r="BF92" s="18" t="n">
        <x:v>9</x:v>
      </x:c>
      <x:c r="BG92" s="18" t="n">
        <x:v>0</x:v>
      </x:c>
    </x:row>
    <x:row r="93">
      <x:c r="A93" s="29" t="str">
        <x:v>167</x:v>
      </x:c>
      <x:c r="B93" s="17" t="n">
        <x:v>2997</x:v>
      </x:c>
      <x:c r="C93" s="17" t="str">
        <x:v>בי"ס עופרים</x:v>
      </x:c>
      <x:c r="D93" s="17" t="str">
        <x:v>דוד המלך 29</x:v>
      </x:c>
      <x:c r="E93" s="17" t="str">
        <x:v>גבוה מאוד</x:v>
      </x:c>
      <x:c r="F93" s="18" t="n">
        <x:v>693</x:v>
      </x:c>
      <x:c r="G93" s="18" t="n">
        <x:v>326</x:v>
      </x:c>
      <x:c r="H93" s="19" t="n">
        <x:f>IFERROR(G93/F93,0)</x:f>
        <x:v>0.4704184704184704</x:v>
      </x:c>
      <x:c r="I93" s="18" t="n">
        <x:v>5</x:v>
      </x:c>
      <x:c r="J93" s="18" t="n">
        <x:v>321</x:v>
      </x:c>
      <x:c r="K93" s="18" t="n">
        <x:f>SUM(AM93,BF93,W93,AD93)</x:f>
        <x:v>219</x:v>
      </x:c>
      <x:c r="L93" s="18" t="n">
        <x:f>Q93+R93</x:f>
        <x:v>97</x:v>
      </x:c>
      <x:c r="M93" s="19" t="n">
        <x:f>IFERROR(K93/J93,0)</x:f>
        <x:v>0.6822429906542056</x:v>
      </x:c>
      <x:c r="N93" s="19" t="n">
        <x:f>IFERROR(L93/J93,0)</x:f>
        <x:v>0.30218068535825543</x:v>
      </x:c>
      <x:c r="O93" s="17" t="str">
        <x:f>IF(K93&gt;MAX(L93,S93),"קואליציית ההקמה 2022",IF(L93&gt;MAX(K93,S93),"אופוזיציה רחבה 2022","רשימות אחרות"))</x:f>
        <x:v>קואליציית ההקמה 2022</x:v>
      </x:c>
      <x:c r="P93" s="17" t="str">
        <x:f>IF(AND(H93&lt;50%,N93&gt;50%),"כן","לא")</x:f>
        <x:v>לא</x:v>
      </x:c>
      <x:c r="Q93" s="18" t="n">
        <x:f>SUM(AV93,AJ93,AL93,T93,AN93)</x:f>
        <x:v>97</x:v>
      </x:c>
      <x:c r="R93" s="18" t="n">
        <x:f>SUM(Y93,AU93,X93)</x:f>
        <x:v>0</x:v>
      </x:c>
      <x:c r="S93" s="18" t="n">
        <x:f>J93-K93-L93</x:f>
        <x:v>5</x:v>
      </x:c>
      <x:c r="T93" s="18" t="n">
        <x:v>6</x:v>
      </x:c>
      <x:c r="U93" s="18" t="n">
        <x:v>1</x:v>
      </x:c>
      <x:c r="V93" s="18" t="n">
        <x:v>0</x:v>
      </x:c>
      <x:c r="W93" s="18" t="n">
        <x:v>3</x:v>
      </x:c>
      <x:c r="X93" s="18" t="n">
        <x:v>0</x:v>
      </x:c>
      <x:c r="Y93" s="18" t="n">
        <x:v>0</x:v>
      </x:c>
      <x:c r="Z93" s="18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38</x:v>
      </x:c>
      <x:c r="AE93" s="18" t="n">
        <x:v>0</x:v>
      </x:c>
      <x:c r="AF93" s="18" t="n">
        <x:v>1</x:v>
      </x:c>
      <x:c r="AG93" s="18" t="n">
        <x:v>0</x:v>
      </x:c>
      <x:c r="AH93" s="18" t="n">
        <x:v>0</x:v>
      </x:c>
      <x:c r="AI93" s="18" t="n">
        <x:v>0</x:v>
      </x:c>
      <x:c r="AJ93" s="18" t="n">
        <x:v>21</x:v>
      </x:c>
      <x:c r="AK93" s="18" t="n">
        <x:v>0</x:v>
      </x:c>
      <x:c r="AL93" s="18" t="n">
        <x:v>30</x:v>
      </x:c>
      <x:c r="AM93" s="18" t="n">
        <x:v>158</x:v>
      </x:c>
      <x:c r="AN93" s="18" t="n">
        <x:v>1</x:v>
      </x:c>
      <x:c r="AO93" s="18" t="n">
        <x:v>0</x:v>
      </x:c>
      <x:c r="AP93" s="18" t="n">
        <x:v>0</x:v>
      </x:c>
      <x:c r="AQ93" s="18" t="n">
        <x:v>0</x:v>
      </x:c>
      <x:c r="AR93" s="18" t="n">
        <x:v>0</x:v>
      </x:c>
      <x:c r="AS93" s="18" t="n">
        <x:v>0</x:v>
      </x:c>
      <x:c r="AT93" s="18" t="n">
        <x:v>0</x:v>
      </x:c>
      <x:c r="AU93" s="18" t="n">
        <x:v>0</x:v>
      </x:c>
      <x:c r="AV93" s="18" t="n">
        <x:v>39</x:v>
      </x:c>
      <x:c r="AW93" s="18" t="n">
        <x:v>0</x:v>
      </x:c>
      <x:c r="AX93" s="18" t="n">
        <x:v>0</x:v>
      </x:c>
      <x:c r="AY93" s="18" t="n">
        <x:v>0</x:v>
      </x:c>
      <x:c r="AZ93" s="18" t="n">
        <x:v>0</x:v>
      </x:c>
      <x:c r="BA93" s="18" t="n">
        <x:v>0</x:v>
      </x:c>
      <x:c r="BB93" s="18" t="n">
        <x:v>0</x:v>
      </x:c>
      <x:c r="BC93" s="18" t="n">
        <x:v>1</x:v>
      </x:c>
      <x:c r="BD93" s="18" t="n">
        <x:v>2</x:v>
      </x:c>
      <x:c r="BE93" s="18" t="n">
        <x:v>0</x:v>
      </x:c>
      <x:c r="BF93" s="18" t="n">
        <x:v>20</x:v>
      </x:c>
      <x:c r="BG93" s="18" t="n">
        <x:v>0</x:v>
      </x:c>
    </x:row>
    <x:row r="94">
      <x:c r="A94" s="29" t="str">
        <x:v>168</x:v>
      </x:c>
      <x:c r="B94" s="17" t="n">
        <x:v>2998</x:v>
      </x:c>
      <x:c r="C94" s="17" t="str">
        <x:v>בית תרבות ע"ש פאני קפלן</x:v>
      </x:c>
      <x:c r="D94" s="17" t="str">
        <x:v>הרותם 1</x:v>
      </x:c>
      <x:c r="E94" s="17" t="str">
        <x:v>גבוה מאוד</x:v>
      </x:c>
      <x:c r="F94" s="18" t="n">
        <x:v>552</x:v>
      </x:c>
      <x:c r="G94" s="18" t="n">
        <x:v>309</x:v>
      </x:c>
      <x:c r="H94" s="19" t="n">
        <x:f>IFERROR(G94/F94,0)</x:f>
        <x:v>0.5597826086956522</x:v>
      </x:c>
      <x:c r="I94" s="18" t="n">
        <x:v>3</x:v>
      </x:c>
      <x:c r="J94" s="18" t="n">
        <x:v>306</x:v>
      </x:c>
      <x:c r="K94" s="18" t="n">
        <x:f>SUM(AM94,BF94,W94,AD94)</x:f>
        <x:v>124</x:v>
      </x:c>
      <x:c r="L94" s="18" t="n">
        <x:f>Q94+R94</x:f>
        <x:v>169</x:v>
      </x:c>
      <x:c r="M94" s="19" t="n">
        <x:f>IFERROR(K94/J94,0)</x:f>
        <x:v>0.40522875816993464</x:v>
      </x:c>
      <x:c r="N94" s="19" t="n">
        <x:f>IFERROR(L94/J94,0)</x:f>
        <x:v>0.5522875816993464</x:v>
      </x:c>
      <x:c r="O94" s="17" t="str">
        <x:f>IF(K94&gt;MAX(L94,S94),"קואליציית ההקמה 2022",IF(L94&gt;MAX(K94,S94),"אופוזיציה רחבה 2022","רשימות אחרות"))</x:f>
        <x:v>אופוזיציה רחבה 2022</x:v>
      </x:c>
      <x:c r="P94" s="17" t="str">
        <x:f>IF(AND(H94&lt;50%,N94&gt;50%),"כן","לא")</x:f>
        <x:v>לא</x:v>
      </x:c>
      <x:c r="Q94" s="18" t="n">
        <x:f>SUM(AV94,AJ94,AL94,T94,AN94)</x:f>
        <x:v>169</x:v>
      </x:c>
      <x:c r="R94" s="18" t="n">
        <x:f>SUM(Y94,AU94,X94)</x:f>
        <x:v>0</x:v>
      </x:c>
      <x:c r="S94" s="18" t="n">
        <x:f>J94-K94-L94</x:f>
        <x:v>13</x:v>
      </x:c>
      <x:c r="T94" s="18" t="n">
        <x:v>3</x:v>
      </x:c>
      <x:c r="U94" s="18" t="n">
        <x:v>2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11</x:v>
      </x:c>
      <x:c r="AE94" s="18" t="n">
        <x:v>0</x:v>
      </x:c>
      <x:c r="AF94" s="18" t="n">
        <x:v>2</x:v>
      </x:c>
      <x:c r="AG94" s="18" t="n">
        <x:v>0</x:v>
      </x:c>
      <x:c r="AH94" s="18" t="n">
        <x:v>0</x:v>
      </x:c>
      <x:c r="AI94" s="18" t="n">
        <x:v>0</x:v>
      </x:c>
      <x:c r="AJ94" s="18" t="n">
        <x:v>14</x:v>
      </x:c>
      <x:c r="AK94" s="18" t="n">
        <x:v>0</x:v>
      </x:c>
      <x:c r="AL94" s="18" t="n">
        <x:v>78</x:v>
      </x:c>
      <x:c r="AM94" s="18" t="n">
        <x:v>105</x:v>
      </x:c>
      <x:c r="AN94" s="18" t="n">
        <x:v>2</x:v>
      </x:c>
      <x:c r="AO94" s="18" t="n">
        <x:v>0</x:v>
      </x:c>
      <x:c r="AP94" s="18" t="n">
        <x:v>2</x:v>
      </x:c>
      <x:c r="AQ94" s="18" t="n">
        <x:v>0</x:v>
      </x:c>
      <x:c r="AR94" s="18" t="n">
        <x:v>0</x:v>
      </x:c>
      <x:c r="AS94" s="18" t="n">
        <x:v>0</x:v>
      </x:c>
      <x:c r="AT94" s="18" t="n">
        <x:v>0</x:v>
      </x:c>
      <x:c r="AU94" s="18" t="n">
        <x:v>0</x:v>
      </x:c>
      <x:c r="AV94" s="18" t="n">
        <x:v>72</x:v>
      </x:c>
      <x:c r="AW94" s="18" t="n">
        <x:v>0</x:v>
      </x:c>
      <x:c r="AX94" s="18" t="n">
        <x:v>1</x:v>
      </x:c>
      <x:c r="AY94" s="18" t="n">
        <x:v>1</x:v>
      </x:c>
      <x:c r="AZ94" s="18" t="n">
        <x:v>0</x:v>
      </x:c>
      <x:c r="BA94" s="18" t="n">
        <x:v>0</x:v>
      </x:c>
      <x:c r="BB94" s="18" t="n">
        <x:v>0</x:v>
      </x:c>
      <x:c r="BC94" s="18" t="n">
        <x:v>0</x:v>
      </x:c>
      <x:c r="BD94" s="18" t="n">
        <x:v>4</x:v>
      </x:c>
      <x:c r="BE94" s="18" t="n">
        <x:v>1</x:v>
      </x:c>
      <x:c r="BF94" s="18" t="n">
        <x:v>8</x:v>
      </x:c>
      <x:c r="BG94" s="18" t="n">
        <x:v>0</x:v>
      </x:c>
    </x:row>
    <x:row r="95">
      <x:c r="A95" s="29" t="str">
        <x:v>169</x:v>
      </x:c>
      <x:c r="B95" s="17" t="n">
        <x:v>3069</x:v>
      </x:c>
      <x:c r="C95" s="17" t="str">
        <x:v>גן ילדים קטלב</x:v>
      </x:c>
      <x:c r="D95" s="17" t="str">
        <x:v>שוויצר אלברט ד"ר 64</x:v>
      </x:c>
      <x:c r="E95" s="17" t="str">
        <x:v>גבוה מאוד</x:v>
      </x:c>
      <x:c r="F95" s="18" t="n">
        <x:v>606</x:v>
      </x:c>
      <x:c r="G95" s="18" t="n">
        <x:v>466</x:v>
      </x:c>
      <x:c r="H95" s="19" t="n">
        <x:f>IFERROR(G95/F95,0)</x:f>
        <x:v>0.768976897689769</x:v>
      </x:c>
      <x:c r="I95" s="18" t="n">
        <x:v>1</x:v>
      </x:c>
      <x:c r="J95" s="18" t="n">
        <x:v>465</x:v>
      </x:c>
      <x:c r="K95" s="18" t="n">
        <x:f>SUM(AM95,BF95,W95,AD95)</x:f>
        <x:v>86</x:v>
      </x:c>
      <x:c r="L95" s="18" t="n">
        <x:f>Q95+R95</x:f>
        <x:v>369</x:v>
      </x:c>
      <x:c r="M95" s="19" t="n">
        <x:f>IFERROR(K95/J95,0)</x:f>
        <x:v>0.18494623655913978</x:v>
      </x:c>
      <x:c r="N95" s="19" t="n">
        <x:f>IFERROR(L95/J95,0)</x:f>
        <x:v>0.7935483870967742</x:v>
      </x:c>
      <x:c r="O95" s="17" t="str">
        <x:f>IF(K95&gt;MAX(L95,S95),"קואליציית ההקמה 2022",IF(L95&gt;MAX(K95,S95),"אופוזיציה רחבה 2022","רשימות אחרות"))</x:f>
        <x:v>אופוזיציה רחבה 2022</x:v>
      </x:c>
      <x:c r="P95" s="17" t="str">
        <x:f>IF(AND(H95&lt;50%,N95&gt;50%),"כן","לא")</x:f>
        <x:v>לא</x:v>
      </x:c>
      <x:c r="Q95" s="18" t="n">
        <x:f>SUM(AV95,AJ95,AL95,T95,AN95)</x:f>
        <x:v>364</x:v>
      </x:c>
      <x:c r="R95" s="18" t="n">
        <x:f>SUM(Y95,AU95,X95)</x:f>
        <x:v>5</x:v>
      </x:c>
      <x:c r="S95" s="18" t="n">
        <x:f>J95-K95-L95</x:f>
        <x:v>10</x:v>
      </x:c>
      <x:c r="T95" s="18" t="n">
        <x:v>38</x:v>
      </x:c>
      <x:c r="U95" s="18" t="n">
        <x:v>0</x:v>
      </x:c>
      <x:c r="V95" s="18" t="n">
        <x:v>7</x:v>
      </x:c>
      <x:c r="W95" s="18" t="n">
        <x:v>1</x:v>
      </x:c>
      <x:c r="X95" s="18" t="n">
        <x:v>2</x:v>
      </x:c>
      <x:c r="Y95" s="18" t="n">
        <x:v>3</x:v>
      </x:c>
      <x:c r="Z95" s="18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20</x:v>
      </x:c>
      <x:c r="AE95" s="18" t="n">
        <x:v>0</x:v>
      </x:c>
      <x:c r="AF95" s="18" t="n">
        <x:v>0</x:v>
      </x:c>
      <x:c r="AG95" s="18" t="n">
        <x:v>0</x:v>
      </x:c>
      <x:c r="AH95" s="18" t="n">
        <x:v>0</x:v>
      </x:c>
      <x:c r="AI95" s="18" t="n">
        <x:v>0</x:v>
      </x:c>
      <x:c r="AJ95" s="18" t="n">
        <x:v>79</x:v>
      </x:c>
      <x:c r="AK95" s="18" t="n">
        <x:v>0</x:v>
      </x:c>
      <x:c r="AL95" s="18" t="n">
        <x:v>28</x:v>
      </x:c>
      <x:c r="AM95" s="18" t="n">
        <x:v>59</x:v>
      </x:c>
      <x:c r="AN95" s="18" t="n">
        <x:v>39</x:v>
      </x:c>
      <x:c r="AO95" s="18" t="n">
        <x:v>0</x:v>
      </x:c>
      <x:c r="AP95" s="18" t="n">
        <x:v>0</x:v>
      </x:c>
      <x:c r="AQ95" s="18" t="n">
        <x:v>0</x:v>
      </x:c>
      <x:c r="AR95" s="18" t="n">
        <x:v>1</x:v>
      </x:c>
      <x:c r="AS95" s="18" t="n">
        <x:v>0</x:v>
      </x:c>
      <x:c r="AT95" s="18" t="n">
        <x:v>0</x:v>
      </x:c>
      <x:c r="AU95" s="18" t="n">
        <x:v>0</x:v>
      </x:c>
      <x:c r="AV95" s="18" t="n">
        <x:v>180</x:v>
      </x:c>
      <x:c r="AW95" s="18" t="n">
        <x:v>0</x:v>
      </x:c>
      <x:c r="AX95" s="18" t="n">
        <x:v>1</x:v>
      </x:c>
      <x:c r="AY95" s="18" t="n">
        <x:v>0</x:v>
      </x:c>
      <x:c r="AZ95" s="18" t="n">
        <x:v>0</x:v>
      </x:c>
      <x:c r="BA95" s="18" t="n">
        <x:v>0</x:v>
      </x:c>
      <x:c r="BB95" s="18" t="n">
        <x:v>0</x:v>
      </x:c>
      <x:c r="BC95" s="18" t="n">
        <x:v>0</x:v>
      </x:c>
      <x:c r="BD95" s="18" t="n">
        <x:v>1</x:v>
      </x:c>
      <x:c r="BE95" s="18" t="n">
        <x:v>0</x:v>
      </x:c>
      <x:c r="BF95" s="18" t="n">
        <x:v>6</x:v>
      </x:c>
      <x:c r="BG95" s="18" t="n">
        <x:v>0</x:v>
      </x:c>
    </x:row>
    <x:row r="96">
      <x:c r="A96" s="29" t="str">
        <x:v>171.1</x:v>
      </x:c>
      <x:c r="B96" s="17" t="n">
        <x:v>3070</x:v>
      </x:c>
      <x:c r="C96" s="17" t="str">
        <x:v>גן ילדים אשל-קשת</x:v>
      </x:c>
      <x:c r="D96" s="17" t="str">
        <x:v>לסקוב חיים רא"ל 26</x:v>
      </x:c>
      <x:c r="E96" s="17" t="str">
        <x:v>גבוה מאוד</x:v>
      </x:c>
      <x:c r="F96" s="18" t="n">
        <x:v>352</x:v>
      </x:c>
      <x:c r="G96" s="18" t="n">
        <x:v>265</x:v>
      </x:c>
      <x:c r="H96" s="19" t="n">
        <x:f>IFERROR(G96/F96,0)</x:f>
        <x:v>0.7528409090909091</x:v>
      </x:c>
      <x:c r="I96" s="18" t="n">
        <x:v>1</x:v>
      </x:c>
      <x:c r="J96" s="18" t="n">
        <x:v>264</x:v>
      </x:c>
      <x:c r="K96" s="18" t="n">
        <x:f>SUM(AM96,BF96,W96,AD96)</x:f>
        <x:v>50</x:v>
      </x:c>
      <x:c r="L96" s="18" t="n">
        <x:f>Q96+R96</x:f>
        <x:v>203</x:v>
      </x:c>
      <x:c r="M96" s="19" t="n">
        <x:f>IFERROR(K96/J96,0)</x:f>
        <x:v>0.1893939393939394</x:v>
      </x:c>
      <x:c r="N96" s="19" t="n">
        <x:f>IFERROR(L96/J96,0)</x:f>
        <x:v>0.7689393939393939</x:v>
      </x:c>
      <x:c r="O96" s="17" t="str">
        <x:f>IF(K96&gt;MAX(L96,S96),"קואליציית ההקמה 2022",IF(L96&gt;MAX(K96,S96),"אופוזיציה רחבה 2022","רשימות אחרות"))</x:f>
        <x:v>אופוזיציה רחבה 2022</x:v>
      </x:c>
      <x:c r="P96" s="17" t="str">
        <x:f>IF(AND(H96&lt;50%,N96&gt;50%),"כן","לא")</x:f>
        <x:v>לא</x:v>
      </x:c>
      <x:c r="Q96" s="18" t="n">
        <x:f>SUM(AV96,AJ96,AL96,T96,AN96)</x:f>
        <x:v>201</x:v>
      </x:c>
      <x:c r="R96" s="18" t="n">
        <x:f>SUM(Y96,AU96,X96)</x:f>
        <x:v>2</x:v>
      </x:c>
      <x:c r="S96" s="18" t="n">
        <x:f>J96-K96-L96</x:f>
        <x:v>11</x:v>
      </x:c>
      <x:c r="T96" s="18" t="n">
        <x:v>24</x:v>
      </x:c>
      <x:c r="U96" s="18" t="n">
        <x:v>4</x:v>
      </x:c>
      <x:c r="V96" s="18" t="n">
        <x:v>4</x:v>
      </x:c>
      <x:c r="W96" s="18" t="n">
        <x:v>0</x:v>
      </x:c>
      <x:c r="X96" s="18" t="n">
        <x:v>0</x:v>
      </x:c>
      <x:c r="Y96" s="18" t="n">
        <x:v>2</x:v>
      </x:c>
      <x:c r="Z96" s="18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3</x:v>
      </x:c>
      <x:c r="AE96" s="18" t="n">
        <x:v>1</x:v>
      </x:c>
      <x:c r="AF96" s="18" t="n">
        <x:v>0</x:v>
      </x:c>
      <x:c r="AG96" s="18" t="n">
        <x:v>0</x:v>
      </x:c>
      <x:c r="AH96" s="18" t="n">
        <x:v>0</x:v>
      </x:c>
      <x:c r="AI96" s="18" t="n">
        <x:v>0</x:v>
      </x:c>
      <x:c r="AJ96" s="18" t="n">
        <x:v>45</x:v>
      </x:c>
      <x:c r="AK96" s="18" t="n">
        <x:v>0</x:v>
      </x:c>
      <x:c r="AL96" s="18" t="n">
        <x:v>5</x:v>
      </x:c>
      <x:c r="AM96" s="18" t="n">
        <x:v>46</x:v>
      </x:c>
      <x:c r="AN96" s="18" t="n">
        <x:v>23</x:v>
      </x:c>
      <x:c r="AO96" s="18" t="n">
        <x:v>0</x:v>
      </x:c>
      <x:c r="AP96" s="18" t="n">
        <x:v>0</x:v>
      </x:c>
      <x:c r="AQ96" s="18" t="n">
        <x:v>0</x:v>
      </x:c>
      <x:c r="AR96" s="18" t="n">
        <x:v>0</x:v>
      </x:c>
      <x:c r="AS96" s="18" t="n">
        <x:v>0</x:v>
      </x:c>
      <x:c r="AT96" s="18" t="n">
        <x:v>0</x:v>
      </x:c>
      <x:c r="AU96" s="18" t="n">
        <x:v>0</x:v>
      </x:c>
      <x:c r="AV96" s="18" t="n">
        <x:v>104</x:v>
      </x:c>
      <x:c r="AW96" s="18" t="n">
        <x:v>0</x:v>
      </x:c>
      <x:c r="AX96" s="18" t="n">
        <x:v>1</x:v>
      </x:c>
      <x:c r="AY96" s="18" t="n">
        <x:v>0</x:v>
      </x:c>
      <x:c r="AZ96" s="18" t="n">
        <x:v>0</x:v>
      </x:c>
      <x:c r="BA96" s="18" t="n">
        <x:v>0</x:v>
      </x:c>
      <x:c r="BB96" s="18" t="n">
        <x:v>0</x:v>
      </x:c>
      <x:c r="BC96" s="18" t="n">
        <x:v>0</x:v>
      </x:c>
      <x:c r="BD96" s="18" t="n">
        <x:v>1</x:v>
      </x:c>
      <x:c r="BE96" s="18" t="n">
        <x:v>0</x:v>
      </x:c>
      <x:c r="BF96" s="18" t="n">
        <x:v>1</x:v>
      </x:c>
      <x:c r="BG96" s="18" t="n">
        <x:v>0</x:v>
      </x:c>
    </x:row>
    <x:row r="97">
      <x:c r="A97" s="29" t="str">
        <x:v>171.2</x:v>
      </x:c>
      <x:c r="B97" s="17" t="n">
        <x:v>3071</x:v>
      </x:c>
      <x:c r="C97" s="17" t="str">
        <x:v>גן ילדים אשל-קשת</x:v>
      </x:c>
      <x:c r="D97" s="17" t="str">
        <x:v>לסקוב חיים רא"ל 26</x:v>
      </x:c>
      <x:c r="E97" s="17" t="str">
        <x:v>גבוה מאוד</x:v>
      </x:c>
      <x:c r="F97" s="18" t="n">
        <x:v>351</x:v>
      </x:c>
      <x:c r="G97" s="18" t="n">
        <x:v>256</x:v>
      </x:c>
      <x:c r="H97" s="19" t="n">
        <x:f>IFERROR(G97/F97,0)</x:f>
        <x:v>0.7293447293447294</x:v>
      </x:c>
      <x:c r="I97" s="18" t="n">
        <x:v>0</x:v>
      </x:c>
      <x:c r="J97" s="18" t="n">
        <x:v>256</x:v>
      </x:c>
      <x:c r="K97" s="18" t="n">
        <x:f>SUM(AM97,BF97,W97,AD97)</x:f>
        <x:v>54</x:v>
      </x:c>
      <x:c r="L97" s="18" t="n">
        <x:f>Q97+R97</x:f>
        <x:v>196</x:v>
      </x:c>
      <x:c r="M97" s="19" t="n">
        <x:f>IFERROR(K97/J97,0)</x:f>
        <x:v>0.2109375</x:v>
      </x:c>
      <x:c r="N97" s="19" t="n">
        <x:f>IFERROR(L97/J97,0)</x:f>
        <x:v>0.765625</x:v>
      </x:c>
      <x:c r="O97" s="17" t="str">
        <x:f>IF(K97&gt;MAX(L97,S97),"קואליציית ההקמה 2022",IF(L97&gt;MAX(K97,S97),"אופוזיציה רחבה 2022","רשימות אחרות"))</x:f>
        <x:v>אופוזיציה רחבה 2022</x:v>
      </x:c>
      <x:c r="P97" s="17" t="str">
        <x:f>IF(AND(H97&lt;50%,N97&gt;50%),"כן","לא")</x:f>
        <x:v>לא</x:v>
      </x:c>
      <x:c r="Q97" s="18" t="n">
        <x:f>SUM(AV97,AJ97,AL97,T97,AN97)</x:f>
        <x:v>195</x:v>
      </x:c>
      <x:c r="R97" s="18" t="n">
        <x:f>SUM(Y97,AU97,X97)</x:f>
        <x:v>1</x:v>
      </x:c>
      <x:c r="S97" s="18" t="n">
        <x:f>J97-K97-L97</x:f>
        <x:v>6</x:v>
      </x:c>
      <x:c r="T97" s="18" t="n">
        <x:v>13</x:v>
      </x:c>
      <x:c r="U97" s="18" t="n">
        <x:v>0</x:v>
      </x:c>
      <x:c r="V97" s="18" t="n">
        <x:v>4</x:v>
      </x:c>
      <x:c r="W97" s="18" t="n">
        <x:v>1</x:v>
      </x:c>
      <x:c r="X97" s="18" t="n">
        <x:v>0</x:v>
      </x:c>
      <x:c r="Y97" s="18" t="n">
        <x:v>1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9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18" t="n">
        <x:v>0</x:v>
      </x:c>
      <x:c r="AJ97" s="18" t="n">
        <x:v>38</x:v>
      </x:c>
      <x:c r="AK97" s="18" t="n">
        <x:v>0</x:v>
      </x:c>
      <x:c r="AL97" s="18" t="n">
        <x:v>16</x:v>
      </x:c>
      <x:c r="AM97" s="18" t="n">
        <x:v>43</x:v>
      </x:c>
      <x:c r="AN97" s="18" t="n">
        <x:v>17</x:v>
      </x:c>
      <x:c r="AO97" s="18" t="n">
        <x:v>1</x:v>
      </x:c>
      <x:c r="AP97" s="18" t="n">
        <x:v>0</x:v>
      </x:c>
      <x:c r="AQ97" s="18" t="n">
        <x:v>0</x:v>
      </x:c>
      <x:c r="AR97" s="18" t="n">
        <x:v>0</x:v>
      </x:c>
      <x:c r="AS97" s="18" t="n">
        <x:v>1</x:v>
      </x:c>
      <x:c r="AT97" s="18" t="n">
        <x:v>0</x:v>
      </x:c>
      <x:c r="AU97" s="18" t="n">
        <x:v>0</x:v>
      </x:c>
      <x:c r="AV97" s="18" t="n">
        <x:v>111</x:v>
      </x:c>
      <x:c r="AW97" s="18" t="n">
        <x:v>0</x:v>
      </x:c>
      <x:c r="AX97" s="18" t="n">
        <x:v>0</x:v>
      </x:c>
      <x:c r="AY97" s="18" t="n">
        <x:v>0</x:v>
      </x:c>
      <x:c r="AZ97" s="18" t="n">
        <x:v>0</x:v>
      </x:c>
      <x:c r="BA97" s="18" t="n">
        <x:v>0</x:v>
      </x:c>
      <x:c r="BB97" s="18" t="n">
        <x:v>0</x:v>
      </x:c>
      <x:c r="BC97" s="18" t="n">
        <x:v>0</x:v>
      </x:c>
      <x:c r="BD97" s="18" t="n">
        <x:v>0</x:v>
      </x:c>
      <x:c r="BE97" s="18" t="n">
        <x:v>0</x:v>
      </x:c>
      <x:c r="BF97" s="18" t="n">
        <x:v>1</x:v>
      </x:c>
      <x:c r="BG97" s="18" t="n">
        <x:v>0</x:v>
      </x:c>
    </x:row>
    <x:row r="98">
      <x:c r="A98" s="29" t="str">
        <x:v>172.1</x:v>
      </x:c>
      <x:c r="B98" s="17" t="n">
        <x:v>3072</x:v>
      </x:c>
      <x:c r="C98" s="17" t="str">
        <x:v>גן "אתרוג"</x:v>
      </x:c>
      <x:c r="D98" s="17" t="str">
        <x:v>אינשטיין אלברט 52</x:v>
      </x:c>
      <x:c r="E98" s="17" t="str">
        <x:v>גבוה מאוד</x:v>
      </x:c>
      <x:c r="F98" s="18" t="n">
        <x:v>569</x:v>
      </x:c>
      <x:c r="G98" s="18" t="n">
        <x:v>363</x:v>
      </x:c>
      <x:c r="H98" s="19" t="n">
        <x:f>IFERROR(G98/F98,0)</x:f>
        <x:v>0.6379613356766256</x:v>
      </x:c>
      <x:c r="I98" s="18" t="n">
        <x:v>1</x:v>
      </x:c>
      <x:c r="J98" s="18" t="n">
        <x:v>362</x:v>
      </x:c>
      <x:c r="K98" s="18" t="n">
        <x:f>SUM(AM98,BF98,W98,AD98)</x:f>
        <x:v>90</x:v>
      </x:c>
      <x:c r="L98" s="18" t="n">
        <x:f>Q98+R98</x:f>
        <x:v>251</x:v>
      </x:c>
      <x:c r="M98" s="19" t="n">
        <x:f>IFERROR(K98/J98,0)</x:f>
        <x:v>0.24861878453038674</x:v>
      </x:c>
      <x:c r="N98" s="19" t="n">
        <x:f>IFERROR(L98/J98,0)</x:f>
        <x:v>0.6933701657458563</x:v>
      </x:c>
      <x:c r="O98" s="17" t="str">
        <x:f>IF(K98&gt;MAX(L98,S98),"קואליציית ההקמה 2022",IF(L98&gt;MAX(K98,S98),"אופוזיציה רחבה 2022","רשימות אחרות"))</x:f>
        <x:v>אופוזיציה רחבה 2022</x:v>
      </x:c>
      <x:c r="P98" s="17" t="str">
        <x:f>IF(AND(H98&lt;50%,N98&gt;50%),"כן","לא")</x:f>
        <x:v>לא</x:v>
      </x:c>
      <x:c r="Q98" s="18" t="n">
        <x:f>SUM(AV98,AJ98,AL98,T98,AN98)</x:f>
        <x:v>243</x:v>
      </x:c>
      <x:c r="R98" s="18" t="n">
        <x:f>SUM(Y98,AU98,X98)</x:f>
        <x:v>8</x:v>
      </x:c>
      <x:c r="S98" s="18" t="n">
        <x:f>J98-K98-L98</x:f>
        <x:v>21</x:v>
      </x:c>
      <x:c r="T98" s="18" t="n">
        <x:v>23</x:v>
      </x:c>
      <x:c r="U98" s="18" t="n">
        <x:v>2</x:v>
      </x:c>
      <x:c r="V98" s="18" t="n">
        <x:v>11</x:v>
      </x:c>
      <x:c r="W98" s="18" t="n">
        <x:v>3</x:v>
      </x:c>
      <x:c r="X98" s="18" t="n">
        <x:v>2</x:v>
      </x:c>
      <x:c r="Y98" s="18" t="n">
        <x:v>6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11</x:v>
      </x:c>
      <x:c r="AE98" s="18" t="n">
        <x:v>0</x:v>
      </x:c>
      <x:c r="AF98" s="18" t="n">
        <x:v>1</x:v>
      </x:c>
      <x:c r="AG98" s="18" t="n">
        <x:v>0</x:v>
      </x:c>
      <x:c r="AH98" s="18" t="n">
        <x:v>0</x:v>
      </x:c>
      <x:c r="AI98" s="18" t="n">
        <x:v>0</x:v>
      </x:c>
      <x:c r="AJ98" s="18" t="n">
        <x:v>45</x:v>
      </x:c>
      <x:c r="AK98" s="18" t="n">
        <x:v>0</x:v>
      </x:c>
      <x:c r="AL98" s="18" t="n">
        <x:v>16</x:v>
      </x:c>
      <x:c r="AM98" s="18" t="n">
        <x:v>70</x:v>
      </x:c>
      <x:c r="AN98" s="18" t="n">
        <x:v>24</x:v>
      </x:c>
      <x:c r="AO98" s="18" t="n">
        <x:v>0</x:v>
      </x:c>
      <x:c r="AP98" s="18" t="n">
        <x:v>0</x:v>
      </x:c>
      <x:c r="AQ98" s="18" t="n">
        <x:v>0</x:v>
      </x:c>
      <x:c r="AR98" s="18" t="n">
        <x:v>0</x:v>
      </x:c>
      <x:c r="AS98" s="18" t="n">
        <x:v>0</x:v>
      </x:c>
      <x:c r="AT98" s="18" t="n">
        <x:v>0</x:v>
      </x:c>
      <x:c r="AU98" s="18" t="n">
        <x:v>0</x:v>
      </x:c>
      <x:c r="AV98" s="18" t="n">
        <x:v>135</x:v>
      </x:c>
      <x:c r="AW98" s="18" t="n">
        <x:v>0</x:v>
      </x:c>
      <x:c r="AX98" s="18" t="n">
        <x:v>2</x:v>
      </x:c>
      <x:c r="AY98" s="18" t="n">
        <x:v>0</x:v>
      </x:c>
      <x:c r="AZ98" s="18" t="n">
        <x:v>0</x:v>
      </x:c>
      <x:c r="BA98" s="18" t="n">
        <x:v>0</x:v>
      </x:c>
      <x:c r="BB98" s="18" t="n">
        <x:v>0</x:v>
      </x:c>
      <x:c r="BC98" s="18" t="n">
        <x:v>0</x:v>
      </x:c>
      <x:c r="BD98" s="18" t="n">
        <x:v>4</x:v>
      </x:c>
      <x:c r="BE98" s="18" t="n">
        <x:v>1</x:v>
      </x:c>
      <x:c r="BF98" s="18" t="n">
        <x:v>6</x:v>
      </x:c>
      <x:c r="BG98" s="18" t="n">
        <x:v>0</x:v>
      </x:c>
    </x:row>
    <x:row r="99">
      <x:c r="A99" s="29" t="str">
        <x:v>172.2</x:v>
      </x:c>
      <x:c r="B99" s="17" t="n">
        <x:v>3073</x:v>
      </x:c>
      <x:c r="C99" s="17" t="str">
        <x:v>גן "אתרוג"</x:v>
      </x:c>
      <x:c r="D99" s="17" t="str">
        <x:v>אינשטיין אלברט 52</x:v>
      </x:c>
      <x:c r="E99" s="17" t="str">
        <x:v>גבוה מאוד</x:v>
      </x:c>
      <x:c r="F99" s="18" t="n">
        <x:v>568</x:v>
      </x:c>
      <x:c r="G99" s="18" t="n">
        <x:v>367</x:v>
      </x:c>
      <x:c r="H99" s="19" t="n">
        <x:f>IFERROR(G99/F99,0)</x:f>
        <x:v>0.6461267605633803</x:v>
      </x:c>
      <x:c r="I99" s="18" t="n">
        <x:v>3</x:v>
      </x:c>
      <x:c r="J99" s="18" t="n">
        <x:v>364</x:v>
      </x:c>
      <x:c r="K99" s="18" t="n">
        <x:f>SUM(AM99,BF99,W99,AD99)</x:f>
        <x:v>75</x:v>
      </x:c>
      <x:c r="L99" s="18" t="n">
        <x:f>Q99+R99</x:f>
        <x:v>273</x:v>
      </x:c>
      <x:c r="M99" s="19" t="n">
        <x:f>IFERROR(K99/J99,0)</x:f>
        <x:v>0.20604395604395603</x:v>
      </x:c>
      <x:c r="N99" s="19" t="n">
        <x:f>IFERROR(L99/J99,0)</x:f>
        <x:v>0.75</x:v>
      </x:c>
      <x:c r="O99" s="17" t="str">
        <x:f>IF(K99&gt;MAX(L99,S99),"קואליציית ההקמה 2022",IF(L99&gt;MAX(K99,S99),"אופוזיציה רחבה 2022","רשימות אחרות"))</x:f>
        <x:v>אופוזיציה רחבה 2022</x:v>
      </x:c>
      <x:c r="P99" s="17" t="str">
        <x:f>IF(AND(H99&lt;50%,N99&gt;50%),"כן","לא")</x:f>
        <x:v>לא</x:v>
      </x:c>
      <x:c r="Q99" s="18" t="n">
        <x:f>SUM(AV99,AJ99,AL99,T99,AN99)</x:f>
        <x:v>269</x:v>
      </x:c>
      <x:c r="R99" s="18" t="n">
        <x:f>SUM(Y99,AU99,X99)</x:f>
        <x:v>4</x:v>
      </x:c>
      <x:c r="S99" s="18" t="n">
        <x:f>J99-K99-L99</x:f>
        <x:v>16</x:v>
      </x:c>
      <x:c r="T99" s="18" t="n">
        <x:v>29</x:v>
      </x:c>
      <x:c r="U99" s="18" t="n">
        <x:v>1</x:v>
      </x:c>
      <x:c r="V99" s="18" t="n">
        <x:v>12</x:v>
      </x:c>
      <x:c r="W99" s="18" t="n">
        <x:v>0</x:v>
      </x:c>
      <x:c r="X99" s="18" t="n">
        <x:v>1</x:v>
      </x:c>
      <x:c r="Y99" s="18" t="n">
        <x:v>3</x:v>
      </x:c>
      <x:c r="Z99" s="18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11</x:v>
      </x:c>
      <x:c r="AE99" s="18" t="n">
        <x:v>0</x:v>
      </x:c>
      <x:c r="AF99" s="18" t="n">
        <x:v>0</x:v>
      </x:c>
      <x:c r="AG99" s="18" t="n">
        <x:v>0</x:v>
      </x:c>
      <x:c r="AH99" s="18" t="n">
        <x:v>0</x:v>
      </x:c>
      <x:c r="AI99" s="18" t="n">
        <x:v>0</x:v>
      </x:c>
      <x:c r="AJ99" s="18" t="n">
        <x:v>59</x:v>
      </x:c>
      <x:c r="AK99" s="18" t="n">
        <x:v>0</x:v>
      </x:c>
      <x:c r="AL99" s="18" t="n">
        <x:v>16</x:v>
      </x:c>
      <x:c r="AM99" s="18" t="n">
        <x:v>61</x:v>
      </x:c>
      <x:c r="AN99" s="18" t="n">
        <x:v>31</x:v>
      </x:c>
      <x:c r="AO99" s="18" t="n">
        <x:v>0</x:v>
      </x:c>
      <x:c r="AP99" s="18" t="n">
        <x:v>0</x:v>
      </x:c>
      <x:c r="AQ99" s="18" t="n">
        <x:v>0</x:v>
      </x:c>
      <x:c r="AR99" s="18" t="n">
        <x:v>0</x:v>
      </x:c>
      <x:c r="AS99" s="18" t="n">
        <x:v>0</x:v>
      </x:c>
      <x:c r="AT99" s="18" t="n">
        <x:v>0</x:v>
      </x:c>
      <x:c r="AU99" s="18" t="n">
        <x:v>0</x:v>
      </x:c>
      <x:c r="AV99" s="18" t="n">
        <x:v>134</x:v>
      </x:c>
      <x:c r="AW99" s="18" t="n">
        <x:v>0</x:v>
      </x:c>
      <x:c r="AX99" s="18" t="n">
        <x:v>0</x:v>
      </x:c>
      <x:c r="AY99" s="18" t="n">
        <x:v>0</x:v>
      </x:c>
      <x:c r="AZ99" s="18" t="n">
        <x:v>0</x:v>
      </x:c>
      <x:c r="BA99" s="18" t="n">
        <x:v>0</x:v>
      </x:c>
      <x:c r="BB99" s="18" t="n">
        <x:v>0</x:v>
      </x:c>
      <x:c r="BC99" s="18" t="n">
        <x:v>0</x:v>
      </x:c>
      <x:c r="BD99" s="18" t="n">
        <x:v>3</x:v>
      </x:c>
      <x:c r="BE99" s="18" t="n">
        <x:v>0</x:v>
      </x:c>
      <x:c r="BF99" s="18" t="n">
        <x:v>3</x:v>
      </x:c>
      <x:c r="BG99" s="18" t="n">
        <x:v>0</x:v>
      </x:c>
    </x:row>
    <x:row r="100">
      <x:c r="A100" s="29" t="str">
        <x:v>173</x:v>
      </x:c>
      <x:c r="B100" s="17" t="n">
        <x:v>3105</x:v>
      </x:c>
      <x:c r="C100" s="17" t="str">
        <x:v>גן ילדים עירוני "חצב"</x:v>
      </x:c>
      <x:c r="D100" s="17" t="str">
        <x:v>ליבריה 42</x:v>
      </x:c>
      <x:c r="E100" s="17" t="str">
        <x:v>גבוה מאוד</x:v>
      </x:c>
      <x:c r="F100" s="18" t="n">
        <x:v>645</x:v>
      </x:c>
      <x:c r="G100" s="18" t="n">
        <x:v>442</x:v>
      </x:c>
      <x:c r="H100" s="19" t="n">
        <x:f>IFERROR(G100/F100,0)</x:f>
        <x:v>0.6852713178294574</x:v>
      </x:c>
      <x:c r="I100" s="18" t="n">
        <x:v>2</x:v>
      </x:c>
      <x:c r="J100" s="18" t="n">
        <x:v>440</x:v>
      </x:c>
      <x:c r="K100" s="18" t="n">
        <x:f>SUM(AM100,BF100,W100,AD100)</x:f>
        <x:v>69</x:v>
      </x:c>
      <x:c r="L100" s="18" t="n">
        <x:f>Q100+R100</x:f>
        <x:v>359</x:v>
      </x:c>
      <x:c r="M100" s="19" t="n">
        <x:f>IFERROR(K100/J100,0)</x:f>
        <x:v>0.15681818181818183</x:v>
      </x:c>
      <x:c r="N100" s="19" t="n">
        <x:f>IFERROR(L100/J100,0)</x:f>
        <x:v>0.8159090909090909</x:v>
      </x:c>
      <x:c r="O100" s="17" t="str">
        <x:f>IF(K100&gt;MAX(L100,S100),"קואליציית ההקמה 2022",IF(L100&gt;MAX(K100,S100),"אופוזיציה רחבה 2022","רשימות אחרות"))</x:f>
        <x:v>אופוזיציה רחבה 2022</x:v>
      </x:c>
      <x:c r="P100" s="17" t="str">
        <x:f>IF(AND(H100&lt;50%,N100&gt;50%),"כן","לא")</x:f>
        <x:v>לא</x:v>
      </x:c>
      <x:c r="Q100" s="18" t="n">
        <x:f>SUM(AV100,AJ100,AL100,T100,AN100)</x:f>
        <x:v>354</x:v>
      </x:c>
      <x:c r="R100" s="18" t="n">
        <x:f>SUM(Y100,AU100,X100)</x:f>
        <x:v>5</x:v>
      </x:c>
      <x:c r="S100" s="18" t="n">
        <x:f>J100-K100-L100</x:f>
        <x:v>12</x:v>
      </x:c>
      <x:c r="T100" s="18" t="n">
        <x:v>27</x:v>
      </x:c>
      <x:c r="U100" s="18" t="n">
        <x:v>0</x:v>
      </x:c>
      <x:c r="V100" s="18" t="n">
        <x:v>11</x:v>
      </x:c>
      <x:c r="W100" s="18" t="n">
        <x:v>0</x:v>
      </x:c>
      <x:c r="X100" s="18" t="n">
        <x:v>1</x:v>
      </x:c>
      <x:c r="Y100" s="18" t="n">
        <x:v>4</x:v>
      </x:c>
      <x:c r="Z100" s="18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11</x:v>
      </x:c>
      <x:c r="AE100" s="18" t="n">
        <x:v>0</x:v>
      </x:c>
      <x:c r="AF100" s="18" t="n">
        <x:v>1</x:v>
      </x:c>
      <x:c r="AG100" s="18" t="n">
        <x:v>0</x:v>
      </x:c>
      <x:c r="AH100" s="18" t="n">
        <x:v>0</x:v>
      </x:c>
      <x:c r="AI100" s="18" t="n">
        <x:v>0</x:v>
      </x:c>
      <x:c r="AJ100" s="18" t="n">
        <x:v>68</x:v>
      </x:c>
      <x:c r="AK100" s="18" t="n">
        <x:v>0</x:v>
      </x:c>
      <x:c r="AL100" s="18" t="n">
        <x:v>24</x:v>
      </x:c>
      <x:c r="AM100" s="18" t="n">
        <x:v>58</x:v>
      </x:c>
      <x:c r="AN100" s="18" t="n">
        <x:v>39</x:v>
      </x:c>
      <x:c r="AO100" s="18" t="n">
        <x:v>0</x:v>
      </x:c>
      <x:c r="AP100" s="18" t="n">
        <x:v>0</x:v>
      </x:c>
      <x:c r="AQ100" s="18" t="n">
        <x:v>0</x:v>
      </x:c>
      <x:c r="AR100" s="18" t="n">
        <x:v>0</x:v>
      </x:c>
      <x:c r="AS100" s="18" t="n">
        <x:v>0</x:v>
      </x:c>
      <x:c r="AT100" s="18" t="n">
        <x:v>0</x:v>
      </x:c>
      <x:c r="AU100" s="18" t="n">
        <x:v>0</x:v>
      </x:c>
      <x:c r="AV100" s="18" t="n">
        <x:v>196</x:v>
      </x:c>
      <x:c r="AW100" s="18" t="n">
        <x:v>0</x:v>
      </x:c>
      <x:c r="AX100" s="18" t="n">
        <x:v>0</x:v>
      </x:c>
      <x:c r="AY100" s="18" t="n">
        <x:v>0</x:v>
      </x:c>
      <x:c r="AZ100" s="18" t="n">
        <x:v>0</x:v>
      </x:c>
      <x:c r="BA100" s="18" t="n">
        <x:v>0</x:v>
      </x:c>
      <x:c r="BB100" s="18" t="n">
        <x:v>0</x:v>
      </x:c>
      <x:c r="BC100" s="18" t="n">
        <x:v>0</x:v>
      </x:c>
      <x:c r="BD100" s="18" t="n">
        <x:v>0</x:v>
      </x:c>
      <x:c r="BE100" s="18" t="n">
        <x:v>0</x:v>
      </x:c>
      <x:c r="BF100" s="18" t="n">
        <x:v>0</x:v>
      </x:c>
      <x:c r="BG100" s="18" t="n">
        <x:v>0</x:v>
      </x:c>
    </x:row>
    <x:row r="101">
      <x:c r="A101" s="29" t="str">
        <x:v>177.1</x:v>
      </x:c>
      <x:c r="B101" s="17" t="n">
        <x:v>3106</x:v>
      </x:c>
      <x:c r="C101" s="17" t="str">
        <x:v>מועדון צופים</x:v>
      </x:c>
      <x:c r="D101" s="17" t="str">
        <x:v>חוף השנהב 39</x:v>
      </x:c>
      <x:c r="E101" s="17" t="str">
        <x:v>גבוה מאוד</x:v>
      </x:c>
      <x:c r="F101" s="18" t="n">
        <x:v>534</x:v>
      </x:c>
      <x:c r="G101" s="18" t="n">
        <x:v>372</x:v>
      </x:c>
      <x:c r="H101" s="19" t="n">
        <x:f>IFERROR(G101/F101,0)</x:f>
        <x:v>0.6966292134831461</x:v>
      </x:c>
      <x:c r="I101" s="18" t="n">
        <x:v>0</x:v>
      </x:c>
      <x:c r="J101" s="18" t="n">
        <x:v>372</x:v>
      </x:c>
      <x:c r="K101" s="18" t="n">
        <x:f>SUM(AM101,BF101,W101,AD101)</x:f>
        <x:v>99</x:v>
      </x:c>
      <x:c r="L101" s="18" t="n">
        <x:f>Q101+R101</x:f>
        <x:v>267</x:v>
      </x:c>
      <x:c r="M101" s="19" t="n">
        <x:f>IFERROR(K101/J101,0)</x:f>
        <x:v>0.2661290322580645</x:v>
      </x:c>
      <x:c r="N101" s="19" t="n">
        <x:f>IFERROR(L101/J101,0)</x:f>
        <x:v>0.717741935483871</x:v>
      </x:c>
      <x:c r="O101" s="17" t="str">
        <x:f>IF(K101&gt;MAX(L101,S101),"קואליציית ההקמה 2022",IF(L101&gt;MAX(K101,S101),"אופוזיציה רחבה 2022","רשימות אחרות"))</x:f>
        <x:v>אופוזיציה רחבה 2022</x:v>
      </x:c>
      <x:c r="P101" s="17" t="str">
        <x:f>IF(AND(H101&lt;50%,N101&gt;50%),"כן","לא")</x:f>
        <x:v>לא</x:v>
      </x:c>
      <x:c r="Q101" s="18" t="n">
        <x:f>SUM(AV101,AJ101,AL101,T101,AN101)</x:f>
        <x:v>264</x:v>
      </x:c>
      <x:c r="R101" s="18" t="n">
        <x:f>SUM(Y101,AU101,X101)</x:f>
        <x:v>3</x:v>
      </x:c>
      <x:c r="S101" s="18" t="n">
        <x:f>J101-K101-L101</x:f>
        <x:v>6</x:v>
      </x:c>
      <x:c r="T101" s="18" t="n">
        <x:v>13</x:v>
      </x:c>
      <x:c r="U101" s="18" t="n">
        <x:v>0</x:v>
      </x:c>
      <x:c r="V101" s="18" t="n">
        <x:v>4</x:v>
      </x:c>
      <x:c r="W101" s="18" t="n">
        <x:v>0</x:v>
      </x:c>
      <x:c r="X101" s="18" t="n">
        <x:v>2</x:v>
      </x:c>
      <x:c r="Y101" s="18" t="n">
        <x:v>1</x:v>
      </x:c>
      <x:c r="Z101" s="18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15</x:v>
      </x:c>
      <x:c r="AE101" s="18" t="n">
        <x:v>0</x:v>
      </x:c>
      <x:c r="AF101" s="18" t="n">
        <x:v>1</x:v>
      </x:c>
      <x:c r="AG101" s="18" t="n">
        <x:v>0</x:v>
      </x:c>
      <x:c r="AH101" s="18" t="n">
        <x:v>0</x:v>
      </x:c>
      <x:c r="AI101" s="18" t="n">
        <x:v>0</x:v>
      </x:c>
      <x:c r="AJ101" s="18" t="n">
        <x:v>51</x:v>
      </x:c>
      <x:c r="AK101" s="18" t="n">
        <x:v>0</x:v>
      </x:c>
      <x:c r="AL101" s="18" t="n">
        <x:v>16</x:v>
      </x:c>
      <x:c r="AM101" s="18" t="n">
        <x:v>82</x:v>
      </x:c>
      <x:c r="AN101" s="18" t="n">
        <x:v>31</x:v>
      </x:c>
      <x:c r="AO101" s="18" t="n">
        <x:v>0</x:v>
      </x:c>
      <x:c r="AP101" s="18" t="n">
        <x:v>0</x:v>
      </x:c>
      <x:c r="AQ101" s="18" t="n">
        <x:v>0</x:v>
      </x:c>
      <x:c r="AR101" s="18" t="n">
        <x:v>0</x:v>
      </x:c>
      <x:c r="AS101" s="18" t="n">
        <x:v>0</x:v>
      </x:c>
      <x:c r="AT101" s="18" t="n">
        <x:v>0</x:v>
      </x:c>
      <x:c r="AU101" s="18" t="n">
        <x:v>0</x:v>
      </x:c>
      <x:c r="AV101" s="18" t="n">
        <x:v>153</x:v>
      </x:c>
      <x:c r="AW101" s="18" t="n">
        <x:v>0</x:v>
      </x:c>
      <x:c r="AX101" s="18" t="n">
        <x:v>0</x:v>
      </x:c>
      <x:c r="AY101" s="18" t="n">
        <x:v>0</x:v>
      </x:c>
      <x:c r="AZ101" s="18" t="n">
        <x:v>0</x:v>
      </x:c>
      <x:c r="BA101" s="18" t="n">
        <x:v>0</x:v>
      </x:c>
      <x:c r="BB101" s="18" t="n">
        <x:v>0</x:v>
      </x:c>
      <x:c r="BC101" s="18" t="n">
        <x:v>1</x:v>
      </x:c>
      <x:c r="BD101" s="18" t="n">
        <x:v>0</x:v>
      </x:c>
      <x:c r="BE101" s="18" t="n">
        <x:v>0</x:v>
      </x:c>
      <x:c r="BF101" s="18" t="n">
        <x:v>2</x:v>
      </x:c>
      <x:c r="BG101" s="18" t="n">
        <x:v>0</x:v>
      </x:c>
    </x:row>
    <x:row r="102">
      <x:c r="A102" s="29" t="str">
        <x:v>177.2</x:v>
      </x:c>
      <x:c r="B102" s="17" t="n">
        <x:v>3107</x:v>
      </x:c>
      <x:c r="C102" s="17" t="str">
        <x:v>מועדון צופים</x:v>
      </x:c>
      <x:c r="D102" s="17" t="str">
        <x:v>חוף השנהב 39</x:v>
      </x:c>
      <x:c r="E102" s="17" t="str">
        <x:v>גבוה מאוד</x:v>
      </x:c>
      <x:c r="F102" s="18" t="n">
        <x:v>534</x:v>
      </x:c>
      <x:c r="G102" s="18" t="n">
        <x:v>374</x:v>
      </x:c>
      <x:c r="H102" s="19" t="n">
        <x:f>IFERROR(G102/F102,0)</x:f>
        <x:v>0.700374531835206</x:v>
      </x:c>
      <x:c r="I102" s="18" t="n">
        <x:v>0</x:v>
      </x:c>
      <x:c r="J102" s="18" t="n">
        <x:v>374</x:v>
      </x:c>
      <x:c r="K102" s="18" t="n">
        <x:f>SUM(AM102,BF102,W102,AD102)</x:f>
        <x:v>102</x:v>
      </x:c>
      <x:c r="L102" s="18" t="n">
        <x:f>Q102+R102</x:f>
        <x:v>270</x:v>
      </x:c>
      <x:c r="M102" s="19" t="n">
        <x:f>IFERROR(K102/J102,0)</x:f>
        <x:v>0.2727272727272727</x:v>
      </x:c>
      <x:c r="N102" s="19" t="n">
        <x:f>IFERROR(L102/J102,0)</x:f>
        <x:v>0.7219251336898396</x:v>
      </x:c>
      <x:c r="O102" s="17" t="str">
        <x:f>IF(K102&gt;MAX(L102,S102),"קואליציית ההקמה 2022",IF(L102&gt;MAX(K102,S102),"אופוזיציה רחבה 2022","רשימות אחרות"))</x:f>
        <x:v>אופוזיציה רחבה 2022</x:v>
      </x:c>
      <x:c r="P102" s="17" t="str">
        <x:f>IF(AND(H102&lt;50%,N102&gt;50%),"כן","לא")</x:f>
        <x:v>לא</x:v>
      </x:c>
      <x:c r="Q102" s="18" t="n">
        <x:f>SUM(AV102,AJ102,AL102,T102,AN102)</x:f>
        <x:v>264</x:v>
      </x:c>
      <x:c r="R102" s="18" t="n">
        <x:f>SUM(Y102,AU102,X102)</x:f>
        <x:v>6</x:v>
      </x:c>
      <x:c r="S102" s="18" t="n">
        <x:f>J102-K102-L102</x:f>
        <x:v>2</x:v>
      </x:c>
      <x:c r="T102" s="18" t="n">
        <x:v>19</x:v>
      </x:c>
      <x:c r="U102" s="18" t="n">
        <x:v>0</x:v>
      </x:c>
      <x:c r="V102" s="18" t="n">
        <x:v>1</x:v>
      </x:c>
      <x:c r="W102" s="18" t="n">
        <x:v>1</x:v>
      </x:c>
      <x:c r="X102" s="18" t="n">
        <x:v>4</x:v>
      </x:c>
      <x:c r="Y102" s="18" t="n">
        <x:v>2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15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18" t="n">
        <x:v>0</x:v>
      </x:c>
      <x:c r="AJ102" s="18" t="n">
        <x:v>56</x:v>
      </x:c>
      <x:c r="AK102" s="18" t="n">
        <x:v>0</x:v>
      </x:c>
      <x:c r="AL102" s="18" t="n">
        <x:v>19</x:v>
      </x:c>
      <x:c r="AM102" s="18" t="n">
        <x:v>85</x:v>
      </x:c>
      <x:c r="AN102" s="18" t="n">
        <x:v>14</x:v>
      </x:c>
      <x:c r="AO102" s="18" t="n">
        <x:v>0</x:v>
      </x:c>
      <x:c r="AP102" s="18" t="n">
        <x:v>0</x:v>
      </x:c>
      <x:c r="AQ102" s="18" t="n">
        <x:v>0</x:v>
      </x:c>
      <x:c r="AR102" s="18" t="n">
        <x:v>0</x:v>
      </x:c>
      <x:c r="AS102" s="18" t="n">
        <x:v>0</x:v>
      </x:c>
      <x:c r="AT102" s="18" t="n">
        <x:v>0</x:v>
      </x:c>
      <x:c r="AU102" s="18" t="n">
        <x:v>0</x:v>
      </x:c>
      <x:c r="AV102" s="18" t="n">
        <x:v>156</x:v>
      </x:c>
      <x:c r="AW102" s="18" t="n">
        <x:v>0</x:v>
      </x:c>
      <x:c r="AX102" s="18" t="n">
        <x:v>0</x:v>
      </x:c>
      <x:c r="AY102" s="18" t="n">
        <x:v>0</x:v>
      </x:c>
      <x:c r="AZ102" s="18" t="n">
        <x:v>0</x:v>
      </x:c>
      <x:c r="BA102" s="18" t="n">
        <x:v>0</x:v>
      </x:c>
      <x:c r="BB102" s="18" t="n">
        <x:v>0</x:v>
      </x:c>
      <x:c r="BC102" s="18" t="n">
        <x:v>0</x:v>
      </x:c>
      <x:c r="BD102" s="18" t="n">
        <x:v>1</x:v>
      </x:c>
      <x:c r="BE102" s="18" t="n">
        <x:v>0</x:v>
      </x:c>
      <x:c r="BF102" s="18" t="n">
        <x:v>1</x:v>
      </x:c>
      <x:c r="BG102" s="18" t="n">
        <x:v>0</x:v>
      </x:c>
    </x:row>
    <x:row r="103">
      <x:c r="A103" s="29" t="str">
        <x:v>177.3</x:v>
      </x:c>
      <x:c r="B103" s="17" t="n">
        <x:v>3108</x:v>
      </x:c>
      <x:c r="C103" s="17" t="str">
        <x:v>מועדון צופים</x:v>
      </x:c>
      <x:c r="D103" s="17" t="str">
        <x:v>חוף השנהב 39</x:v>
      </x:c>
      <x:c r="E103" s="17" t="str">
        <x:v>גבוה מאוד</x:v>
      </x:c>
      <x:c r="F103" s="18" t="n">
        <x:v>534</x:v>
      </x:c>
      <x:c r="G103" s="18" t="n">
        <x:v>368</x:v>
      </x:c>
      <x:c r="H103" s="19" t="n">
        <x:f>IFERROR(G103/F103,0)</x:f>
        <x:v>0.6891385767790262</x:v>
      </x:c>
      <x:c r="I103" s="18" t="n">
        <x:v>1</x:v>
      </x:c>
      <x:c r="J103" s="18" t="n">
        <x:v>367</x:v>
      </x:c>
      <x:c r="K103" s="18" t="n">
        <x:f>SUM(AM103,BF103,W103,AD103)</x:f>
        <x:v>75</x:v>
      </x:c>
      <x:c r="L103" s="18" t="n">
        <x:f>Q103+R103</x:f>
        <x:v>284</x:v>
      </x:c>
      <x:c r="M103" s="19" t="n">
        <x:f>IFERROR(K103/J103,0)</x:f>
        <x:v>0.20435967302452315</x:v>
      </x:c>
      <x:c r="N103" s="19" t="n">
        <x:f>IFERROR(L103/J103,0)</x:f>
        <x:v>0.773841961852861</x:v>
      </x:c>
      <x:c r="O103" s="17" t="str">
        <x:f>IF(K103&gt;MAX(L103,S103),"קואליציית ההקמה 2022",IF(L103&gt;MAX(K103,S103),"אופוזיציה רחבה 2022","רשימות אחרות"))</x:f>
        <x:v>אופוזיציה רחבה 2022</x:v>
      </x:c>
      <x:c r="P103" s="17" t="str">
        <x:f>IF(AND(H103&lt;50%,N103&gt;50%),"כן","לא")</x:f>
        <x:v>לא</x:v>
      </x:c>
      <x:c r="Q103" s="18" t="n">
        <x:f>SUM(AV103,AJ103,AL103,T103,AN103)</x:f>
        <x:v>277</x:v>
      </x:c>
      <x:c r="R103" s="18" t="n">
        <x:f>SUM(Y103,AU103,X103)</x:f>
        <x:v>7</x:v>
      </x:c>
      <x:c r="S103" s="18" t="n">
        <x:f>J103-K103-L103</x:f>
        <x:v>8</x:v>
      </x:c>
      <x:c r="T103" s="18" t="n">
        <x:v>23</x:v>
      </x:c>
      <x:c r="U103" s="18" t="n">
        <x:v>1</x:v>
      </x:c>
      <x:c r="V103" s="18" t="n">
        <x:v>3</x:v>
      </x:c>
      <x:c r="W103" s="18" t="n">
        <x:v>0</x:v>
      </x:c>
      <x:c r="X103" s="18" t="n">
        <x:v>4</x:v>
      </x:c>
      <x:c r="Y103" s="18" t="n">
        <x:v>3</x:v>
      </x:c>
      <x:c r="Z103" s="18" t="n">
        <x:v>0</x:v>
      </x:c>
      <x:c r="AA103" s="18" t="n">
        <x:v>0</x:v>
      </x:c>
      <x:c r="AB103" s="18" t="n">
        <x:v>0</x:v>
      </x:c>
      <x:c r="AC103" s="18" t="n">
        <x:v>0</x:v>
      </x:c>
      <x:c r="AD103" s="18" t="n">
        <x:v>16</x:v>
      </x:c>
      <x:c r="AE103" s="18" t="n">
        <x:v>0</x:v>
      </x:c>
      <x:c r="AF103" s="18" t="n">
        <x:v>0</x:v>
      </x:c>
      <x:c r="AG103" s="18" t="n">
        <x:v>0</x:v>
      </x:c>
      <x:c r="AH103" s="18" t="n">
        <x:v>0</x:v>
      </x:c>
      <x:c r="AI103" s="18" t="n">
        <x:v>0</x:v>
      </x:c>
      <x:c r="AJ103" s="18" t="n">
        <x:v>62</x:v>
      </x:c>
      <x:c r="AK103" s="18" t="n">
        <x:v>0</x:v>
      </x:c>
      <x:c r="AL103" s="18" t="n">
        <x:v>17</x:v>
      </x:c>
      <x:c r="AM103" s="18" t="n">
        <x:v>58</x:v>
      </x:c>
      <x:c r="AN103" s="18" t="n">
        <x:v>25</x:v>
      </x:c>
      <x:c r="AO103" s="18" t="n">
        <x:v>0</x:v>
      </x:c>
      <x:c r="AP103" s="18" t="n">
        <x:v>0</x:v>
      </x:c>
      <x:c r="AQ103" s="18" t="n">
        <x:v>0</x:v>
      </x:c>
      <x:c r="AR103" s="18" t="n">
        <x:v>1</x:v>
      </x:c>
      <x:c r="AS103" s="18" t="n">
        <x:v>0</x:v>
      </x:c>
      <x:c r="AT103" s="18" t="n">
        <x:v>0</x:v>
      </x:c>
      <x:c r="AU103" s="18" t="n">
        <x:v>0</x:v>
      </x:c>
      <x:c r="AV103" s="18" t="n">
        <x:v>150</x:v>
      </x:c>
      <x:c r="AW103" s="18" t="n">
        <x:v>0</x:v>
      </x:c>
      <x:c r="AX103" s="18" t="n">
        <x:v>0</x:v>
      </x:c>
      <x:c r="AY103" s="18" t="n">
        <x:v>0</x:v>
      </x:c>
      <x:c r="AZ103" s="18" t="n">
        <x:v>0</x:v>
      </x:c>
      <x:c r="BA103" s="18" t="n">
        <x:v>0</x:v>
      </x:c>
      <x:c r="BB103" s="18" t="n">
        <x:v>0</x:v>
      </x:c>
      <x:c r="BC103" s="18" t="n">
        <x:v>0</x:v>
      </x:c>
      <x:c r="BD103" s="18" t="n">
        <x:v>3</x:v>
      </x:c>
      <x:c r="BE103" s="18" t="n">
        <x:v>0</x:v>
      </x:c>
      <x:c r="BF103" s="18" t="n">
        <x:v>1</x:v>
      </x:c>
      <x:c r="BG103" s="18" t="n">
        <x:v>0</x:v>
      </x:c>
    </x:row>
    <x:row r="104">
      <x:c r="A104" s="29" t="str">
        <x:v>177.4</x:v>
      </x:c>
      <x:c r="B104" s="17" t="n">
        <x:v>3109</x:v>
      </x:c>
      <x:c r="C104" s="17" t="str">
        <x:v>מועדון צופים</x:v>
      </x:c>
      <x:c r="D104" s="17" t="str">
        <x:v>חוף השנהב 39</x:v>
      </x:c>
      <x:c r="E104" s="17" t="str">
        <x:v>גבוה מאוד</x:v>
      </x:c>
      <x:c r="F104" s="18" t="n">
        <x:v>534</x:v>
      </x:c>
      <x:c r="G104" s="18" t="n">
        <x:v>365</x:v>
      </x:c>
      <x:c r="H104" s="19" t="n">
        <x:f>IFERROR(G104/F104,0)</x:f>
        <x:v>0.6835205992509363</x:v>
      </x:c>
      <x:c r="I104" s="18" t="n">
        <x:v>0</x:v>
      </x:c>
      <x:c r="J104" s="18" t="n">
        <x:v>365</x:v>
      </x:c>
      <x:c r="K104" s="18" t="n">
        <x:f>SUM(AM104,BF104,W104,AD104)</x:f>
        <x:v>62</x:v>
      </x:c>
      <x:c r="L104" s="18" t="n">
        <x:f>Q104+R104</x:f>
        <x:v>298</x:v>
      </x:c>
      <x:c r="M104" s="19" t="n">
        <x:f>IFERROR(K104/J104,0)</x:f>
        <x:v>0.16986301369863013</x:v>
      </x:c>
      <x:c r="N104" s="19" t="n">
        <x:f>IFERROR(L104/J104,0)</x:f>
        <x:v>0.8164383561643835</x:v>
      </x:c>
      <x:c r="O104" s="17" t="str">
        <x:f>IF(K104&gt;MAX(L104,S104),"קואליציית ההקמה 2022",IF(L104&gt;MAX(K104,S104),"אופוזיציה רחבה 2022","רשימות אחרות"))</x:f>
        <x:v>אופוזיציה רחבה 2022</x:v>
      </x:c>
      <x:c r="P104" s="17" t="str">
        <x:f>IF(AND(H104&lt;50%,N104&gt;50%),"כן","לא")</x:f>
        <x:v>לא</x:v>
      </x:c>
      <x:c r="Q104" s="18" t="n">
        <x:f>SUM(AV104,AJ104,AL104,T104,AN104)</x:f>
        <x:v>298</x:v>
      </x:c>
      <x:c r="R104" s="18" t="n">
        <x:f>SUM(Y104,AU104,X104)</x:f>
        <x:v>0</x:v>
      </x:c>
      <x:c r="S104" s="18" t="n">
        <x:f>J104-K104-L104</x:f>
        <x:v>5</x:v>
      </x:c>
      <x:c r="T104" s="18" t="n">
        <x:v>26</x:v>
      </x:c>
      <x:c r="U104" s="18" t="n">
        <x:v>0</x:v>
      </x:c>
      <x:c r="V104" s="18" t="n">
        <x:v>1</x:v>
      </x:c>
      <x:c r="W104" s="18" t="n">
        <x:v>0</x:v>
      </x:c>
      <x:c r="X104" s="18" t="n">
        <x:v>0</x:v>
      </x:c>
      <x:c r="Y104" s="18" t="n">
        <x:v>0</x:v>
      </x:c>
      <x:c r="Z104" s="18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11</x:v>
      </x:c>
      <x:c r="AE104" s="18" t="n">
        <x:v>0</x:v>
      </x:c>
      <x:c r="AF104" s="18" t="n">
        <x:v>1</x:v>
      </x:c>
      <x:c r="AG104" s="18" t="n">
        <x:v>0</x:v>
      </x:c>
      <x:c r="AH104" s="18" t="n">
        <x:v>0</x:v>
      </x:c>
      <x:c r="AI104" s="18" t="n">
        <x:v>0</x:v>
      </x:c>
      <x:c r="AJ104" s="18" t="n">
        <x:v>59</x:v>
      </x:c>
      <x:c r="AK104" s="18" t="n">
        <x:v>0</x:v>
      </x:c>
      <x:c r="AL104" s="18" t="n">
        <x:v>16</x:v>
      </x:c>
      <x:c r="AM104" s="18" t="n">
        <x:v>50</x:v>
      </x:c>
      <x:c r="AN104" s="18" t="n">
        <x:v>38</x:v>
      </x:c>
      <x:c r="AO104" s="18" t="n">
        <x:v>0</x:v>
      </x:c>
      <x:c r="AP104" s="18" t="n">
        <x:v>0</x:v>
      </x:c>
      <x:c r="AQ104" s="18" t="n">
        <x:v>0</x:v>
      </x:c>
      <x:c r="AR104" s="18" t="n">
        <x:v>0</x:v>
      </x:c>
      <x:c r="AS104" s="18" t="n">
        <x:v>0</x:v>
      </x:c>
      <x:c r="AT104" s="18" t="n">
        <x:v>0</x:v>
      </x:c>
      <x:c r="AU104" s="18" t="n">
        <x:v>0</x:v>
      </x:c>
      <x:c r="AV104" s="18" t="n">
        <x:v>159</x:v>
      </x:c>
      <x:c r="AW104" s="18" t="n">
        <x:v>0</x:v>
      </x:c>
      <x:c r="AX104" s="18" t="n">
        <x:v>1</x:v>
      </x:c>
      <x:c r="AY104" s="18" t="n">
        <x:v>0</x:v>
      </x:c>
      <x:c r="AZ104" s="18" t="n">
        <x:v>0</x:v>
      </x:c>
      <x:c r="BA104" s="18" t="n">
        <x:v>0</x:v>
      </x:c>
      <x:c r="BB104" s="18" t="n">
        <x:v>0</x:v>
      </x:c>
      <x:c r="BC104" s="18" t="n">
        <x:v>0</x:v>
      </x:c>
      <x:c r="BD104" s="18" t="n">
        <x:v>2</x:v>
      </x:c>
      <x:c r="BE104" s="18" t="n">
        <x:v>0</x:v>
      </x:c>
      <x:c r="BF104" s="18" t="n">
        <x:v>1</x:v>
      </x:c>
      <x:c r="BG104" s="18" t="n">
        <x:v>0</x:v>
      </x:c>
    </x:row>
    <x:row r="105">
      <x:c r="A105" s="29" t="str">
        <x:v>179</x:v>
      </x:c>
      <x:c r="B105" s="17" t="n">
        <x:v>3074</x:v>
      </x:c>
      <x:c r="C105" s="17" t="str">
        <x:v>שלוחת בי"ס אינשטיין</x:v>
      </x:c>
      <x:c r="D105" s="17" t="str">
        <x:v>אינשטיין אלברט 94</x:v>
      </x:c>
      <x:c r="E105" s="17" t="str">
        <x:v>גבוה מאוד</x:v>
      </x:c>
      <x:c r="F105" s="18" t="n">
        <x:v>484</x:v>
      </x:c>
      <x:c r="G105" s="18" t="n">
        <x:v>345</x:v>
      </x:c>
      <x:c r="H105" s="19" t="n">
        <x:f>IFERROR(G105/F105,0)</x:f>
        <x:v>0.7128099173553719</x:v>
      </x:c>
      <x:c r="I105" s="18" t="n">
        <x:v>2</x:v>
      </x:c>
      <x:c r="J105" s="18" t="n">
        <x:v>343</x:v>
      </x:c>
      <x:c r="K105" s="18" t="n">
        <x:f>SUM(AM105,BF105,W105,AD105)</x:f>
        <x:v>61</x:v>
      </x:c>
      <x:c r="L105" s="18" t="n">
        <x:f>Q105+R105</x:f>
        <x:v>273</x:v>
      </x:c>
      <x:c r="M105" s="19" t="n">
        <x:f>IFERROR(K105/J105,0)</x:f>
        <x:v>0.17784256559766765</x:v>
      </x:c>
      <x:c r="N105" s="19" t="n">
        <x:f>IFERROR(L105/J105,0)</x:f>
        <x:v>0.7959183673469388</x:v>
      </x:c>
      <x:c r="O105" s="17" t="str">
        <x:f>IF(K105&gt;MAX(L105,S105),"קואליציית ההקמה 2022",IF(L105&gt;MAX(K105,S105),"אופוזיציה רחבה 2022","רשימות אחרות"))</x:f>
        <x:v>אופוזיציה רחבה 2022</x:v>
      </x:c>
      <x:c r="P105" s="17" t="str">
        <x:f>IF(AND(H105&lt;50%,N105&gt;50%),"כן","לא")</x:f>
        <x:v>לא</x:v>
      </x:c>
      <x:c r="Q105" s="18" t="n">
        <x:f>SUM(AV105,AJ105,AL105,T105,AN105)</x:f>
        <x:v>273</x:v>
      </x:c>
      <x:c r="R105" s="18" t="n">
        <x:f>SUM(Y105,AU105,X105)</x:f>
        <x:v>0</x:v>
      </x:c>
      <x:c r="S105" s="18" t="n">
        <x:f>J105-K105-L105</x:f>
        <x:v>9</x:v>
      </x:c>
      <x:c r="T105" s="18" t="n">
        <x:v>18</x:v>
      </x:c>
      <x:c r="U105" s="18" t="n">
        <x:v>0</x:v>
      </x:c>
      <x:c r="V105" s="18" t="n">
        <x:v>2</x:v>
      </x:c>
      <x:c r="W105" s="18" t="n">
        <x:v>0</x:v>
      </x:c>
      <x:c r="X105" s="18" t="n">
        <x:v>0</x:v>
      </x:c>
      <x:c r="Y105" s="18" t="n">
        <x:v>0</x:v>
      </x:c>
      <x:c r="Z105" s="18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10</x:v>
      </x:c>
      <x:c r="AE105" s="18" t="n">
        <x:v>0</x:v>
      </x:c>
      <x:c r="AF105" s="18" t="n">
        <x:v>0</x:v>
      </x:c>
      <x:c r="AG105" s="18" t="n">
        <x:v>0</x:v>
      </x:c>
      <x:c r="AH105" s="18" t="n">
        <x:v>0</x:v>
      </x:c>
      <x:c r="AI105" s="18" t="n">
        <x:v>0</x:v>
      </x:c>
      <x:c r="AJ105" s="18" t="n">
        <x:v>57</x:v>
      </x:c>
      <x:c r="AK105" s="18" t="n">
        <x:v>0</x:v>
      </x:c>
      <x:c r="AL105" s="18" t="n">
        <x:v>19</x:v>
      </x:c>
      <x:c r="AM105" s="18" t="n">
        <x:v>50</x:v>
      </x:c>
      <x:c r="AN105" s="18" t="n">
        <x:v>22</x:v>
      </x:c>
      <x:c r="AO105" s="18" t="n">
        <x:v>0</x:v>
      </x:c>
      <x:c r="AP105" s="18" t="n">
        <x:v>0</x:v>
      </x:c>
      <x:c r="AQ105" s="18" t="n">
        <x:v>0</x:v>
      </x:c>
      <x:c r="AR105" s="18" t="n">
        <x:v>1</x:v>
      </x:c>
      <x:c r="AS105" s="18" t="n">
        <x:v>0</x:v>
      </x:c>
      <x:c r="AT105" s="18" t="n">
        <x:v>0</x:v>
      </x:c>
      <x:c r="AU105" s="18" t="n">
        <x:v>0</x:v>
      </x:c>
      <x:c r="AV105" s="18" t="n">
        <x:v>157</x:v>
      </x:c>
      <x:c r="AW105" s="18" t="n">
        <x:v>0</x:v>
      </x:c>
      <x:c r="AX105" s="18" t="n">
        <x:v>0</x:v>
      </x:c>
      <x:c r="AY105" s="18" t="n">
        <x:v>0</x:v>
      </x:c>
      <x:c r="AZ105" s="18" t="n">
        <x:v>0</x:v>
      </x:c>
      <x:c r="BA105" s="18" t="n">
        <x:v>0</x:v>
      </x:c>
      <x:c r="BB105" s="18" t="n">
        <x:v>2</x:v>
      </x:c>
      <x:c r="BC105" s="18" t="n">
        <x:v>0</x:v>
      </x:c>
      <x:c r="BD105" s="18" t="n">
        <x:v>4</x:v>
      </x:c>
      <x:c r="BE105" s="18" t="n">
        <x:v>0</x:v>
      </x:c>
      <x:c r="BF105" s="18" t="n">
        <x:v>1</x:v>
      </x:c>
      <x:c r="BG105" s="18" t="n">
        <x:v>0</x:v>
      </x:c>
    </x:row>
    <x:row r="106">
      <x:c r="A106" s="29" t="str">
        <x:v>180</x:v>
      </x:c>
      <x:c r="B106" s="17" t="n">
        <x:v>3044</x:v>
      </x:c>
      <x:c r="C106" s="17" t="str">
        <x:v>בי"ס רוממה</x:v>
      </x:c>
      <x:c r="D106" s="17" t="str">
        <x:v>אורן 27</x:v>
      </x:c>
      <x:c r="E106" s="17" t="str">
        <x:v>גבוה מאוד</x:v>
      </x:c>
      <x:c r="F106" s="18" t="n">
        <x:v>601</x:v>
      </x:c>
      <x:c r="G106" s="18" t="n">
        <x:v>271</x:v>
      </x:c>
      <x:c r="H106" s="19" t="n">
        <x:f>IFERROR(G106/F106,0)</x:f>
        <x:v>0.4509151414309484</x:v>
      </x:c>
      <x:c r="I106" s="18" t="n">
        <x:v>2</x:v>
      </x:c>
      <x:c r="J106" s="18" t="n">
        <x:v>269</x:v>
      </x:c>
      <x:c r="K106" s="18" t="n">
        <x:f>SUM(AM106,BF106,W106,AD106)</x:f>
        <x:v>77</x:v>
      </x:c>
      <x:c r="L106" s="18" t="n">
        <x:f>Q106+R106</x:f>
        <x:v>179</x:v>
      </x:c>
      <x:c r="M106" s="19" t="n">
        <x:f>IFERROR(K106/J106,0)</x:f>
        <x:v>0.2862453531598513</x:v>
      </x:c>
      <x:c r="N106" s="19" t="n">
        <x:f>IFERROR(L106/J106,0)</x:f>
        <x:v>0.6654275092936803</x:v>
      </x:c>
      <x:c r="O106" s="17" t="str">
        <x:f>IF(K106&gt;MAX(L106,S106),"קואליציית ההקמה 2022",IF(L106&gt;MAX(K106,S106),"אופוזיציה רחבה 2022","רשימות אחרות"))</x:f>
        <x:v>אופוזיציה רחבה 2022</x:v>
      </x:c>
      <x:c r="P106" s="17" t="str">
        <x:f>IF(AND(H106&lt;50%,N106&gt;50%),"כן","לא")</x:f>
        <x:v>כן</x:v>
      </x:c>
      <x:c r="Q106" s="18" t="n">
        <x:f>SUM(AV106,AJ106,AL106,T106,AN106)</x:f>
        <x:v>176</x:v>
      </x:c>
      <x:c r="R106" s="18" t="n">
        <x:f>SUM(Y106,AU106,X106)</x:f>
        <x:v>3</x:v>
      </x:c>
      <x:c r="S106" s="18" t="n">
        <x:f>J106-K106-L106</x:f>
        <x:v>13</x:v>
      </x:c>
      <x:c r="T106" s="18" t="n">
        <x:v>11</x:v>
      </x:c>
      <x:c r="U106" s="18" t="n">
        <x:v>0</x:v>
      </x:c>
      <x:c r="V106" s="18" t="n">
        <x:v>9</x:v>
      </x:c>
      <x:c r="W106" s="18" t="n">
        <x:v>1</x:v>
      </x:c>
      <x:c r="X106" s="18" t="n">
        <x:v>1</x:v>
      </x:c>
      <x:c r="Y106" s="18" t="n">
        <x:v>2</x:v>
      </x:c>
      <x:c r="Z106" s="18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15</x:v>
      </x:c>
      <x:c r="AE106" s="18" t="n">
        <x:v>0</x:v>
      </x:c>
      <x:c r="AF106" s="18" t="n">
        <x:v>1</x:v>
      </x:c>
      <x:c r="AG106" s="18" t="n">
        <x:v>0</x:v>
      </x:c>
      <x:c r="AH106" s="18" t="n">
        <x:v>0</x:v>
      </x:c>
      <x:c r="AI106" s="18" t="n">
        <x:v>0</x:v>
      </x:c>
      <x:c r="AJ106" s="18" t="n">
        <x:v>34</x:v>
      </x:c>
      <x:c r="AK106" s="18" t="n">
        <x:v>0</x:v>
      </x:c>
      <x:c r="AL106" s="18" t="n">
        <x:v>49</x:v>
      </x:c>
      <x:c r="AM106" s="18" t="n">
        <x:v>60</x:v>
      </x:c>
      <x:c r="AN106" s="18" t="n">
        <x:v>7</x:v>
      </x:c>
      <x:c r="AO106" s="18" t="n">
        <x:v>0</x:v>
      </x:c>
      <x:c r="AP106" s="18" t="n">
        <x:v>0</x:v>
      </x:c>
      <x:c r="AQ106" s="18" t="n">
        <x:v>0</x:v>
      </x:c>
      <x:c r="AR106" s="18" t="n">
        <x:v>0</x:v>
      </x:c>
      <x:c r="AS106" s="18" t="n">
        <x:v>0</x:v>
      </x:c>
      <x:c r="AT106" s="18" t="n">
        <x:v>0</x:v>
      </x:c>
      <x:c r="AU106" s="18" t="n">
        <x:v>0</x:v>
      </x:c>
      <x:c r="AV106" s="18" t="n">
        <x:v>75</x:v>
      </x:c>
      <x:c r="AW106" s="18" t="n">
        <x:v>0</x:v>
      </x:c>
      <x:c r="AX106" s="18" t="n">
        <x:v>0</x:v>
      </x:c>
      <x:c r="AY106" s="18" t="n">
        <x:v>0</x:v>
      </x:c>
      <x:c r="AZ106" s="18" t="n">
        <x:v>0</x:v>
      </x:c>
      <x:c r="BA106" s="18" t="n">
        <x:v>0</x:v>
      </x:c>
      <x:c r="BB106" s="18" t="n">
        <x:v>0</x:v>
      </x:c>
      <x:c r="BC106" s="18" t="n">
        <x:v>0</x:v>
      </x:c>
      <x:c r="BD106" s="18" t="n">
        <x:v>3</x:v>
      </x:c>
      <x:c r="BE106" s="18" t="n">
        <x:v>0</x:v>
      </x:c>
      <x:c r="BF106" s="18" t="n">
        <x:v>1</x:v>
      </x:c>
      <x:c r="BG106" s="18" t="n">
        <x:v>0</x:v>
      </x:c>
    </x:row>
    <x:row r="107">
      <x:c r="A107" s="29" t="str">
        <x:v>181.1</x:v>
      </x:c>
      <x:c r="B107" s="17" t="n">
        <x:v>3075</x:v>
      </x:c>
      <x:c r="C107" s="17" t="str">
        <x:v>בי"ס הריאלי - בנין לנדס</x:v>
      </x:c>
      <x:c r="D107" s="17" t="str">
        <x:v>שד אבא חושי 15</x:v>
      </x:c>
      <x:c r="E107" s="17" t="str">
        <x:v>גבוה מאוד</x:v>
      </x:c>
      <x:c r="F107" s="18" t="n">
        <x:v>559</x:v>
      </x:c>
      <x:c r="G107" s="18" t="n">
        <x:v>381</x:v>
      </x:c>
      <x:c r="H107" s="19" t="n">
        <x:f>IFERROR(G107/F107,0)</x:f>
        <x:v>0.6815742397137746</x:v>
      </x:c>
      <x:c r="I107" s="18" t="n">
        <x:v>1</x:v>
      </x:c>
      <x:c r="J107" s="18" t="n">
        <x:v>380</x:v>
      </x:c>
      <x:c r="K107" s="18" t="n">
        <x:f>SUM(AM107,BF107,W107,AD107)</x:f>
        <x:v>73</x:v>
      </x:c>
      <x:c r="L107" s="18" t="n">
        <x:f>Q107+R107</x:f>
        <x:v>295</x:v>
      </x:c>
      <x:c r="M107" s="19" t="n">
        <x:f>IFERROR(K107/J107,0)</x:f>
        <x:v>0.19210526315789472</x:v>
      </x:c>
      <x:c r="N107" s="19" t="n">
        <x:f>IFERROR(L107/J107,0)</x:f>
        <x:v>0.7763157894736842</x:v>
      </x:c>
      <x:c r="O107" s="17" t="str">
        <x:f>IF(K107&gt;MAX(L107,S107),"קואליציית ההקמה 2022",IF(L107&gt;MAX(K107,S107),"אופוזיציה רחבה 2022","רשימות אחרות"))</x:f>
        <x:v>אופוזיציה רחבה 2022</x:v>
      </x:c>
      <x:c r="P107" s="17" t="str">
        <x:f>IF(AND(H107&lt;50%,N107&gt;50%),"כן","לא")</x:f>
        <x:v>לא</x:v>
      </x:c>
      <x:c r="Q107" s="18" t="n">
        <x:f>SUM(AV107,AJ107,AL107,T107,AN107)</x:f>
        <x:v>293</x:v>
      </x:c>
      <x:c r="R107" s="18" t="n">
        <x:f>SUM(Y107,AU107,X107)</x:f>
        <x:v>2</x:v>
      </x:c>
      <x:c r="S107" s="18" t="n">
        <x:f>J107-K107-L107</x:f>
        <x:v>12</x:v>
      </x:c>
      <x:c r="T107" s="18" t="n">
        <x:v>19</x:v>
      </x:c>
      <x:c r="U107" s="18" t="n">
        <x:v>3</x:v>
      </x:c>
      <x:c r="V107" s="18" t="n">
        <x:v>3</x:v>
      </x:c>
      <x:c r="W107" s="18" t="n">
        <x:v>0</x:v>
      </x:c>
      <x:c r="X107" s="18" t="n">
        <x:v>0</x:v>
      </x:c>
      <x:c r="Y107" s="18" t="n">
        <x:v>2</x:v>
      </x:c>
      <x:c r="Z107" s="18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11</x:v>
      </x:c>
      <x:c r="AE107" s="18" t="n">
        <x:v>0</x:v>
      </x:c>
      <x:c r="AF107" s="18" t="n">
        <x:v>1</x:v>
      </x:c>
      <x:c r="AG107" s="18" t="n">
        <x:v>0</x:v>
      </x:c>
      <x:c r="AH107" s="18" t="n">
        <x:v>0</x:v>
      </x:c>
      <x:c r="AI107" s="18" t="n">
        <x:v>0</x:v>
      </x:c>
      <x:c r="AJ107" s="18" t="n">
        <x:v>56</x:v>
      </x:c>
      <x:c r="AK107" s="18" t="n">
        <x:v>0</x:v>
      </x:c>
      <x:c r="AL107" s="18" t="n">
        <x:v>17</x:v>
      </x:c>
      <x:c r="AM107" s="18" t="n">
        <x:v>59</x:v>
      </x:c>
      <x:c r="AN107" s="18" t="n">
        <x:v>35</x:v>
      </x:c>
      <x:c r="AO107" s="18" t="n">
        <x:v>0</x:v>
      </x:c>
      <x:c r="AP107" s="18" t="n">
        <x:v>0</x:v>
      </x:c>
      <x:c r="AQ107" s="18" t="n">
        <x:v>0</x:v>
      </x:c>
      <x:c r="AR107" s="18" t="n">
        <x:v>0</x:v>
      </x:c>
      <x:c r="AS107" s="18" t="n">
        <x:v>0</x:v>
      </x:c>
      <x:c r="AT107" s="18" t="n">
        <x:v>0</x:v>
      </x:c>
      <x:c r="AU107" s="18" t="n">
        <x:v>0</x:v>
      </x:c>
      <x:c r="AV107" s="18" t="n">
        <x:v>166</x:v>
      </x:c>
      <x:c r="AW107" s="18" t="n">
        <x:v>0</x:v>
      </x:c>
      <x:c r="AX107" s="18" t="n">
        <x:v>0</x:v>
      </x:c>
      <x:c r="AY107" s="18" t="n">
        <x:v>0</x:v>
      </x:c>
      <x:c r="AZ107" s="18" t="n">
        <x:v>0</x:v>
      </x:c>
      <x:c r="BA107" s="18" t="n">
        <x:v>0</x:v>
      </x:c>
      <x:c r="BB107" s="18" t="n">
        <x:v>0</x:v>
      </x:c>
      <x:c r="BC107" s="18" t="n">
        <x:v>0</x:v>
      </x:c>
      <x:c r="BD107" s="18" t="n">
        <x:v>5</x:v>
      </x:c>
      <x:c r="BE107" s="18" t="n">
        <x:v>0</x:v>
      </x:c>
      <x:c r="BF107" s="18" t="n">
        <x:v>3</x:v>
      </x:c>
      <x:c r="BG107" s="18" t="n">
        <x:v>0</x:v>
      </x:c>
    </x:row>
    <x:row r="108">
      <x:c r="A108" s="29" t="str">
        <x:v>181.2</x:v>
      </x:c>
      <x:c r="B108" s="17" t="n">
        <x:v>3076</x:v>
      </x:c>
      <x:c r="C108" s="17" t="str">
        <x:v>בי"ס הריאלי - בנין לנדס</x:v>
      </x:c>
      <x:c r="D108" s="17" t="str">
        <x:v>שד אבא חושי 15</x:v>
      </x:c>
      <x:c r="E108" s="17" t="str">
        <x:v>גבוה מאוד</x:v>
      </x:c>
      <x:c r="F108" s="18" t="n">
        <x:v>559</x:v>
      </x:c>
      <x:c r="G108" s="18" t="n">
        <x:v>351</x:v>
      </x:c>
      <x:c r="H108" s="19" t="n">
        <x:f>IFERROR(G108/F108,0)</x:f>
        <x:v>0.627906976744186</x:v>
      </x:c>
      <x:c r="I108" s="18" t="n">
        <x:v>0</x:v>
      </x:c>
      <x:c r="J108" s="18" t="n">
        <x:v>351</x:v>
      </x:c>
      <x:c r="K108" s="18" t="n">
        <x:f>SUM(AM108,BF108,W108,AD108)</x:f>
        <x:v>77</x:v>
      </x:c>
      <x:c r="L108" s="18" t="n">
        <x:f>Q108+R108</x:f>
        <x:v>263</x:v>
      </x:c>
      <x:c r="M108" s="19" t="n">
        <x:f>IFERROR(K108/J108,0)</x:f>
        <x:v>0.21937321937321938</x:v>
      </x:c>
      <x:c r="N108" s="19" t="n">
        <x:f>IFERROR(L108/J108,0)</x:f>
        <x:v>0.7492877492877493</x:v>
      </x:c>
      <x:c r="O108" s="17" t="str">
        <x:f>IF(K108&gt;MAX(L108,S108),"קואליציית ההקמה 2022",IF(L108&gt;MAX(K108,S108),"אופוזיציה רחבה 2022","רשימות אחרות"))</x:f>
        <x:v>אופוזיציה רחבה 2022</x:v>
      </x:c>
      <x:c r="P108" s="17" t="str">
        <x:f>IF(AND(H108&lt;50%,N108&gt;50%),"כן","לא")</x:f>
        <x:v>לא</x:v>
      </x:c>
      <x:c r="Q108" s="18" t="n">
        <x:f>SUM(AV108,AJ108,AL108,T108,AN108)</x:f>
        <x:v>259</x:v>
      </x:c>
      <x:c r="R108" s="18" t="n">
        <x:f>SUM(Y108,AU108,X108)</x:f>
        <x:v>4</x:v>
      </x:c>
      <x:c r="S108" s="18" t="n">
        <x:f>J108-K108-L108</x:f>
        <x:v>11</x:v>
      </x:c>
      <x:c r="T108" s="18" t="n">
        <x:v>25</x:v>
      </x:c>
      <x:c r="U108" s="18" t="n">
        <x:v>0</x:v>
      </x:c>
      <x:c r="V108" s="18" t="n">
        <x:v>3</x:v>
      </x:c>
      <x:c r="W108" s="18" t="n">
        <x:v>6</x:v>
      </x:c>
      <x:c r="X108" s="18" t="n">
        <x:v>1</x:v>
      </x:c>
      <x:c r="Y108" s="18" t="n">
        <x:v>3</x:v>
      </x:c>
      <x:c r="Z108" s="18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22</x:v>
      </x:c>
      <x:c r="AE108" s="18" t="n">
        <x:v>0</x:v>
      </x:c>
      <x:c r="AF108" s="18" t="n">
        <x:v>2</x:v>
      </x:c>
      <x:c r="AG108" s="18" t="n">
        <x:v>0</x:v>
      </x:c>
      <x:c r="AH108" s="18" t="n">
        <x:v>0</x:v>
      </x:c>
      <x:c r="AI108" s="18" t="n">
        <x:v>0</x:v>
      </x:c>
      <x:c r="AJ108" s="18" t="n">
        <x:v>59</x:v>
      </x:c>
      <x:c r="AK108" s="18" t="n">
        <x:v>0</x:v>
      </x:c>
      <x:c r="AL108" s="18" t="n">
        <x:v>9</x:v>
      </x:c>
      <x:c r="AM108" s="18" t="n">
        <x:v>47</x:v>
      </x:c>
      <x:c r="AN108" s="18" t="n">
        <x:v>35</x:v>
      </x:c>
      <x:c r="AO108" s="18" t="n">
        <x:v>0</x:v>
      </x:c>
      <x:c r="AP108" s="18" t="n">
        <x:v>0</x:v>
      </x:c>
      <x:c r="AQ108" s="18" t="n">
        <x:v>0</x:v>
      </x:c>
      <x:c r="AR108" s="18" t="n">
        <x:v>0</x:v>
      </x:c>
      <x:c r="AS108" s="18" t="n">
        <x:v>0</x:v>
      </x:c>
      <x:c r="AT108" s="18" t="n">
        <x:v>0</x:v>
      </x:c>
      <x:c r="AU108" s="18" t="n">
        <x:v>0</x:v>
      </x:c>
      <x:c r="AV108" s="18" t="n">
        <x:v>131</x:v>
      </x:c>
      <x:c r="AW108" s="18" t="n">
        <x:v>1</x:v>
      </x:c>
      <x:c r="AX108" s="18" t="n">
        <x:v>0</x:v>
      </x:c>
      <x:c r="AY108" s="18" t="n">
        <x:v>1</x:v>
      </x:c>
      <x:c r="AZ108" s="18" t="n">
        <x:v>0</x:v>
      </x:c>
      <x:c r="BA108" s="18" t="n">
        <x:v>0</x:v>
      </x:c>
      <x:c r="BB108" s="18" t="n">
        <x:v>1</x:v>
      </x:c>
      <x:c r="BC108" s="18" t="n">
        <x:v>0</x:v>
      </x:c>
      <x:c r="BD108" s="18" t="n">
        <x:v>3</x:v>
      </x:c>
      <x:c r="BE108" s="18" t="n">
        <x:v>0</x:v>
      </x:c>
      <x:c r="BF108" s="18" t="n">
        <x:v>2</x:v>
      </x:c>
      <x:c r="BG108" s="18" t="n">
        <x:v>0</x:v>
      </x:c>
    </x:row>
    <x:row r="109">
      <x:c r="A109" s="29" t="str">
        <x:v>181.3</x:v>
      </x:c>
      <x:c r="B109" s="17" t="n">
        <x:v>3077</x:v>
      </x:c>
      <x:c r="C109" s="17" t="str">
        <x:v>בי"ס הריאלי - בנין לנדס</x:v>
      </x:c>
      <x:c r="D109" s="17" t="str">
        <x:v>שד אבא חושי 15</x:v>
      </x:c>
      <x:c r="E109" s="17" t="str">
        <x:v>גבוה מאוד</x:v>
      </x:c>
      <x:c r="F109" s="18" t="n">
        <x:v>559</x:v>
      </x:c>
      <x:c r="G109" s="18" t="n">
        <x:v>362</x:v>
      </x:c>
      <x:c r="H109" s="19" t="n">
        <x:f>IFERROR(G109/F109,0)</x:f>
        <x:v>0.6475849731663685</x:v>
      </x:c>
      <x:c r="I109" s="18" t="n">
        <x:v>0</x:v>
      </x:c>
      <x:c r="J109" s="18" t="n">
        <x:v>362</x:v>
      </x:c>
      <x:c r="K109" s="18" t="n">
        <x:f>SUM(AM109,BF109,W109,AD109)</x:f>
        <x:v>76</x:v>
      </x:c>
      <x:c r="L109" s="18" t="n">
        <x:f>Q109+R109</x:f>
        <x:v>277</x:v>
      </x:c>
      <x:c r="M109" s="19" t="n">
        <x:f>IFERROR(K109/J109,0)</x:f>
        <x:v>0.20994475138121546</x:v>
      </x:c>
      <x:c r="N109" s="19" t="n">
        <x:f>IFERROR(L109/J109,0)</x:f>
        <x:v>0.7651933701657458</x:v>
      </x:c>
      <x:c r="O109" s="17" t="str">
        <x:f>IF(K109&gt;MAX(L109,S109),"קואליציית ההקמה 2022",IF(L109&gt;MAX(K109,S109),"אופוזיציה רחבה 2022","רשימות אחרות"))</x:f>
        <x:v>אופוזיציה רחבה 2022</x:v>
      </x:c>
      <x:c r="P109" s="17" t="str">
        <x:f>IF(AND(H109&lt;50%,N109&gt;50%),"כן","לא")</x:f>
        <x:v>לא</x:v>
      </x:c>
      <x:c r="Q109" s="18" t="n">
        <x:f>SUM(AV109,AJ109,AL109,T109,AN109)</x:f>
        <x:v>273</x:v>
      </x:c>
      <x:c r="R109" s="18" t="n">
        <x:f>SUM(Y109,AU109,X109)</x:f>
        <x:v>4</x:v>
      </x:c>
      <x:c r="S109" s="18" t="n">
        <x:f>J109-K109-L109</x:f>
        <x:v>9</x:v>
      </x:c>
      <x:c r="T109" s="18" t="n">
        <x:v>27</x:v>
      </x:c>
      <x:c r="U109" s="18" t="n">
        <x:v>3</x:v>
      </x:c>
      <x:c r="V109" s="18" t="n">
        <x:v>5</x:v>
      </x:c>
      <x:c r="W109" s="18" t="n">
        <x:v>0</x:v>
      </x:c>
      <x:c r="X109" s="18" t="n">
        <x:v>0</x:v>
      </x:c>
      <x:c r="Y109" s="18" t="n">
        <x:v>4</x:v>
      </x:c>
      <x:c r="Z109" s="18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10</x:v>
      </x:c>
      <x:c r="AE109" s="18" t="n">
        <x:v>0</x:v>
      </x:c>
      <x:c r="AF109" s="18" t="n">
        <x:v>1</x:v>
      </x:c>
      <x:c r="AG109" s="18" t="n">
        <x:v>0</x:v>
      </x:c>
      <x:c r="AH109" s="18" t="n">
        <x:v>0</x:v>
      </x:c>
      <x:c r="AI109" s="18" t="n">
        <x:v>0</x:v>
      </x:c>
      <x:c r="AJ109" s="18" t="n">
        <x:v>53</x:v>
      </x:c>
      <x:c r="AK109" s="18" t="n">
        <x:v>0</x:v>
      </x:c>
      <x:c r="AL109" s="18" t="n">
        <x:v>19</x:v>
      </x:c>
      <x:c r="AM109" s="18" t="n">
        <x:v>64</x:v>
      </x:c>
      <x:c r="AN109" s="18" t="n">
        <x:v>19</x:v>
      </x:c>
      <x:c r="AO109" s="18" t="n">
        <x:v>0</x:v>
      </x:c>
      <x:c r="AP109" s="18" t="n">
        <x:v>0</x:v>
      </x:c>
      <x:c r="AQ109" s="18" t="n">
        <x:v>0</x:v>
      </x:c>
      <x:c r="AR109" s="18" t="n">
        <x:v>0</x:v>
      </x:c>
      <x:c r="AS109" s="18" t="n">
        <x:v>0</x:v>
      </x:c>
      <x:c r="AT109" s="18" t="n">
        <x:v>0</x:v>
      </x:c>
      <x:c r="AU109" s="18" t="n">
        <x:v>0</x:v>
      </x:c>
      <x:c r="AV109" s="18" t="n">
        <x:v>155</x:v>
      </x:c>
      <x:c r="AW109" s="18" t="n">
        <x:v>0</x:v>
      </x:c>
      <x:c r="AX109" s="18" t="n">
        <x:v>0</x:v>
      </x:c>
      <x:c r="AY109" s="18" t="n">
        <x:v>0</x:v>
      </x:c>
      <x:c r="AZ109" s="18" t="n">
        <x:v>0</x:v>
      </x:c>
      <x:c r="BA109" s="18" t="n">
        <x:v>0</x:v>
      </x:c>
      <x:c r="BB109" s="18" t="n">
        <x:v>0</x:v>
      </x:c>
      <x:c r="BC109" s="18" t="n">
        <x:v>0</x:v>
      </x:c>
      <x:c r="BD109" s="18" t="n">
        <x:v>0</x:v>
      </x:c>
      <x:c r="BE109" s="18" t="n">
        <x:v>0</x:v>
      </x:c>
      <x:c r="BF109" s="18" t="n">
        <x:v>2</x:v>
      </x:c>
      <x:c r="BG109" s="18" t="n">
        <x:v>0</x:v>
      </x:c>
    </x:row>
    <x:row r="110">
      <x:c r="A110" s="29" t="str">
        <x:v>181.4</x:v>
      </x:c>
      <x:c r="B110" s="17" t="n">
        <x:v>3078</x:v>
      </x:c>
      <x:c r="C110" s="17" t="str">
        <x:v>בי"ס הריאלי - בנין לנדס</x:v>
      </x:c>
      <x:c r="D110" s="17" t="str">
        <x:v>שד אבא חושי 15</x:v>
      </x:c>
      <x:c r="E110" s="17" t="str">
        <x:v>גבוה מאוד</x:v>
      </x:c>
      <x:c r="F110" s="18" t="n">
        <x:v>557</x:v>
      </x:c>
      <x:c r="G110" s="18" t="n">
        <x:v>369</x:v>
      </x:c>
      <x:c r="H110" s="19" t="n">
        <x:f>IFERROR(G110/F110,0)</x:f>
        <x:v>0.6624775583482945</x:v>
      </x:c>
      <x:c r="I110" s="18" t="n">
        <x:v>2</x:v>
      </x:c>
      <x:c r="J110" s="18" t="n">
        <x:v>367</x:v>
      </x:c>
      <x:c r="K110" s="18" t="n">
        <x:f>SUM(AM110,BF110,W110,AD110)</x:f>
        <x:v>70</x:v>
      </x:c>
      <x:c r="L110" s="18" t="n">
        <x:f>Q110+R110</x:f>
        <x:v>283</x:v>
      </x:c>
      <x:c r="M110" s="19" t="n">
        <x:f>IFERROR(K110/J110,0)</x:f>
        <x:v>0.1907356948228883</x:v>
      </x:c>
      <x:c r="N110" s="19" t="n">
        <x:f>IFERROR(L110/J110,0)</x:f>
        <x:v>0.771117166212534</x:v>
      </x:c>
      <x:c r="O110" s="17" t="str">
        <x:f>IF(K110&gt;MAX(L110,S110),"קואליציית ההקמה 2022",IF(L110&gt;MAX(K110,S110),"אופוזיציה רחבה 2022","רשימות אחרות"))</x:f>
        <x:v>אופוזיציה רחבה 2022</x:v>
      </x:c>
      <x:c r="P110" s="17" t="str">
        <x:f>IF(AND(H110&lt;50%,N110&gt;50%),"כן","לא")</x:f>
        <x:v>לא</x:v>
      </x:c>
      <x:c r="Q110" s="18" t="n">
        <x:f>SUM(AV110,AJ110,AL110,T110,AN110)</x:f>
        <x:v>278</x:v>
      </x:c>
      <x:c r="R110" s="18" t="n">
        <x:f>SUM(Y110,AU110,X110)</x:f>
        <x:v>5</x:v>
      </x:c>
      <x:c r="S110" s="18" t="n">
        <x:f>J110-K110-L110</x:f>
        <x:v>14</x:v>
      </x:c>
      <x:c r="T110" s="18" t="n">
        <x:v>27</x:v>
      </x:c>
      <x:c r="U110" s="18" t="n">
        <x:v>1</x:v>
      </x:c>
      <x:c r="V110" s="18" t="n">
        <x:v>5</x:v>
      </x:c>
      <x:c r="W110" s="18" t="n">
        <x:v>4</x:v>
      </x:c>
      <x:c r="X110" s="18" t="n">
        <x:v>1</x:v>
      </x:c>
      <x:c r="Y110" s="18" t="n">
        <x:v>4</x:v>
      </x:c>
      <x:c r="Z110" s="18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24</x:v>
      </x:c>
      <x:c r="AE110" s="18" t="n">
        <x:v>0</x:v>
      </x:c>
      <x:c r="AF110" s="18" t="n">
        <x:v>4</x:v>
      </x:c>
      <x:c r="AG110" s="18" t="n">
        <x:v>0</x:v>
      </x:c>
      <x:c r="AH110" s="18" t="n">
        <x:v>0</x:v>
      </x:c>
      <x:c r="AI110" s="18" t="n">
        <x:v>0</x:v>
      </x:c>
      <x:c r="AJ110" s="18" t="n">
        <x:v>50</x:v>
      </x:c>
      <x:c r="AK110" s="18" t="n">
        <x:v>0</x:v>
      </x:c>
      <x:c r="AL110" s="18" t="n">
        <x:v>11</x:v>
      </x:c>
      <x:c r="AM110" s="18" t="n">
        <x:v>41</x:v>
      </x:c>
      <x:c r="AN110" s="18" t="n">
        <x:v>42</x:v>
      </x:c>
      <x:c r="AO110" s="18" t="n">
        <x:v>0</x:v>
      </x:c>
      <x:c r="AP110" s="18" t="n">
        <x:v>0</x:v>
      </x:c>
      <x:c r="AQ110" s="18" t="n">
        <x:v>0</x:v>
      </x:c>
      <x:c r="AR110" s="18" t="n">
        <x:v>0</x:v>
      </x:c>
      <x:c r="AS110" s="18" t="n">
        <x:v>0</x:v>
      </x:c>
      <x:c r="AT110" s="18" t="n">
        <x:v>0</x:v>
      </x:c>
      <x:c r="AU110" s="18" t="n">
        <x:v>0</x:v>
      </x:c>
      <x:c r="AV110" s="18" t="n">
        <x:v>148</x:v>
      </x:c>
      <x:c r="AW110" s="18" t="n">
        <x:v>0</x:v>
      </x:c>
      <x:c r="AX110" s="18" t="n">
        <x:v>0</x:v>
      </x:c>
      <x:c r="AY110" s="18" t="n">
        <x:v>0</x:v>
      </x:c>
      <x:c r="AZ110" s="18" t="n">
        <x:v>0</x:v>
      </x:c>
      <x:c r="BA110" s="18" t="n">
        <x:v>0</x:v>
      </x:c>
      <x:c r="BB110" s="18" t="n">
        <x:v>0</x:v>
      </x:c>
      <x:c r="BC110" s="18" t="n">
        <x:v>0</x:v>
      </x:c>
      <x:c r="BD110" s="18" t="n">
        <x:v>4</x:v>
      </x:c>
      <x:c r="BE110" s="18" t="n">
        <x:v>0</x:v>
      </x:c>
      <x:c r="BF110" s="18" t="n">
        <x:v>1</x:v>
      </x:c>
      <x:c r="BG110" s="18" t="n">
        <x:v>0</x:v>
      </x:c>
    </x:row>
    <x:row r="111">
      <x:c r="A111" s="29" t="str">
        <x:v>184</x:v>
      </x:c>
      <x:c r="B111" s="17" t="n">
        <x:v>3045</x:v>
      </x:c>
      <x:c r="C111" s="17" t="str">
        <x:v>בי"ס רוממה</x:v>
      </x:c>
      <x:c r="D111" s="17" t="str">
        <x:v>אורן 27</x:v>
      </x:c>
      <x:c r="E111" s="17" t="str">
        <x:v>גבוה מאוד</x:v>
      </x:c>
      <x:c r="F111" s="18" t="n">
        <x:v>571</x:v>
      </x:c>
      <x:c r="G111" s="18" t="n">
        <x:v>361</x:v>
      </x:c>
      <x:c r="H111" s="19" t="n">
        <x:f>IFERROR(G111/F111,0)</x:f>
        <x:v>0.6322241681260946</x:v>
      </x:c>
      <x:c r="I111" s="18" t="n">
        <x:v>2</x:v>
      </x:c>
      <x:c r="J111" s="18" t="n">
        <x:v>359</x:v>
      </x:c>
      <x:c r="K111" s="18" t="n">
        <x:f>SUM(AM111,BF111,W111,AD111)</x:f>
        <x:v>61</x:v>
      </x:c>
      <x:c r="L111" s="18" t="n">
        <x:f>Q111+R111</x:f>
        <x:v>287</x:v>
      </x:c>
      <x:c r="M111" s="19" t="n">
        <x:f>IFERROR(K111/J111,0)</x:f>
        <x:v>0.16991643454038996</x:v>
      </x:c>
      <x:c r="N111" s="19" t="n">
        <x:f>IFERROR(L111/J111,0)</x:f>
        <x:v>0.7994428969359332</x:v>
      </x:c>
      <x:c r="O111" s="17" t="str">
        <x:f>IF(K111&gt;MAX(L111,S111),"קואליציית ההקמה 2022",IF(L111&gt;MAX(K111,S111),"אופוזיציה רחבה 2022","רשימות אחרות"))</x:f>
        <x:v>אופוזיציה רחבה 2022</x:v>
      </x:c>
      <x:c r="P111" s="17" t="str">
        <x:f>IF(AND(H111&lt;50%,N111&gt;50%),"כן","לא")</x:f>
        <x:v>לא</x:v>
      </x:c>
      <x:c r="Q111" s="18" t="n">
        <x:f>SUM(AV111,AJ111,AL111,T111,AN111)</x:f>
        <x:v>285</x:v>
      </x:c>
      <x:c r="R111" s="18" t="n">
        <x:f>SUM(Y111,AU111,X111)</x:f>
        <x:v>2</x:v>
      </x:c>
      <x:c r="S111" s="18" t="n">
        <x:f>J111-K111-L111</x:f>
        <x:v>11</x:v>
      </x:c>
      <x:c r="T111" s="18" t="n">
        <x:v>25</x:v>
      </x:c>
      <x:c r="U111" s="18" t="n">
        <x:v>1</x:v>
      </x:c>
      <x:c r="V111" s="18" t="n">
        <x:v>6</x:v>
      </x:c>
      <x:c r="W111" s="18" t="n">
        <x:v>1</x:v>
      </x:c>
      <x:c r="X111" s="18" t="n">
        <x:v>0</x:v>
      </x:c>
      <x:c r="Y111" s="18" t="n">
        <x:v>2</x:v>
      </x:c>
      <x:c r="Z111" s="18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17</x:v>
      </x:c>
      <x:c r="AE111" s="18" t="n">
        <x:v>0</x:v>
      </x:c>
      <x:c r="AF111" s="18" t="n">
        <x:v>2</x:v>
      </x:c>
      <x:c r="AG111" s="18" t="n">
        <x:v>0</x:v>
      </x:c>
      <x:c r="AH111" s="18" t="n">
        <x:v>0</x:v>
      </x:c>
      <x:c r="AI111" s="18" t="n">
        <x:v>0</x:v>
      </x:c>
      <x:c r="AJ111" s="18" t="n">
        <x:v>48</x:v>
      </x:c>
      <x:c r="AK111" s="18" t="n">
        <x:v>0</x:v>
      </x:c>
      <x:c r="AL111" s="18" t="n">
        <x:v>30</x:v>
      </x:c>
      <x:c r="AM111" s="18" t="n">
        <x:v>42</x:v>
      </x:c>
      <x:c r="AN111" s="18" t="n">
        <x:v>23</x:v>
      </x:c>
      <x:c r="AO111" s="18" t="n">
        <x:v>0</x:v>
      </x:c>
      <x:c r="AP111" s="18" t="n">
        <x:v>0</x:v>
      </x:c>
      <x:c r="AQ111" s="18" t="n">
        <x:v>0</x:v>
      </x:c>
      <x:c r="AR111" s="18" t="n">
        <x:v>0</x:v>
      </x:c>
      <x:c r="AS111" s="18" t="n">
        <x:v>0</x:v>
      </x:c>
      <x:c r="AT111" s="18" t="n">
        <x:v>0</x:v>
      </x:c>
      <x:c r="AU111" s="18" t="n">
        <x:v>0</x:v>
      </x:c>
      <x:c r="AV111" s="18" t="n">
        <x:v>159</x:v>
      </x:c>
      <x:c r="AW111" s="18" t="n">
        <x:v>0</x:v>
      </x:c>
      <x:c r="AX111" s="18" t="n">
        <x:v>0</x:v>
      </x:c>
      <x:c r="AY111" s="18" t="n">
        <x:v>0</x:v>
      </x:c>
      <x:c r="AZ111" s="18" t="n">
        <x:v>1</x:v>
      </x:c>
      <x:c r="BA111" s="18" t="n">
        <x:v>0</x:v>
      </x:c>
      <x:c r="BB111" s="18" t="n">
        <x:v>0</x:v>
      </x:c>
      <x:c r="BC111" s="18" t="n">
        <x:v>1</x:v>
      </x:c>
      <x:c r="BD111" s="18" t="n">
        <x:v>0</x:v>
      </x:c>
      <x:c r="BE111" s="18" t="n">
        <x:v>0</x:v>
      </x:c>
      <x:c r="BF111" s="18" t="n">
        <x:v>1</x:v>
      </x:c>
      <x:c r="BG111" s="18" t="n">
        <x:v>0</x:v>
      </x:c>
    </x:row>
    <x:row r="112">
      <x:c r="A112" s="29" t="str">
        <x:v>186</x:v>
      </x:c>
      <x:c r="B112" s="17" t="n">
        <x:v>3046</x:v>
      </x:c>
      <x:c r="C112" s="17" t="str">
        <x:v>בי"ס רוממה</x:v>
      </x:c>
      <x:c r="D112" s="17" t="str">
        <x:v>אורן 27</x:v>
      </x:c>
      <x:c r="E112" s="17" t="str">
        <x:v>גבוה מאוד</x:v>
      </x:c>
      <x:c r="F112" s="18" t="n">
        <x:v>503</x:v>
      </x:c>
      <x:c r="G112" s="18" t="n">
        <x:v>287</x:v>
      </x:c>
      <x:c r="H112" s="19" t="n">
        <x:f>IFERROR(G112/F112,0)</x:f>
        <x:v>0.5705765407554672</x:v>
      </x:c>
      <x:c r="I112" s="18" t="n">
        <x:v>3</x:v>
      </x:c>
      <x:c r="J112" s="18" t="n">
        <x:v>284</x:v>
      </x:c>
      <x:c r="K112" s="18" t="n">
        <x:f>SUM(AM112,BF112,W112,AD112)</x:f>
        <x:v>51</x:v>
      </x:c>
      <x:c r="L112" s="18" t="n">
        <x:f>Q112+R112</x:f>
        <x:v>221</x:v>
      </x:c>
      <x:c r="M112" s="19" t="n">
        <x:f>IFERROR(K112/J112,0)</x:f>
        <x:v>0.1795774647887324</x:v>
      </x:c>
      <x:c r="N112" s="19" t="n">
        <x:f>IFERROR(L112/J112,0)</x:f>
        <x:v>0.778169014084507</x:v>
      </x:c>
      <x:c r="O112" s="17" t="str">
        <x:f>IF(K112&gt;MAX(L112,S112),"קואליציית ההקמה 2022",IF(L112&gt;MAX(K112,S112),"אופוזיציה רחבה 2022","רשימות אחרות"))</x:f>
        <x:v>אופוזיציה רחבה 2022</x:v>
      </x:c>
      <x:c r="P112" s="17" t="str">
        <x:f>IF(AND(H112&lt;50%,N112&gt;50%),"כן","לא")</x:f>
        <x:v>לא</x:v>
      </x:c>
      <x:c r="Q112" s="18" t="n">
        <x:f>SUM(AV112,AJ112,AL112,T112,AN112)</x:f>
        <x:v>221</x:v>
      </x:c>
      <x:c r="R112" s="18" t="n">
        <x:f>SUM(Y112,AU112,X112)</x:f>
        <x:v>0</x:v>
      </x:c>
      <x:c r="S112" s="18" t="n">
        <x:f>J112-K112-L112</x:f>
        <x:v>12</x:v>
      </x:c>
      <x:c r="T112" s="18" t="n">
        <x:v>30</x:v>
      </x:c>
      <x:c r="U112" s="18" t="n">
        <x:v>1</x:v>
      </x:c>
      <x:c r="V112" s="18" t="n">
        <x:v>1</x:v>
      </x:c>
      <x:c r="W112" s="18" t="n">
        <x:v>0</x:v>
      </x:c>
      <x:c r="X112" s="18" t="n">
        <x:v>0</x:v>
      </x:c>
      <x:c r="Y112" s="18" t="n">
        <x:v>0</x:v>
      </x:c>
      <x:c r="Z112" s="18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11</x:v>
      </x:c>
      <x:c r="AE112" s="18" t="n">
        <x:v>0</x:v>
      </x:c>
      <x:c r="AF112" s="18" t="n">
        <x:v>3</x:v>
      </x:c>
      <x:c r="AG112" s="18" t="n">
        <x:v>0</x:v>
      </x:c>
      <x:c r="AH112" s="18" t="n">
        <x:v>0</x:v>
      </x:c>
      <x:c r="AI112" s="18" t="n">
        <x:v>0</x:v>
      </x:c>
      <x:c r="AJ112" s="18" t="n">
        <x:v>32</x:v>
      </x:c>
      <x:c r="AK112" s="18" t="n">
        <x:v>0</x:v>
      </x:c>
      <x:c r="AL112" s="18" t="n">
        <x:v>32</x:v>
      </x:c>
      <x:c r="AM112" s="18" t="n">
        <x:v>38</x:v>
      </x:c>
      <x:c r="AN112" s="18" t="n">
        <x:v>10</x:v>
      </x:c>
      <x:c r="AO112" s="18" t="n">
        <x:v>0</x:v>
      </x:c>
      <x:c r="AP112" s="18" t="n">
        <x:v>0</x:v>
      </x:c>
      <x:c r="AQ112" s="18" t="n">
        <x:v>0</x:v>
      </x:c>
      <x:c r="AR112" s="18" t="n">
        <x:v>1</x:v>
      </x:c>
      <x:c r="AS112" s="18" t="n">
        <x:v>0</x:v>
      </x:c>
      <x:c r="AT112" s="18" t="n">
        <x:v>1</x:v>
      </x:c>
      <x:c r="AU112" s="18" t="n">
        <x:v>0</x:v>
      </x:c>
      <x:c r="AV112" s="18" t="n">
        <x:v>117</x:v>
      </x:c>
      <x:c r="AW112" s="18" t="n">
        <x:v>0</x:v>
      </x:c>
      <x:c r="AX112" s="18" t="n">
        <x:v>1</x:v>
      </x:c>
      <x:c r="AY112" s="18" t="n">
        <x:v>0</x:v>
      </x:c>
      <x:c r="AZ112" s="18" t="n">
        <x:v>0</x:v>
      </x:c>
      <x:c r="BA112" s="18" t="n">
        <x:v>0</x:v>
      </x:c>
      <x:c r="BB112" s="18" t="n">
        <x:v>0</x:v>
      </x:c>
      <x:c r="BC112" s="18" t="n">
        <x:v>1</x:v>
      </x:c>
      <x:c r="BD112" s="18" t="n">
        <x:v>3</x:v>
      </x:c>
      <x:c r="BE112" s="18" t="n">
        <x:v>0</x:v>
      </x:c>
      <x:c r="BF112" s="18" t="n">
        <x:v>2</x:v>
      </x:c>
      <x:c r="BG112" s="18" t="n">
        <x:v>0</x:v>
      </x:c>
    </x:row>
    <x:row r="113">
      <x:c r="A113" s="29" t="str">
        <x:v>187</x:v>
      </x:c>
      <x:c r="B113" s="17" t="n">
        <x:v>3079</x:v>
      </x:c>
      <x:c r="C113" s="17" t="str">
        <x:v>שלוחת בי"ס אינשטיין</x:v>
      </x:c>
      <x:c r="D113" s="17" t="str">
        <x:v>אינשטיין אלברט 94</x:v>
      </x:c>
      <x:c r="E113" s="17" t="str">
        <x:v>גבוה מאוד</x:v>
      </x:c>
      <x:c r="F113" s="18" t="n">
        <x:v>560</x:v>
      </x:c>
      <x:c r="G113" s="18" t="n">
        <x:v>369</x:v>
      </x:c>
      <x:c r="H113" s="19" t="n">
        <x:f>IFERROR(G113/F113,0)</x:f>
        <x:v>0.6589285714285714</x:v>
      </x:c>
      <x:c r="I113" s="18" t="n">
        <x:v>0</x:v>
      </x:c>
      <x:c r="J113" s="18" t="n">
        <x:v>369</x:v>
      </x:c>
      <x:c r="K113" s="18" t="n">
        <x:f>SUM(AM113,BF113,W113,AD113)</x:f>
        <x:v>70</x:v>
      </x:c>
      <x:c r="L113" s="18" t="n">
        <x:f>Q113+R113</x:f>
        <x:v>287</x:v>
      </x:c>
      <x:c r="M113" s="19" t="n">
        <x:f>IFERROR(K113/J113,0)</x:f>
        <x:v>0.1897018970189702</x:v>
      </x:c>
      <x:c r="N113" s="19" t="n">
        <x:f>IFERROR(L113/J113,0)</x:f>
        <x:v>0.7777777777777778</x:v>
      </x:c>
      <x:c r="O113" s="17" t="str">
        <x:f>IF(K113&gt;MAX(L113,S113),"קואליציית ההקמה 2022",IF(L113&gt;MAX(K113,S113),"אופוזיציה רחבה 2022","רשימות אחרות"))</x:f>
        <x:v>אופוזיציה רחבה 2022</x:v>
      </x:c>
      <x:c r="P113" s="17" t="str">
        <x:f>IF(AND(H113&lt;50%,N113&gt;50%),"כן","לא")</x:f>
        <x:v>לא</x:v>
      </x:c>
      <x:c r="Q113" s="18" t="n">
        <x:f>SUM(AV113,AJ113,AL113,T113,AN113)</x:f>
        <x:v>284</x:v>
      </x:c>
      <x:c r="R113" s="18" t="n">
        <x:f>SUM(Y113,AU113,X113)</x:f>
        <x:v>3</x:v>
      </x:c>
      <x:c r="S113" s="18" t="n">
        <x:f>J113-K113-L113</x:f>
        <x:v>12</x:v>
      </x:c>
      <x:c r="T113" s="18" t="n">
        <x:v>49</x:v>
      </x:c>
      <x:c r="U113" s="18" t="n">
        <x:v>4</x:v>
      </x:c>
      <x:c r="V113" s="18" t="n">
        <x:v>3</x:v>
      </x:c>
      <x:c r="W113" s="18" t="n">
        <x:v>1</x:v>
      </x:c>
      <x:c r="X113" s="18" t="n">
        <x:v>1</x:v>
      </x:c>
      <x:c r="Y113" s="18" t="n">
        <x:v>1</x:v>
      </x:c>
      <x:c r="Z113" s="18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11</x:v>
      </x:c>
      <x:c r="AE113" s="18" t="n">
        <x:v>0</x:v>
      </x:c>
      <x:c r="AF113" s="18" t="n">
        <x:v>0</x:v>
      </x:c>
      <x:c r="AG113" s="18" t="n">
        <x:v>0</x:v>
      </x:c>
      <x:c r="AH113" s="18" t="n">
        <x:v>0</x:v>
      </x:c>
      <x:c r="AI113" s="18" t="n">
        <x:v>0</x:v>
      </x:c>
      <x:c r="AJ113" s="18" t="n">
        <x:v>53</x:v>
      </x:c>
      <x:c r="AK113" s="18" t="n">
        <x:v>0</x:v>
      </x:c>
      <x:c r="AL113" s="18" t="n">
        <x:v>16</x:v>
      </x:c>
      <x:c r="AM113" s="18" t="n">
        <x:v>55</x:v>
      </x:c>
      <x:c r="AN113" s="18" t="n">
        <x:v>23</x:v>
      </x:c>
      <x:c r="AO113" s="18" t="n">
        <x:v>0</x:v>
      </x:c>
      <x:c r="AP113" s="18" t="n">
        <x:v>0</x:v>
      </x:c>
      <x:c r="AQ113" s="18" t="n">
        <x:v>0</x:v>
      </x:c>
      <x:c r="AR113" s="18" t="n">
        <x:v>0</x:v>
      </x:c>
      <x:c r="AS113" s="18" t="n">
        <x:v>0</x:v>
      </x:c>
      <x:c r="AT113" s="18" t="n">
        <x:v>0</x:v>
      </x:c>
      <x:c r="AU113" s="18" t="n">
        <x:v>1</x:v>
      </x:c>
      <x:c r="AV113" s="18" t="n">
        <x:v>143</x:v>
      </x:c>
      <x:c r="AW113" s="18" t="n">
        <x:v>0</x:v>
      </x:c>
      <x:c r="AX113" s="18" t="n">
        <x:v>0</x:v>
      </x:c>
      <x:c r="AY113" s="18" t="n">
        <x:v>0</x:v>
      </x:c>
      <x:c r="AZ113" s="18" t="n">
        <x:v>1</x:v>
      </x:c>
      <x:c r="BA113" s="18" t="n">
        <x:v>0</x:v>
      </x:c>
      <x:c r="BB113" s="18" t="n">
        <x:v>0</x:v>
      </x:c>
      <x:c r="BC113" s="18" t="n">
        <x:v>0</x:v>
      </x:c>
      <x:c r="BD113" s="18" t="n">
        <x:v>4</x:v>
      </x:c>
      <x:c r="BE113" s="18" t="n">
        <x:v>0</x:v>
      </x:c>
      <x:c r="BF113" s="18" t="n">
        <x:v>3</x:v>
      </x:c>
      <x:c r="BG113" s="18" t="n">
        <x:v>0</x:v>
      </x:c>
    </x:row>
    <x:row r="114">
      <x:c r="A114" s="29" t="str">
        <x:v>190</x:v>
      </x:c>
      <x:c r="B114" s="17" t="n">
        <x:v>3080</x:v>
      </x:c>
      <x:c r="C114" s="17" t="str">
        <x:v>גן ילדים אמנון ותמר</x:v>
      </x:c>
      <x:c r="D114" s="17" t="str">
        <x:v>שוויצר אלברט ד"ר 64</x:v>
      </x:c>
      <x:c r="E114" s="17" t="str">
        <x:v>גבוה מאוד</x:v>
      </x:c>
      <x:c r="F114" s="18" t="n">
        <x:v>507</x:v>
      </x:c>
      <x:c r="G114" s="18" t="n">
        <x:v>380</x:v>
      </x:c>
      <x:c r="H114" s="19" t="n">
        <x:f>IFERROR(G114/F114,0)</x:f>
        <x:v>0.7495069033530573</x:v>
      </x:c>
      <x:c r="I114" s="18" t="n">
        <x:v>2</x:v>
      </x:c>
      <x:c r="J114" s="18" t="n">
        <x:v>378</x:v>
      </x:c>
      <x:c r="K114" s="18" t="n">
        <x:f>SUM(AM114,BF114,W114,AD114)</x:f>
        <x:v>73</x:v>
      </x:c>
      <x:c r="L114" s="18" t="n">
        <x:f>Q114+R114</x:f>
        <x:v>295</x:v>
      </x:c>
      <x:c r="M114" s="19" t="n">
        <x:f>IFERROR(K114/J114,0)</x:f>
        <x:v>0.1931216931216931</x:v>
      </x:c>
      <x:c r="N114" s="19" t="n">
        <x:f>IFERROR(L114/J114,0)</x:f>
        <x:v>0.7804232804232805</x:v>
      </x:c>
      <x:c r="O114" s="17" t="str">
        <x:f>IF(K114&gt;MAX(L114,S114),"קואליציית ההקמה 2022",IF(L114&gt;MAX(K114,S114),"אופוזיציה רחבה 2022","רשימות אחרות"))</x:f>
        <x:v>אופוזיציה רחבה 2022</x:v>
      </x:c>
      <x:c r="P114" s="17" t="str">
        <x:f>IF(AND(H114&lt;50%,N114&gt;50%),"כן","לא")</x:f>
        <x:v>לא</x:v>
      </x:c>
      <x:c r="Q114" s="18" t="n">
        <x:f>SUM(AV114,AJ114,AL114,T114,AN114)</x:f>
        <x:v>290</x:v>
      </x:c>
      <x:c r="R114" s="18" t="n">
        <x:f>SUM(Y114,AU114,X114)</x:f>
        <x:v>5</x:v>
      </x:c>
      <x:c r="S114" s="18" t="n">
        <x:f>J114-K114-L114</x:f>
        <x:v>10</x:v>
      </x:c>
      <x:c r="T114" s="18" t="n">
        <x:v>21</x:v>
      </x:c>
      <x:c r="U114" s="18" t="n">
        <x:v>2</x:v>
      </x:c>
      <x:c r="V114" s="18" t="n">
        <x:v>1</x:v>
      </x:c>
      <x:c r="W114" s="18" t="n">
        <x:v>1</x:v>
      </x:c>
      <x:c r="X114" s="18" t="n">
        <x:v>2</x:v>
      </x:c>
      <x:c r="Y114" s="18" t="n">
        <x:v>3</x:v>
      </x:c>
      <x:c r="Z114" s="18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10</x:v>
      </x:c>
      <x:c r="AE114" s="18" t="n">
        <x:v>0</x:v>
      </x:c>
      <x:c r="AF114" s="18" t="n">
        <x:v>1</x:v>
      </x:c>
      <x:c r="AG114" s="18" t="n">
        <x:v>0</x:v>
      </x:c>
      <x:c r="AH114" s="18" t="n">
        <x:v>0</x:v>
      </x:c>
      <x:c r="AI114" s="18" t="n">
        <x:v>0</x:v>
      </x:c>
      <x:c r="AJ114" s="18" t="n">
        <x:v>81</x:v>
      </x:c>
      <x:c r="AK114" s="18" t="n">
        <x:v>0</x:v>
      </x:c>
      <x:c r="AL114" s="18" t="n">
        <x:v>13</x:v>
      </x:c>
      <x:c r="AM114" s="18" t="n">
        <x:v>60</x:v>
      </x:c>
      <x:c r="AN114" s="18" t="n">
        <x:v>20</x:v>
      </x:c>
      <x:c r="AO114" s="18" t="n">
        <x:v>0</x:v>
      </x:c>
      <x:c r="AP114" s="18" t="n">
        <x:v>0</x:v>
      </x:c>
      <x:c r="AQ114" s="18" t="n">
        <x:v>0</x:v>
      </x:c>
      <x:c r="AR114" s="18" t="n">
        <x:v>0</x:v>
      </x:c>
      <x:c r="AS114" s="18" t="n">
        <x:v>0</x:v>
      </x:c>
      <x:c r="AT114" s="18" t="n">
        <x:v>0</x:v>
      </x:c>
      <x:c r="AU114" s="18" t="n">
        <x:v>0</x:v>
      </x:c>
      <x:c r="AV114" s="18" t="n">
        <x:v>155</x:v>
      </x:c>
      <x:c r="AW114" s="18" t="n">
        <x:v>1</x:v>
      </x:c>
      <x:c r="AX114" s="18" t="n">
        <x:v>1</x:v>
      </x:c>
      <x:c r="AY114" s="18" t="n">
        <x:v>0</x:v>
      </x:c>
      <x:c r="AZ114" s="18" t="n">
        <x:v>0</x:v>
      </x:c>
      <x:c r="BA114" s="18" t="n">
        <x:v>0</x:v>
      </x:c>
      <x:c r="BB114" s="18" t="n">
        <x:v>1</x:v>
      </x:c>
      <x:c r="BC114" s="18" t="n">
        <x:v>0</x:v>
      </x:c>
      <x:c r="BD114" s="18" t="n">
        <x:v>3</x:v>
      </x:c>
      <x:c r="BE114" s="18" t="n">
        <x:v>0</x:v>
      </x:c>
      <x:c r="BF114" s="18" t="n">
        <x:v>2</x:v>
      </x:c>
      <x:c r="BG114" s="18" t="n">
        <x:v>0</x:v>
      </x:c>
    </x:row>
    <x:row r="115">
      <x:c r="A115" s="29" t="str">
        <x:v>192.1</x:v>
      </x:c>
      <x:c r="B115" s="17" t="n">
        <x:v>3081</x:v>
      </x:c>
      <x:c r="C115" s="17" t="str">
        <x:v>ביה"ס הריאלי - בנין וולפסון</x:v>
      </x:c>
      <x:c r="D115" s="17" t="str">
        <x:v>שד אבא חושי 15</x:v>
      </x:c>
      <x:c r="E115" s="17" t="str">
        <x:v>גבוה מאוד</x:v>
      </x:c>
      <x:c r="F115" s="18" t="n">
        <x:v>617</x:v>
      </x:c>
      <x:c r="G115" s="18" t="n">
        <x:v>340</x:v>
      </x:c>
      <x:c r="H115" s="19" t="n">
        <x:f>IFERROR(G115/F115,0)</x:f>
        <x:v>0.5510534846029174</x:v>
      </x:c>
      <x:c r="I115" s="18" t="n">
        <x:v>0</x:v>
      </x:c>
      <x:c r="J115" s="18" t="n">
        <x:v>340</x:v>
      </x:c>
      <x:c r="K115" s="18" t="n">
        <x:f>SUM(AM115,BF115,W115,AD115)</x:f>
        <x:v>77</x:v>
      </x:c>
      <x:c r="L115" s="18" t="n">
        <x:f>Q115+R115</x:f>
        <x:v>249</x:v>
      </x:c>
      <x:c r="M115" s="19" t="n">
        <x:f>IFERROR(K115/J115,0)</x:f>
        <x:v>0.22647058823529412</x:v>
      </x:c>
      <x:c r="N115" s="19" t="n">
        <x:f>IFERROR(L115/J115,0)</x:f>
        <x:v>0.7323529411764705</x:v>
      </x:c>
      <x:c r="O115" s="17" t="str">
        <x:f>IF(K115&gt;MAX(L115,S115),"קואליציית ההקמה 2022",IF(L115&gt;MAX(K115,S115),"אופוזיציה רחבה 2022","רשימות אחרות"))</x:f>
        <x:v>אופוזיציה רחבה 2022</x:v>
      </x:c>
      <x:c r="P115" s="17" t="str">
        <x:f>IF(AND(H115&lt;50%,N115&gt;50%),"כן","לא")</x:f>
        <x:v>לא</x:v>
      </x:c>
      <x:c r="Q115" s="18" t="n">
        <x:f>SUM(AV115,AJ115,AL115,T115,AN115)</x:f>
        <x:v>247</x:v>
      </x:c>
      <x:c r="R115" s="18" t="n">
        <x:f>SUM(Y115,AU115,X115)</x:f>
        <x:v>2</x:v>
      </x:c>
      <x:c r="S115" s="18" t="n">
        <x:f>J115-K115-L115</x:f>
        <x:v>14</x:v>
      </x:c>
      <x:c r="T115" s="18" t="n">
        <x:v>33</x:v>
      </x:c>
      <x:c r="U115" s="18" t="n">
        <x:v>3</x:v>
      </x:c>
      <x:c r="V115" s="18" t="n">
        <x:v>8</x:v>
      </x:c>
      <x:c r="W115" s="18" t="n">
        <x:v>1</x:v>
      </x:c>
      <x:c r="X115" s="18" t="n">
        <x:v>0</x:v>
      </x:c>
      <x:c r="Y115" s="18" t="n">
        <x:v>0</x:v>
      </x:c>
      <x:c r="Z115" s="18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20</x:v>
      </x:c>
      <x:c r="AE115" s="18" t="n">
        <x:v>0</x:v>
      </x:c>
      <x:c r="AF115" s="18" t="n">
        <x:v>0</x:v>
      </x:c>
      <x:c r="AG115" s="18" t="n">
        <x:v>0</x:v>
      </x:c>
      <x:c r="AH115" s="18" t="n">
        <x:v>0</x:v>
      </x:c>
      <x:c r="AI115" s="18" t="n">
        <x:v>0</x:v>
      </x:c>
      <x:c r="AJ115" s="18" t="n">
        <x:v>30</x:v>
      </x:c>
      <x:c r="AK115" s="18" t="n">
        <x:v>0</x:v>
      </x:c>
      <x:c r="AL115" s="18" t="n">
        <x:v>13</x:v>
      </x:c>
      <x:c r="AM115" s="18" t="n">
        <x:v>52</x:v>
      </x:c>
      <x:c r="AN115" s="18" t="n">
        <x:v>23</x:v>
      </x:c>
      <x:c r="AO115" s="18" t="n">
        <x:v>0</x:v>
      </x:c>
      <x:c r="AP115" s="18" t="n">
        <x:v>0</x:v>
      </x:c>
      <x:c r="AQ115" s="18" t="n">
        <x:v>0</x:v>
      </x:c>
      <x:c r="AR115" s="18" t="n">
        <x:v>0</x:v>
      </x:c>
      <x:c r="AS115" s="18" t="n">
        <x:v>0</x:v>
      </x:c>
      <x:c r="AT115" s="18" t="n">
        <x:v>0</x:v>
      </x:c>
      <x:c r="AU115" s="18" t="n">
        <x:v>2</x:v>
      </x:c>
      <x:c r="AV115" s="18" t="n">
        <x:v>148</x:v>
      </x:c>
      <x:c r="AW115" s="18" t="n">
        <x:v>0</x:v>
      </x:c>
      <x:c r="AX115" s="18" t="n">
        <x:v>0</x:v>
      </x:c>
      <x:c r="AY115" s="18" t="n">
        <x:v>0</x:v>
      </x:c>
      <x:c r="AZ115" s="18" t="n">
        <x:v>0</x:v>
      </x:c>
      <x:c r="BA115" s="18" t="n">
        <x:v>0</x:v>
      </x:c>
      <x:c r="BB115" s="18" t="n">
        <x:v>0</x:v>
      </x:c>
      <x:c r="BC115" s="18" t="n">
        <x:v>0</x:v>
      </x:c>
      <x:c r="BD115" s="18" t="n">
        <x:v>3</x:v>
      </x:c>
      <x:c r="BE115" s="18" t="n">
        <x:v>0</x:v>
      </x:c>
      <x:c r="BF115" s="18" t="n">
        <x:v>4</x:v>
      </x:c>
      <x:c r="BG115" s="18" t="n">
        <x:v>0</x:v>
      </x:c>
    </x:row>
    <x:row r="116">
      <x:c r="A116" s="29" t="str">
        <x:v>192.2</x:v>
      </x:c>
      <x:c r="B116" s="17" t="n">
        <x:v>3082</x:v>
      </x:c>
      <x:c r="C116" s="17" t="str">
        <x:v>ביה"ס הריאלי - בנין וולפסון</x:v>
      </x:c>
      <x:c r="D116" s="17" t="str">
        <x:v>שד אבא חושי 15</x:v>
      </x:c>
      <x:c r="E116" s="17" t="str">
        <x:v>גבוה מאוד</x:v>
      </x:c>
      <x:c r="F116" s="18" t="n">
        <x:v>617</x:v>
      </x:c>
      <x:c r="G116" s="18" t="n">
        <x:v>322</x:v>
      </x:c>
      <x:c r="H116" s="19" t="n">
        <x:f>IFERROR(G116/F116,0)</x:f>
        <x:v>0.5218800648298217</x:v>
      </x:c>
      <x:c r="I116" s="18" t="n">
        <x:v>3</x:v>
      </x:c>
      <x:c r="J116" s="18" t="n">
        <x:v>319</x:v>
      </x:c>
      <x:c r="K116" s="18" t="n">
        <x:f>SUM(AM116,BF116,W116,AD116)</x:f>
        <x:v>62</x:v>
      </x:c>
      <x:c r="L116" s="18" t="n">
        <x:f>Q116+R116</x:f>
        <x:v>248</x:v>
      </x:c>
      <x:c r="M116" s="19" t="n">
        <x:f>IFERROR(K116/J116,0)</x:f>
        <x:v>0.19435736677115986</x:v>
      </x:c>
      <x:c r="N116" s="19" t="n">
        <x:f>IFERROR(L116/J116,0)</x:f>
        <x:v>0.7774294670846394</x:v>
      </x:c>
      <x:c r="O116" s="17" t="str">
        <x:f>IF(K116&gt;MAX(L116,S116),"קואליציית ההקמה 2022",IF(L116&gt;MAX(K116,S116),"אופוזיציה רחבה 2022","רשימות אחרות"))</x:f>
        <x:v>אופוזיציה רחבה 2022</x:v>
      </x:c>
      <x:c r="P116" s="17" t="str">
        <x:f>IF(AND(H116&lt;50%,N116&gt;50%),"כן","לא")</x:f>
        <x:v>לא</x:v>
      </x:c>
      <x:c r="Q116" s="18" t="n">
        <x:f>SUM(AV116,AJ116,AL116,T116,AN116)</x:f>
        <x:v>243</x:v>
      </x:c>
      <x:c r="R116" s="18" t="n">
        <x:f>SUM(Y116,AU116,X116)</x:f>
        <x:v>5</x:v>
      </x:c>
      <x:c r="S116" s="18" t="n">
        <x:f>J116-K116-L116</x:f>
        <x:v>9</x:v>
      </x:c>
      <x:c r="T116" s="18" t="n">
        <x:v>23</x:v>
      </x:c>
      <x:c r="U116" s="18" t="n">
        <x:v>1</x:v>
      </x:c>
      <x:c r="V116" s="18" t="n">
        <x:v>3</x:v>
      </x:c>
      <x:c r="W116" s="18" t="n">
        <x:v>1</x:v>
      </x:c>
      <x:c r="X116" s="18" t="n">
        <x:v>4</x:v>
      </x:c>
      <x:c r="Y116" s="18" t="n">
        <x:v>1</x:v>
      </x:c>
      <x:c r="Z116" s="18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20</x:v>
      </x:c>
      <x:c r="AE116" s="18" t="n">
        <x:v>1</x:v>
      </x:c>
      <x:c r="AF116" s="18" t="n">
        <x:v>0</x:v>
      </x:c>
      <x:c r="AG116" s="18" t="n">
        <x:v>0</x:v>
      </x:c>
      <x:c r="AH116" s="18" t="n">
        <x:v>0</x:v>
      </x:c>
      <x:c r="AI116" s="18" t="n">
        <x:v>0</x:v>
      </x:c>
      <x:c r="AJ116" s="18" t="n">
        <x:v>42</x:v>
      </x:c>
      <x:c r="AK116" s="18" t="n">
        <x:v>0</x:v>
      </x:c>
      <x:c r="AL116" s="18" t="n">
        <x:v>16</x:v>
      </x:c>
      <x:c r="AM116" s="18" t="n">
        <x:v>38</x:v>
      </x:c>
      <x:c r="AN116" s="18" t="n">
        <x:v>31</x:v>
      </x:c>
      <x:c r="AO116" s="18" t="n">
        <x:v>0</x:v>
      </x:c>
      <x:c r="AP116" s="18" t="n">
        <x:v>0</x:v>
      </x:c>
      <x:c r="AQ116" s="18" t="n">
        <x:v>0</x:v>
      </x:c>
      <x:c r="AR116" s="18" t="n">
        <x:v>0</x:v>
      </x:c>
      <x:c r="AS116" s="18" t="n">
        <x:v>0</x:v>
      </x:c>
      <x:c r="AT116" s="18" t="n">
        <x:v>0</x:v>
      </x:c>
      <x:c r="AU116" s="18" t="n">
        <x:v>0</x:v>
      </x:c>
      <x:c r="AV116" s="18" t="n">
        <x:v>131</x:v>
      </x:c>
      <x:c r="AW116" s="18" t="n">
        <x:v>0</x:v>
      </x:c>
      <x:c r="AX116" s="18" t="n">
        <x:v>1</x:v>
      </x:c>
      <x:c r="AY116" s="18" t="n">
        <x:v>0</x:v>
      </x:c>
      <x:c r="AZ116" s="18" t="n">
        <x:v>0</x:v>
      </x:c>
      <x:c r="BA116" s="18" t="n">
        <x:v>0</x:v>
      </x:c>
      <x:c r="BB116" s="18" t="n">
        <x:v>0</x:v>
      </x:c>
      <x:c r="BC116" s="18" t="n">
        <x:v>0</x:v>
      </x:c>
      <x:c r="BD116" s="18" t="n">
        <x:v>2</x:v>
      </x:c>
      <x:c r="BE116" s="18" t="n">
        <x:v>1</x:v>
      </x:c>
      <x:c r="BF116" s="18" t="n">
        <x:v>3</x:v>
      </x:c>
      <x:c r="BG116" s="18" t="n">
        <x:v>0</x:v>
      </x:c>
    </x:row>
    <x:row r="117">
      <x:c r="A117" s="29" t="str">
        <x:v>192.3</x:v>
      </x:c>
      <x:c r="B117" s="17" t="n">
        <x:v>3083</x:v>
      </x:c>
      <x:c r="C117" s="17" t="str">
        <x:v>ביה"ס הריאלי - בנין וולפסון</x:v>
      </x:c>
      <x:c r="D117" s="17" t="str">
        <x:v>שד אבא חושי 15</x:v>
      </x:c>
      <x:c r="E117" s="17" t="str">
        <x:v>גבוה מאוד</x:v>
      </x:c>
      <x:c r="F117" s="18" t="n">
        <x:v>617</x:v>
      </x:c>
      <x:c r="G117" s="18" t="n">
        <x:v>329</x:v>
      </x:c>
      <x:c r="H117" s="19" t="n">
        <x:f>IFERROR(G117/F117,0)</x:f>
        <x:v>0.5332252836304701</x:v>
      </x:c>
      <x:c r="I117" s="18" t="n">
        <x:v>0</x:v>
      </x:c>
      <x:c r="J117" s="18" t="n">
        <x:v>329</x:v>
      </x:c>
      <x:c r="K117" s="18" t="n">
        <x:f>SUM(AM117,BF117,W117,AD117)</x:f>
        <x:v>75</x:v>
      </x:c>
      <x:c r="L117" s="18" t="n">
        <x:f>Q117+R117</x:f>
        <x:v>247</x:v>
      </x:c>
      <x:c r="M117" s="19" t="n">
        <x:f>IFERROR(K117/J117,0)</x:f>
        <x:v>0.22796352583586627</x:v>
      </x:c>
      <x:c r="N117" s="19" t="n">
        <x:f>IFERROR(L117/J117,0)</x:f>
        <x:v>0.7507598784194529</x:v>
      </x:c>
      <x:c r="O117" s="17" t="str">
        <x:f>IF(K117&gt;MAX(L117,S117),"קואליציית ההקמה 2022",IF(L117&gt;MAX(K117,S117),"אופוזיציה רחבה 2022","רשימות אחרות"))</x:f>
        <x:v>אופוזיציה רחבה 2022</x:v>
      </x:c>
      <x:c r="P117" s="17" t="str">
        <x:f>IF(AND(H117&lt;50%,N117&gt;50%),"כן","לא")</x:f>
        <x:v>לא</x:v>
      </x:c>
      <x:c r="Q117" s="18" t="n">
        <x:f>SUM(AV117,AJ117,AL117,T117,AN117)</x:f>
        <x:v>243</x:v>
      </x:c>
      <x:c r="R117" s="18" t="n">
        <x:f>SUM(Y117,AU117,X117)</x:f>
        <x:v>4</x:v>
      </x:c>
      <x:c r="S117" s="18" t="n">
        <x:f>J117-K117-L117</x:f>
        <x:v>7</x:v>
      </x:c>
      <x:c r="T117" s="18" t="n">
        <x:v>30</x:v>
      </x:c>
      <x:c r="U117" s="18" t="n">
        <x:v>2</x:v>
      </x:c>
      <x:c r="V117" s="18" t="n">
        <x:v>3</x:v>
      </x:c>
      <x:c r="W117" s="18" t="n">
        <x:v>2</x:v>
      </x:c>
      <x:c r="X117" s="18" t="n">
        <x:v>2</x:v>
      </x:c>
      <x:c r="Y117" s="18" t="n">
        <x:v>1</x:v>
      </x:c>
      <x:c r="Z117" s="18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20</x:v>
      </x:c>
      <x:c r="AE117" s="18" t="n">
        <x:v>0</x:v>
      </x:c>
      <x:c r="AF117" s="18" t="n">
        <x:v>0</x:v>
      </x:c>
      <x:c r="AG117" s="18" t="n">
        <x:v>0</x:v>
      </x:c>
      <x:c r="AH117" s="18" t="n">
        <x:v>0</x:v>
      </x:c>
      <x:c r="AI117" s="18" t="n">
        <x:v>0</x:v>
      </x:c>
      <x:c r="AJ117" s="18" t="n">
        <x:v>38</x:v>
      </x:c>
      <x:c r="AK117" s="18" t="n">
        <x:v>0</x:v>
      </x:c>
      <x:c r="AL117" s="18" t="n">
        <x:v>18</x:v>
      </x:c>
      <x:c r="AM117" s="18" t="n">
        <x:v>52</x:v>
      </x:c>
      <x:c r="AN117" s="18" t="n">
        <x:v>33</x:v>
      </x:c>
      <x:c r="AO117" s="18" t="n">
        <x:v>0</x:v>
      </x:c>
      <x:c r="AP117" s="18" t="n">
        <x:v>1</x:v>
      </x:c>
      <x:c r="AQ117" s="18" t="n">
        <x:v>0</x:v>
      </x:c>
      <x:c r="AR117" s="18" t="n">
        <x:v>0</x:v>
      </x:c>
      <x:c r="AS117" s="18" t="n">
        <x:v>0</x:v>
      </x:c>
      <x:c r="AT117" s="18" t="n">
        <x:v>0</x:v>
      </x:c>
      <x:c r="AU117" s="18" t="n">
        <x:v>1</x:v>
      </x:c>
      <x:c r="AV117" s="18" t="n">
        <x:v>124</x:v>
      </x:c>
      <x:c r="AW117" s="18" t="n">
        <x:v>0</x:v>
      </x:c>
      <x:c r="AX117" s="18" t="n">
        <x:v>0</x:v>
      </x:c>
      <x:c r="AY117" s="18" t="n">
        <x:v>0</x:v>
      </x:c>
      <x:c r="AZ117" s="18" t="n">
        <x:v>0</x:v>
      </x:c>
      <x:c r="BA117" s="18" t="n">
        <x:v>0</x:v>
      </x:c>
      <x:c r="BB117" s="18" t="n">
        <x:v>0</x:v>
      </x:c>
      <x:c r="BC117" s="18" t="n">
        <x:v>0</x:v>
      </x:c>
      <x:c r="BD117" s="18" t="n">
        <x:v>1</x:v>
      </x:c>
      <x:c r="BE117" s="18" t="n">
        <x:v>0</x:v>
      </x:c>
      <x:c r="BF117" s="18" t="n">
        <x:v>1</x:v>
      </x:c>
      <x:c r="BG117" s="18" t="n">
        <x:v>0</x:v>
      </x:c>
    </x:row>
    <x:row r="118">
      <x:c r="A118" s="29" t="str">
        <x:v>192.4</x:v>
      </x:c>
      <x:c r="B118" s="17" t="n">
        <x:v>3084</x:v>
      </x:c>
      <x:c r="C118" s="17" t="str">
        <x:v>ביה"ס הריאלי - בנין וולפסון</x:v>
      </x:c>
      <x:c r="D118" s="17" t="str">
        <x:v>שד אבא חושי 15</x:v>
      </x:c>
      <x:c r="E118" s="17" t="str">
        <x:v>גבוה מאוד</x:v>
      </x:c>
      <x:c r="F118" s="18" t="n">
        <x:v>617</x:v>
      </x:c>
      <x:c r="G118" s="18" t="n">
        <x:v>346</x:v>
      </x:c>
      <x:c r="H118" s="19" t="n">
        <x:f>IFERROR(G118/F118,0)</x:f>
        <x:v>0.5607779578606159</x:v>
      </x:c>
      <x:c r="I118" s="18" t="n">
        <x:v>0</x:v>
      </x:c>
      <x:c r="J118" s="18" t="n">
        <x:v>346</x:v>
      </x:c>
      <x:c r="K118" s="18" t="n">
        <x:f>SUM(AM118,BF118,W118,AD118)</x:f>
        <x:v>74</x:v>
      </x:c>
      <x:c r="L118" s="18" t="n">
        <x:f>Q118+R118</x:f>
        <x:v>261</x:v>
      </x:c>
      <x:c r="M118" s="19" t="n">
        <x:f>IFERROR(K118/J118,0)</x:f>
        <x:v>0.2138728323699422</x:v>
      </x:c>
      <x:c r="N118" s="19" t="n">
        <x:f>IFERROR(L118/J118,0)</x:f>
        <x:v>0.7543352601156069</x:v>
      </x:c>
      <x:c r="O118" s="17" t="str">
        <x:f>IF(K118&gt;MAX(L118,S118),"קואליציית ההקמה 2022",IF(L118&gt;MAX(K118,S118),"אופוזיציה רחבה 2022","רשימות אחרות"))</x:f>
        <x:v>אופוזיציה רחבה 2022</x:v>
      </x:c>
      <x:c r="P118" s="17" t="str">
        <x:f>IF(AND(H118&lt;50%,N118&gt;50%),"כן","לא")</x:f>
        <x:v>לא</x:v>
      </x:c>
      <x:c r="Q118" s="18" t="n">
        <x:f>SUM(AV118,AJ118,AL118,T118,AN118)</x:f>
        <x:v>260</x:v>
      </x:c>
      <x:c r="R118" s="18" t="n">
        <x:f>SUM(Y118,AU118,X118)</x:f>
        <x:v>1</x:v>
      </x:c>
      <x:c r="S118" s="18" t="n">
        <x:f>J118-K118-L118</x:f>
        <x:v>11</x:v>
      </x:c>
      <x:c r="T118" s="18" t="n">
        <x:v>32</x:v>
      </x:c>
      <x:c r="U118" s="18" t="n">
        <x:v>3</x:v>
      </x:c>
      <x:c r="V118" s="18" t="n">
        <x:v>6</x:v>
      </x:c>
      <x:c r="W118" s="18" t="n">
        <x:v>6</x:v>
      </x:c>
      <x:c r="X118" s="18" t="n">
        <x:v>0</x:v>
      </x:c>
      <x:c r="Y118" s="18" t="n">
        <x:v>1</x:v>
      </x:c>
      <x:c r="Z118" s="18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18</x:v>
      </x:c>
      <x:c r="AE118" s="18" t="n">
        <x:v>0</x:v>
      </x:c>
      <x:c r="AF118" s="18" t="n">
        <x:v>0</x:v>
      </x:c>
      <x:c r="AG118" s="18" t="n">
        <x:v>0</x:v>
      </x:c>
      <x:c r="AH118" s="18" t="n">
        <x:v>0</x:v>
      </x:c>
      <x:c r="AI118" s="18" t="n">
        <x:v>0</x:v>
      </x:c>
      <x:c r="AJ118" s="18" t="n">
        <x:v>33</x:v>
      </x:c>
      <x:c r="AK118" s="18" t="n">
        <x:v>0</x:v>
      </x:c>
      <x:c r="AL118" s="18" t="n">
        <x:v>13</x:v>
      </x:c>
      <x:c r="AM118" s="18" t="n">
        <x:v>49</x:v>
      </x:c>
      <x:c r="AN118" s="18" t="n">
        <x:v>35</x:v>
      </x:c>
      <x:c r="AO118" s="18" t="n">
        <x:v>0</x:v>
      </x:c>
      <x:c r="AP118" s="18" t="n">
        <x:v>0</x:v>
      </x:c>
      <x:c r="AQ118" s="18" t="n">
        <x:v>0</x:v>
      </x:c>
      <x:c r="AR118" s="18" t="n">
        <x:v>0</x:v>
      </x:c>
      <x:c r="AS118" s="18" t="n">
        <x:v>0</x:v>
      </x:c>
      <x:c r="AT118" s="18" t="n">
        <x:v>0</x:v>
      </x:c>
      <x:c r="AU118" s="18" t="n">
        <x:v>0</x:v>
      </x:c>
      <x:c r="AV118" s="18" t="n">
        <x:v>147</x:v>
      </x:c>
      <x:c r="AW118" s="18" t="n">
        <x:v>0</x:v>
      </x:c>
      <x:c r="AX118" s="18" t="n">
        <x:v>0</x:v>
      </x:c>
      <x:c r="AY118" s="18" t="n">
        <x:v>0</x:v>
      </x:c>
      <x:c r="AZ118" s="18" t="n">
        <x:v>0</x:v>
      </x:c>
      <x:c r="BA118" s="18" t="n">
        <x:v>0</x:v>
      </x:c>
      <x:c r="BB118" s="18" t="n">
        <x:v>0</x:v>
      </x:c>
      <x:c r="BC118" s="18" t="n">
        <x:v>0</x:v>
      </x:c>
      <x:c r="BD118" s="18" t="n">
        <x:v>2</x:v>
      </x:c>
      <x:c r="BE118" s="18" t="n">
        <x:v>0</x:v>
      </x:c>
      <x:c r="BF118" s="18" t="n">
        <x:v>1</x:v>
      </x:c>
      <x:c r="BG118" s="18" t="n">
        <x:v>0</x:v>
      </x:c>
    </x:row>
    <x:row r="119">
      <x:c r="A119" s="29" t="str">
        <x:v>194.1</x:v>
      </x:c>
      <x:c r="B119" s="17" t="n">
        <x:v>3085</x:v>
      </x:c>
      <x:c r="C119" s="17" t="str">
        <x:v>ביה"ס אחוזה (זכרון יוסף)</x:v>
      </x:c>
      <x:c r="D119" s="17" t="str">
        <x:v>שד סיני 13</x:v>
      </x:c>
      <x:c r="E119" s="17" t="str">
        <x:v>גבוה מאוד</x:v>
      </x:c>
      <x:c r="F119" s="18" t="n">
        <x:v>664</x:v>
      </x:c>
      <x:c r="G119" s="18" t="n">
        <x:v>380</x:v>
      </x:c>
      <x:c r="H119" s="19" t="n">
        <x:f>IFERROR(G119/F119,0)</x:f>
        <x:v>0.572289156626506</x:v>
      </x:c>
      <x:c r="I119" s="18" t="n">
        <x:v>0</x:v>
      </x:c>
      <x:c r="J119" s="18" t="n">
        <x:v>380</x:v>
      </x:c>
      <x:c r="K119" s="18" t="n">
        <x:f>SUM(AM119,BF119,W119,AD119)</x:f>
        <x:v>87</x:v>
      </x:c>
      <x:c r="L119" s="18" t="n">
        <x:f>Q119+R119</x:f>
        <x:v>284</x:v>
      </x:c>
      <x:c r="M119" s="19" t="n">
        <x:f>IFERROR(K119/J119,0)</x:f>
        <x:v>0.22894736842105262</x:v>
      </x:c>
      <x:c r="N119" s="19" t="n">
        <x:f>IFERROR(L119/J119,0)</x:f>
        <x:v>0.7473684210526316</x:v>
      </x:c>
      <x:c r="O119" s="17" t="str">
        <x:f>IF(K119&gt;MAX(L119,S119),"קואליציית ההקמה 2022",IF(L119&gt;MAX(K119,S119),"אופוזיציה רחבה 2022","רשימות אחרות"))</x:f>
        <x:v>אופוזיציה רחבה 2022</x:v>
      </x:c>
      <x:c r="P119" s="17" t="str">
        <x:f>IF(AND(H119&lt;50%,N119&gt;50%),"כן","לא")</x:f>
        <x:v>לא</x:v>
      </x:c>
      <x:c r="Q119" s="18" t="n">
        <x:f>SUM(AV119,AJ119,AL119,T119,AN119)</x:f>
        <x:v>279</x:v>
      </x:c>
      <x:c r="R119" s="18" t="n">
        <x:f>SUM(Y119,AU119,X119)</x:f>
        <x:v>5</x:v>
      </x:c>
      <x:c r="S119" s="18" t="n">
        <x:f>J119-K119-L119</x:f>
        <x:v>9</x:v>
      </x:c>
      <x:c r="T119" s="18" t="n">
        <x:v>30</x:v>
      </x:c>
      <x:c r="U119" s="18" t="n">
        <x:v>2</x:v>
      </x:c>
      <x:c r="V119" s="18" t="n">
        <x:v>6</x:v>
      </x:c>
      <x:c r="W119" s="18" t="n">
        <x:v>0</x:v>
      </x:c>
      <x:c r="X119" s="18" t="n">
        <x:v>1</x:v>
      </x:c>
      <x:c r="Y119" s="18" t="n">
        <x:v>3</x:v>
      </x:c>
      <x:c r="Z119" s="18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13</x:v>
      </x:c>
      <x:c r="AE119" s="18" t="n">
        <x:v>0</x:v>
      </x:c>
      <x:c r="AF119" s="18" t="n">
        <x:v>0</x:v>
      </x:c>
      <x:c r="AG119" s="18" t="n">
        <x:v>0</x:v>
      </x:c>
      <x:c r="AH119" s="18" t="n">
        <x:v>0</x:v>
      </x:c>
      <x:c r="AI119" s="18" t="n">
        <x:v>0</x:v>
      </x:c>
      <x:c r="AJ119" s="18" t="n">
        <x:v>69</x:v>
      </x:c>
      <x:c r="AK119" s="18" t="n">
        <x:v>0</x:v>
      </x:c>
      <x:c r="AL119" s="18" t="n">
        <x:v>12</x:v>
      </x:c>
      <x:c r="AM119" s="18" t="n">
        <x:v>73</x:v>
      </x:c>
      <x:c r="AN119" s="18" t="n">
        <x:v>31</x:v>
      </x:c>
      <x:c r="AO119" s="18" t="n">
        <x:v>0</x:v>
      </x:c>
      <x:c r="AP119" s="18" t="n">
        <x:v>0</x:v>
      </x:c>
      <x:c r="AQ119" s="18" t="n">
        <x:v>0</x:v>
      </x:c>
      <x:c r="AR119" s="18" t="n">
        <x:v>0</x:v>
      </x:c>
      <x:c r="AS119" s="18" t="n">
        <x:v>0</x:v>
      </x:c>
      <x:c r="AT119" s="18" t="n">
        <x:v>0</x:v>
      </x:c>
      <x:c r="AU119" s="18" t="n">
        <x:v>1</x:v>
      </x:c>
      <x:c r="AV119" s="18" t="n">
        <x:v>137</x:v>
      </x:c>
      <x:c r="AW119" s="18" t="n">
        <x:v>0</x:v>
      </x:c>
      <x:c r="AX119" s="18" t="n">
        <x:v>0</x:v>
      </x:c>
      <x:c r="AY119" s="18" t="n">
        <x:v>0</x:v>
      </x:c>
      <x:c r="AZ119" s="18" t="n">
        <x:v>0</x:v>
      </x:c>
      <x:c r="BA119" s="18" t="n">
        <x:v>0</x:v>
      </x:c>
      <x:c r="BB119" s="18" t="n">
        <x:v>0</x:v>
      </x:c>
      <x:c r="BC119" s="18" t="n">
        <x:v>0</x:v>
      </x:c>
      <x:c r="BD119" s="18" t="n">
        <x:v>1</x:v>
      </x:c>
      <x:c r="BE119" s="18" t="n">
        <x:v>0</x:v>
      </x:c>
      <x:c r="BF119" s="18" t="n">
        <x:v>1</x:v>
      </x:c>
      <x:c r="BG119" s="18" t="n">
        <x:v>0</x:v>
      </x:c>
    </x:row>
    <x:row r="120">
      <x:c r="A120" s="29" t="str">
        <x:v>194.2</x:v>
      </x:c>
      <x:c r="B120" s="17" t="n">
        <x:v>3086</x:v>
      </x:c>
      <x:c r="C120" s="17" t="str">
        <x:v>ביה"ס אחוזה (זכרון יוסף)</x:v>
      </x:c>
      <x:c r="D120" s="17" t="str">
        <x:v>שד סיני 13</x:v>
      </x:c>
      <x:c r="E120" s="17" t="str">
        <x:v>גבוה מאוד</x:v>
      </x:c>
      <x:c r="F120" s="18" t="n">
        <x:v>664</x:v>
      </x:c>
      <x:c r="G120" s="18" t="n">
        <x:v>395</x:v>
      </x:c>
      <x:c r="H120" s="19" t="n">
        <x:f>IFERROR(G120/F120,0)</x:f>
        <x:v>0.5948795180722891</x:v>
      </x:c>
      <x:c r="I120" s="18" t="n">
        <x:v>1</x:v>
      </x:c>
      <x:c r="J120" s="18" t="n">
        <x:v>394</x:v>
      </x:c>
      <x:c r="K120" s="18" t="n">
        <x:f>SUM(AM120,BF120,W120,AD120)</x:f>
        <x:v>83</x:v>
      </x:c>
      <x:c r="L120" s="18" t="n">
        <x:f>Q120+R120</x:f>
        <x:v>302</x:v>
      </x:c>
      <x:c r="M120" s="19" t="n">
        <x:f>IFERROR(K120/J120,0)</x:f>
        <x:v>0.21065989847715735</x:v>
      </x:c>
      <x:c r="N120" s="19" t="n">
        <x:f>IFERROR(L120/J120,0)</x:f>
        <x:v>0.766497461928934</x:v>
      </x:c>
      <x:c r="O120" s="17" t="str">
        <x:f>IF(K120&gt;MAX(L120,S120),"קואליציית ההקמה 2022",IF(L120&gt;MAX(K120,S120),"אופוזיציה רחבה 2022","רשימות אחרות"))</x:f>
        <x:v>אופוזיציה רחבה 2022</x:v>
      </x:c>
      <x:c r="P120" s="17" t="str">
        <x:f>IF(AND(H120&lt;50%,N120&gt;50%),"כן","לא")</x:f>
        <x:v>לא</x:v>
      </x:c>
      <x:c r="Q120" s="18" t="n">
        <x:f>SUM(AV120,AJ120,AL120,T120,AN120)</x:f>
        <x:v>296</x:v>
      </x:c>
      <x:c r="R120" s="18" t="n">
        <x:f>SUM(Y120,AU120,X120)</x:f>
        <x:v>6</x:v>
      </x:c>
      <x:c r="S120" s="18" t="n">
        <x:f>J120-K120-L120</x:f>
        <x:v>9</x:v>
      </x:c>
      <x:c r="T120" s="18" t="n">
        <x:v>30</x:v>
      </x:c>
      <x:c r="U120" s="18" t="n">
        <x:v>0</x:v>
      </x:c>
      <x:c r="V120" s="18" t="n">
        <x:v>7</x:v>
      </x:c>
      <x:c r="W120" s="18" t="n">
        <x:v>0</x:v>
      </x:c>
      <x:c r="X120" s="18" t="n">
        <x:v>2</x:v>
      </x:c>
      <x:c r="Y120" s="18" t="n">
        <x:v>2</x:v>
      </x:c>
      <x:c r="Z120" s="18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15</x:v>
      </x:c>
      <x:c r="AE120" s="18" t="n">
        <x:v>0</x:v>
      </x:c>
      <x:c r="AF120" s="18" t="n">
        <x:v>1</x:v>
      </x:c>
      <x:c r="AG120" s="18" t="n">
        <x:v>0</x:v>
      </x:c>
      <x:c r="AH120" s="18" t="n">
        <x:v>0</x:v>
      </x:c>
      <x:c r="AI120" s="18" t="n">
        <x:v>0</x:v>
      </x:c>
      <x:c r="AJ120" s="18" t="n">
        <x:v>48</x:v>
      </x:c>
      <x:c r="AK120" s="18" t="n">
        <x:v>1</x:v>
      </x:c>
      <x:c r="AL120" s="18" t="n">
        <x:v>8</x:v>
      </x:c>
      <x:c r="AM120" s="18" t="n">
        <x:v>67</x:v>
      </x:c>
      <x:c r="AN120" s="18" t="n">
        <x:v>24</x:v>
      </x:c>
      <x:c r="AO120" s="18" t="n">
        <x:v>0</x:v>
      </x:c>
      <x:c r="AP120" s="18" t="n">
        <x:v>0</x:v>
      </x:c>
      <x:c r="AQ120" s="18" t="n">
        <x:v>0</x:v>
      </x:c>
      <x:c r="AR120" s="18" t="n">
        <x:v>0</x:v>
      </x:c>
      <x:c r="AS120" s="18" t="n">
        <x:v>0</x:v>
      </x:c>
      <x:c r="AT120" s="18" t="n">
        <x:v>0</x:v>
      </x:c>
      <x:c r="AU120" s="18" t="n">
        <x:v>2</x:v>
      </x:c>
      <x:c r="AV120" s="18" t="n">
        <x:v>186</x:v>
      </x:c>
      <x:c r="AW120" s="18" t="n">
        <x:v>0</x:v>
      </x:c>
      <x:c r="AX120" s="18" t="n">
        <x:v>0</x:v>
      </x:c>
      <x:c r="AY120" s="18" t="n">
        <x:v>0</x:v>
      </x:c>
      <x:c r="AZ120" s="18" t="n">
        <x:v>0</x:v>
      </x:c>
      <x:c r="BA120" s="18" t="n">
        <x:v>0</x:v>
      </x:c>
      <x:c r="BB120" s="18" t="n">
        <x:v>0</x:v>
      </x:c>
      <x:c r="BC120" s="18" t="n">
        <x:v>0</x:v>
      </x:c>
      <x:c r="BD120" s="18" t="n">
        <x:v>0</x:v>
      </x:c>
      <x:c r="BE120" s="18" t="n">
        <x:v>0</x:v>
      </x:c>
      <x:c r="BF120" s="18" t="n">
        <x:v>1</x:v>
      </x:c>
      <x:c r="BG120" s="18" t="n">
        <x:v>0</x:v>
      </x:c>
    </x:row>
    <x:row r="121">
      <x:c r="A121" s="29" t="str">
        <x:v>194.3</x:v>
      </x:c>
      <x:c r="B121" s="17" t="n">
        <x:v>3087</x:v>
      </x:c>
      <x:c r="C121" s="17" t="str">
        <x:v>ביה"ס אחוזה (זכרון יוסף)</x:v>
      </x:c>
      <x:c r="D121" s="17" t="str">
        <x:v>שד סיני 13</x:v>
      </x:c>
      <x:c r="E121" s="17" t="str">
        <x:v>גבוה מאוד</x:v>
      </x:c>
      <x:c r="F121" s="18" t="n">
        <x:v>664</x:v>
      </x:c>
      <x:c r="G121" s="18" t="n">
        <x:v>409</x:v>
      </x:c>
      <x:c r="H121" s="19" t="n">
        <x:f>IFERROR(G121/F121,0)</x:f>
        <x:v>0.6159638554216867</x:v>
      </x:c>
      <x:c r="I121" s="18" t="n">
        <x:v>2</x:v>
      </x:c>
      <x:c r="J121" s="18" t="n">
        <x:v>407</x:v>
      </x:c>
      <x:c r="K121" s="18" t="n">
        <x:f>SUM(AM121,BF121,W121,AD121)</x:f>
        <x:v>75</x:v>
      </x:c>
      <x:c r="L121" s="18" t="n">
        <x:f>Q121+R121</x:f>
        <x:v>325</x:v>
      </x:c>
      <x:c r="M121" s="19" t="n">
        <x:f>IFERROR(K121/J121,0)</x:f>
        <x:v>0.18427518427518427</x:v>
      </x:c>
      <x:c r="N121" s="19" t="n">
        <x:f>IFERROR(L121/J121,0)</x:f>
        <x:v>0.7985257985257985</x:v>
      </x:c>
      <x:c r="O121" s="17" t="str">
        <x:f>IF(K121&gt;MAX(L121,S121),"קואליציית ההקמה 2022",IF(L121&gt;MAX(K121,S121),"אופוזיציה רחבה 2022","רשימות אחרות"))</x:f>
        <x:v>אופוזיציה רחבה 2022</x:v>
      </x:c>
      <x:c r="P121" s="17" t="str">
        <x:f>IF(AND(H121&lt;50%,N121&gt;50%),"כן","לא")</x:f>
        <x:v>לא</x:v>
      </x:c>
      <x:c r="Q121" s="18" t="n">
        <x:f>SUM(AV121,AJ121,AL121,T121,AN121)</x:f>
        <x:v>319</x:v>
      </x:c>
      <x:c r="R121" s="18" t="n">
        <x:f>SUM(Y121,AU121,X121)</x:f>
        <x:v>6</x:v>
      </x:c>
      <x:c r="S121" s="18" t="n">
        <x:f>J121-K121-L121</x:f>
        <x:v>7</x:v>
      </x:c>
      <x:c r="T121" s="18" t="n">
        <x:v>34</x:v>
      </x:c>
      <x:c r="U121" s="18" t="n">
        <x:v>0</x:v>
      </x:c>
      <x:c r="V121" s="18" t="n">
        <x:v>3</x:v>
      </x:c>
      <x:c r="W121" s="18" t="n">
        <x:v>3</x:v>
      </x:c>
      <x:c r="X121" s="18" t="n">
        <x:v>2</x:v>
      </x:c>
      <x:c r="Y121" s="18" t="n">
        <x:v>4</x:v>
      </x:c>
      <x:c r="Z121" s="18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17</x:v>
      </x:c>
      <x:c r="AE121" s="18" t="n">
        <x:v>0</x:v>
      </x:c>
      <x:c r="AF121" s="18" t="n">
        <x:v>2</x:v>
      </x:c>
      <x:c r="AG121" s="18" t="n">
        <x:v>0</x:v>
      </x:c>
      <x:c r="AH121" s="18" t="n">
        <x:v>0</x:v>
      </x:c>
      <x:c r="AI121" s="18" t="n">
        <x:v>0</x:v>
      </x:c>
      <x:c r="AJ121" s="18" t="n">
        <x:v>58</x:v>
      </x:c>
      <x:c r="AK121" s="18" t="n">
        <x:v>0</x:v>
      </x:c>
      <x:c r="AL121" s="18" t="n">
        <x:v>21</x:v>
      </x:c>
      <x:c r="AM121" s="18" t="n">
        <x:v>52</x:v>
      </x:c>
      <x:c r="AN121" s="18" t="n">
        <x:v>40</x:v>
      </x:c>
      <x:c r="AO121" s="18" t="n">
        <x:v>0</x:v>
      </x:c>
      <x:c r="AP121" s="18" t="n">
        <x:v>0</x:v>
      </x:c>
      <x:c r="AQ121" s="18" t="n">
        <x:v>0</x:v>
      </x:c>
      <x:c r="AR121" s="18" t="n">
        <x:v>0</x:v>
      </x:c>
      <x:c r="AS121" s="18" t="n">
        <x:v>0</x:v>
      </x:c>
      <x:c r="AT121" s="18" t="n">
        <x:v>0</x:v>
      </x:c>
      <x:c r="AU121" s="18" t="n">
        <x:v>0</x:v>
      </x:c>
      <x:c r="AV121" s="18" t="n">
        <x:v>166</x:v>
      </x:c>
      <x:c r="AW121" s="18" t="n">
        <x:v>0</x:v>
      </x:c>
      <x:c r="AX121" s="18" t="n">
        <x:v>0</x:v>
      </x:c>
      <x:c r="AY121" s="18" t="n">
        <x:v>0</x:v>
      </x:c>
      <x:c r="AZ121" s="18" t="n">
        <x:v>0</x:v>
      </x:c>
      <x:c r="BA121" s="18" t="n">
        <x:v>0</x:v>
      </x:c>
      <x:c r="BB121" s="18" t="n">
        <x:v>0</x:v>
      </x:c>
      <x:c r="BC121" s="18" t="n">
        <x:v>0</x:v>
      </x:c>
      <x:c r="BD121" s="18" t="n">
        <x:v>2</x:v>
      </x:c>
      <x:c r="BE121" s="18" t="n">
        <x:v>0</x:v>
      </x:c>
      <x:c r="BF121" s="18" t="n">
        <x:v>3</x:v>
      </x:c>
      <x:c r="BG121" s="18" t="n">
        <x:v>0</x:v>
      </x:c>
    </x:row>
    <x:row r="122">
      <x:c r="A122" s="29" t="str">
        <x:v>194.4</x:v>
      </x:c>
      <x:c r="B122" s="17" t="n">
        <x:v>3088</x:v>
      </x:c>
      <x:c r="C122" s="17" t="str">
        <x:v>ביה"ס אחוזה (זכרון יוסף)</x:v>
      </x:c>
      <x:c r="D122" s="17" t="str">
        <x:v>שד סיני 13</x:v>
      </x:c>
      <x:c r="E122" s="17" t="str">
        <x:v>גבוה מאוד</x:v>
      </x:c>
      <x:c r="F122" s="18" t="n">
        <x:v>664</x:v>
      </x:c>
      <x:c r="G122" s="18" t="n">
        <x:v>376</x:v>
      </x:c>
      <x:c r="H122" s="19" t="n">
        <x:f>IFERROR(G122/F122,0)</x:f>
        <x:v>0.5662650602409639</x:v>
      </x:c>
      <x:c r="I122" s="18" t="n">
        <x:v>0</x:v>
      </x:c>
      <x:c r="J122" s="18" t="n">
        <x:v>376</x:v>
      </x:c>
      <x:c r="K122" s="18" t="n">
        <x:f>SUM(AM122,BF122,W122,AD122)</x:f>
        <x:v>79</x:v>
      </x:c>
      <x:c r="L122" s="18" t="n">
        <x:f>Q122+R122</x:f>
        <x:v>286</x:v>
      </x:c>
      <x:c r="M122" s="19" t="n">
        <x:f>IFERROR(K122/J122,0)</x:f>
        <x:v>0.21010638297872342</x:v>
      </x:c>
      <x:c r="N122" s="19" t="n">
        <x:f>IFERROR(L122/J122,0)</x:f>
        <x:v>0.7606382978723404</x:v>
      </x:c>
      <x:c r="O122" s="17" t="str">
        <x:f>IF(K122&gt;MAX(L122,S122),"קואליציית ההקמה 2022",IF(L122&gt;MAX(K122,S122),"אופוזיציה רחבה 2022","רשימות אחרות"))</x:f>
        <x:v>אופוזיציה רחבה 2022</x:v>
      </x:c>
      <x:c r="P122" s="17" t="str">
        <x:f>IF(AND(H122&lt;50%,N122&gt;50%),"כן","לא")</x:f>
        <x:v>לא</x:v>
      </x:c>
      <x:c r="Q122" s="18" t="n">
        <x:f>SUM(AV122,AJ122,AL122,T122,AN122)</x:f>
        <x:v>283</x:v>
      </x:c>
      <x:c r="R122" s="18" t="n">
        <x:f>SUM(Y122,AU122,X122)</x:f>
        <x:v>3</x:v>
      </x:c>
      <x:c r="S122" s="18" t="n">
        <x:f>J122-K122-L122</x:f>
        <x:v>11</x:v>
      </x:c>
      <x:c r="T122" s="18" t="n">
        <x:v>27</x:v>
      </x:c>
      <x:c r="U122" s="18" t="n">
        <x:v>3</x:v>
      </x:c>
      <x:c r="V122" s="18" t="n">
        <x:v>3</x:v>
      </x:c>
      <x:c r="W122" s="18" t="n">
        <x:v>1</x:v>
      </x:c>
      <x:c r="X122" s="18" t="n">
        <x:v>1</x:v>
      </x:c>
      <x:c r="Y122" s="18" t="n">
        <x:v>2</x:v>
      </x:c>
      <x:c r="Z122" s="18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19</x:v>
      </x:c>
      <x:c r="AE122" s="18" t="n">
        <x:v>0</x:v>
      </x:c>
      <x:c r="AF122" s="18" t="n">
        <x:v>1</x:v>
      </x:c>
      <x:c r="AG122" s="18" t="n">
        <x:v>0</x:v>
      </x:c>
      <x:c r="AH122" s="18" t="n">
        <x:v>0</x:v>
      </x:c>
      <x:c r="AI122" s="18" t="n">
        <x:v>0</x:v>
      </x:c>
      <x:c r="AJ122" s="18" t="n">
        <x:v>56</x:v>
      </x:c>
      <x:c r="AK122" s="18" t="n">
        <x:v>0</x:v>
      </x:c>
      <x:c r="AL122" s="18" t="n">
        <x:v>12</x:v>
      </x:c>
      <x:c r="AM122" s="18" t="n">
        <x:v>58</x:v>
      </x:c>
      <x:c r="AN122" s="18" t="n">
        <x:v>23</x:v>
      </x:c>
      <x:c r="AO122" s="18" t="n">
        <x:v>0</x:v>
      </x:c>
      <x:c r="AP122" s="18" t="n">
        <x:v>1</x:v>
      </x:c>
      <x:c r="AQ122" s="18" t="n">
        <x:v>0</x:v>
      </x:c>
      <x:c r="AR122" s="18" t="n">
        <x:v>0</x:v>
      </x:c>
      <x:c r="AS122" s="18" t="n">
        <x:v>0</x:v>
      </x:c>
      <x:c r="AT122" s="18" t="n">
        <x:v>0</x:v>
      </x:c>
      <x:c r="AU122" s="18" t="n">
        <x:v>0</x:v>
      </x:c>
      <x:c r="AV122" s="18" t="n">
        <x:v>165</x:v>
      </x:c>
      <x:c r="AW122" s="18" t="n">
        <x:v>0</x:v>
      </x:c>
      <x:c r="AX122" s="18" t="n">
        <x:v>0</x:v>
      </x:c>
      <x:c r="AY122" s="18" t="n">
        <x:v>0</x:v>
      </x:c>
      <x:c r="AZ122" s="18" t="n">
        <x:v>0</x:v>
      </x:c>
      <x:c r="BA122" s="18" t="n">
        <x:v>0</x:v>
      </x:c>
      <x:c r="BB122" s="18" t="n">
        <x:v>0</x:v>
      </x:c>
      <x:c r="BC122" s="18" t="n">
        <x:v>0</x:v>
      </x:c>
      <x:c r="BD122" s="18" t="n">
        <x:v>3</x:v>
      </x:c>
      <x:c r="BE122" s="18" t="n">
        <x:v>0</x:v>
      </x:c>
      <x:c r="BF122" s="18" t="n">
        <x:v>1</x:v>
      </x:c>
      <x:c r="BG122" s="18" t="n">
        <x:v>0</x:v>
      </x:c>
    </x:row>
    <x:row r="123">
      <x:c r="A123" s="29" t="str">
        <x:v>194.5</x:v>
      </x:c>
      <x:c r="B123" s="17" t="n">
        <x:v>3089</x:v>
      </x:c>
      <x:c r="C123" s="17" t="str">
        <x:v>ביה"ס אחוזה (זכרון יוסף)</x:v>
      </x:c>
      <x:c r="D123" s="17" t="str">
        <x:v>שד סיני 13</x:v>
      </x:c>
      <x:c r="E123" s="17" t="str">
        <x:v>גבוה מאוד</x:v>
      </x:c>
      <x:c r="F123" s="18" t="n">
        <x:v>664</x:v>
      </x:c>
      <x:c r="G123" s="18" t="n">
        <x:v>431</x:v>
      </x:c>
      <x:c r="H123" s="19" t="n">
        <x:f>IFERROR(G123/F123,0)</x:f>
        <x:v>0.6490963855421686</x:v>
      </x:c>
      <x:c r="I123" s="18" t="n">
        <x:v>0</x:v>
      </x:c>
      <x:c r="J123" s="18" t="n">
        <x:v>431</x:v>
      </x:c>
      <x:c r="K123" s="18" t="n">
        <x:f>SUM(AM123,BF123,W123,AD123)</x:f>
        <x:v>79</x:v>
      </x:c>
      <x:c r="L123" s="18" t="n">
        <x:f>Q123+R123</x:f>
        <x:v>335</x:v>
      </x:c>
      <x:c r="M123" s="19" t="n">
        <x:f>IFERROR(K123/J123,0)</x:f>
        <x:v>0.18329466357308585</x:v>
      </x:c>
      <x:c r="N123" s="19" t="n">
        <x:f>IFERROR(L123/J123,0)</x:f>
        <x:v>0.777262180974478</x:v>
      </x:c>
      <x:c r="O123" s="17" t="str">
        <x:f>IF(K123&gt;MAX(L123,S123),"קואליציית ההקמה 2022",IF(L123&gt;MAX(K123,S123),"אופוזיציה רחבה 2022","רשימות אחרות"))</x:f>
        <x:v>אופוזיציה רחבה 2022</x:v>
      </x:c>
      <x:c r="P123" s="17" t="str">
        <x:f>IF(AND(H123&lt;50%,N123&gt;50%),"כן","לא")</x:f>
        <x:v>לא</x:v>
      </x:c>
      <x:c r="Q123" s="18" t="n">
        <x:f>SUM(AV123,AJ123,AL123,T123,AN123)</x:f>
        <x:v>327</x:v>
      </x:c>
      <x:c r="R123" s="18" t="n">
        <x:f>SUM(Y123,AU123,X123)</x:f>
        <x:v>8</x:v>
      </x:c>
      <x:c r="S123" s="18" t="n">
        <x:f>J123-K123-L123</x:f>
        <x:v>17</x:v>
      </x:c>
      <x:c r="T123" s="18" t="n">
        <x:v>30</x:v>
      </x:c>
      <x:c r="U123" s="18" t="n">
        <x:v>0</x:v>
      </x:c>
      <x:c r="V123" s="18" t="n">
        <x:v>8</x:v>
      </x:c>
      <x:c r="W123" s="18" t="n">
        <x:v>1</x:v>
      </x:c>
      <x:c r="X123" s="18" t="n">
        <x:v>2</x:v>
      </x:c>
      <x:c r="Y123" s="18" t="n">
        <x:v>4</x:v>
      </x:c>
      <x:c r="Z123" s="18" t="n">
        <x:v>0</x:v>
      </x:c>
      <x:c r="AA123" s="18" t="n">
        <x:v>0</x:v>
      </x:c>
      <x:c r="AB123" s="18" t="n">
        <x:v>0</x:v>
      </x:c>
      <x:c r="AC123" s="18" t="n">
        <x:v>0</x:v>
      </x:c>
      <x:c r="AD123" s="18" t="n">
        <x:v>15</x:v>
      </x:c>
      <x:c r="AE123" s="18" t="n">
        <x:v>0</x:v>
      </x:c>
      <x:c r="AF123" s="18" t="n">
        <x:v>1</x:v>
      </x:c>
      <x:c r="AG123" s="18" t="n">
        <x:v>0</x:v>
      </x:c>
      <x:c r="AH123" s="18" t="n">
        <x:v>0</x:v>
      </x:c>
      <x:c r="AI123" s="18" t="n">
        <x:v>0</x:v>
      </x:c>
      <x:c r="AJ123" s="18" t="n">
        <x:v>53</x:v>
      </x:c>
      <x:c r="AK123" s="18" t="n">
        <x:v>0</x:v>
      </x:c>
      <x:c r="AL123" s="18" t="n">
        <x:v>24</x:v>
      </x:c>
      <x:c r="AM123" s="18" t="n">
        <x:v>62</x:v>
      </x:c>
      <x:c r="AN123" s="18" t="n">
        <x:v>36</x:v>
      </x:c>
      <x:c r="AO123" s="18" t="n">
        <x:v>0</x:v>
      </x:c>
      <x:c r="AP123" s="18" t="n">
        <x:v>0</x:v>
      </x:c>
      <x:c r="AQ123" s="18" t="n">
        <x:v>0</x:v>
      </x:c>
      <x:c r="AR123" s="18" t="n">
        <x:v>0</x:v>
      </x:c>
      <x:c r="AS123" s="18" t="n">
        <x:v>0</x:v>
      </x:c>
      <x:c r="AT123" s="18" t="n">
        <x:v>0</x:v>
      </x:c>
      <x:c r="AU123" s="18" t="n">
        <x:v>2</x:v>
      </x:c>
      <x:c r="AV123" s="18" t="n">
        <x:v>184</x:v>
      </x:c>
      <x:c r="AW123" s="18" t="n">
        <x:v>1</x:v>
      </x:c>
      <x:c r="AX123" s="18" t="n">
        <x:v>2</x:v>
      </x:c>
      <x:c r="AY123" s="18" t="n">
        <x:v>0</x:v>
      </x:c>
      <x:c r="AZ123" s="18" t="n">
        <x:v>2</x:v>
      </x:c>
      <x:c r="BA123" s="18" t="n">
        <x:v>0</x:v>
      </x:c>
      <x:c r="BB123" s="18" t="n">
        <x:v>0</x:v>
      </x:c>
      <x:c r="BC123" s="18" t="n">
        <x:v>0</x:v>
      </x:c>
      <x:c r="BD123" s="18" t="n">
        <x:v>3</x:v>
      </x:c>
      <x:c r="BE123" s="18" t="n">
        <x:v>0</x:v>
      </x:c>
      <x:c r="BF123" s="18" t="n">
        <x:v>1</x:v>
      </x:c>
      <x:c r="BG123" s="18" t="n">
        <x:v>0</x:v>
      </x:c>
    </x:row>
    <x:row r="124">
      <x:c r="A124" s="29" t="str">
        <x:v>194.6</x:v>
      </x:c>
      <x:c r="B124" s="17" t="n">
        <x:v>3090</x:v>
      </x:c>
      <x:c r="C124" s="17" t="str">
        <x:v>ביה"ס אחוזה (זכרון יוסף)</x:v>
      </x:c>
      <x:c r="D124" s="17" t="str">
        <x:v>שד סיני 13</x:v>
      </x:c>
      <x:c r="E124" s="17" t="str">
        <x:v>גבוה מאוד</x:v>
      </x:c>
      <x:c r="F124" s="18" t="n">
        <x:v>661</x:v>
      </x:c>
      <x:c r="G124" s="18" t="n">
        <x:v>406</x:v>
      </x:c>
      <x:c r="H124" s="19" t="n">
        <x:f>IFERROR(G124/F124,0)</x:f>
        <x:v>0.6142208774583964</x:v>
      </x:c>
      <x:c r="I124" s="18" t="n">
        <x:v>0</x:v>
      </x:c>
      <x:c r="J124" s="18" t="n">
        <x:v>406</x:v>
      </x:c>
      <x:c r="K124" s="18" t="n">
        <x:f>SUM(AM124,BF124,W124,AD124)</x:f>
        <x:v>82</x:v>
      </x:c>
      <x:c r="L124" s="18" t="n">
        <x:f>Q124+R124</x:f>
        <x:v>309</x:v>
      </x:c>
      <x:c r="M124" s="19" t="n">
        <x:f>IFERROR(K124/J124,0)</x:f>
        <x:v>0.2019704433497537</x:v>
      </x:c>
      <x:c r="N124" s="19" t="n">
        <x:f>IFERROR(L124/J124,0)</x:f>
        <x:v>0.7610837438423645</x:v>
      </x:c>
      <x:c r="O124" s="17" t="str">
        <x:f>IF(K124&gt;MAX(L124,S124),"קואליציית ההקמה 2022",IF(L124&gt;MAX(K124,S124),"אופוזיציה רחבה 2022","רשימות אחרות"))</x:f>
        <x:v>אופוזיציה רחבה 2022</x:v>
      </x:c>
      <x:c r="P124" s="17" t="str">
        <x:f>IF(AND(H124&lt;50%,N124&gt;50%),"כן","לא")</x:f>
        <x:v>לא</x:v>
      </x:c>
      <x:c r="Q124" s="18" t="n">
        <x:f>SUM(AV124,AJ124,AL124,T124,AN124)</x:f>
        <x:v>306</x:v>
      </x:c>
      <x:c r="R124" s="18" t="n">
        <x:f>SUM(Y124,AU124,X124)</x:f>
        <x:v>3</x:v>
      </x:c>
      <x:c r="S124" s="18" t="n">
        <x:f>J124-K124-L124</x:f>
        <x:v>15</x:v>
      </x:c>
      <x:c r="T124" s="18" t="n">
        <x:v>42</x:v>
      </x:c>
      <x:c r="U124" s="18" t="n">
        <x:v>0</x:v>
      </x:c>
      <x:c r="V124" s="18" t="n">
        <x:v>6</x:v>
      </x:c>
      <x:c r="W124" s="18" t="n">
        <x:v>4</x:v>
      </x:c>
      <x:c r="X124" s="18" t="n">
        <x:v>1</x:v>
      </x:c>
      <x:c r="Y124" s="18" t="n">
        <x:v>2</x:v>
      </x:c>
      <x:c r="Z124" s="18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14</x:v>
      </x:c>
      <x:c r="AE124" s="18" t="n">
        <x:v>0</x:v>
      </x:c>
      <x:c r="AF124" s="18" t="n">
        <x:v>3</x:v>
      </x:c>
      <x:c r="AG124" s="18" t="n">
        <x:v>0</x:v>
      </x:c>
      <x:c r="AH124" s="18" t="n">
        <x:v>0</x:v>
      </x:c>
      <x:c r="AI124" s="18" t="n">
        <x:v>0</x:v>
      </x:c>
      <x:c r="AJ124" s="18" t="n">
        <x:v>54</x:v>
      </x:c>
      <x:c r="AK124" s="18" t="n">
        <x:v>0</x:v>
      </x:c>
      <x:c r="AL124" s="18" t="n">
        <x:v>20</x:v>
      </x:c>
      <x:c r="AM124" s="18" t="n">
        <x:v>63</x:v>
      </x:c>
      <x:c r="AN124" s="18" t="n">
        <x:v>30</x:v>
      </x:c>
      <x:c r="AO124" s="18" t="n">
        <x:v>0</x:v>
      </x:c>
      <x:c r="AP124" s="18" t="n">
        <x:v>0</x:v>
      </x:c>
      <x:c r="AQ124" s="18" t="n">
        <x:v>0</x:v>
      </x:c>
      <x:c r="AR124" s="18" t="n">
        <x:v>0</x:v>
      </x:c>
      <x:c r="AS124" s="18" t="n">
        <x:v>0</x:v>
      </x:c>
      <x:c r="AT124" s="18" t="n">
        <x:v>0</x:v>
      </x:c>
      <x:c r="AU124" s="18" t="n">
        <x:v>0</x:v>
      </x:c>
      <x:c r="AV124" s="18" t="n">
        <x:v>160</x:v>
      </x:c>
      <x:c r="AW124" s="18" t="n">
        <x:v>0</x:v>
      </x:c>
      <x:c r="AX124" s="18" t="n">
        <x:v>0</x:v>
      </x:c>
      <x:c r="AY124" s="18" t="n">
        <x:v>0</x:v>
      </x:c>
      <x:c r="AZ124" s="18" t="n">
        <x:v>1</x:v>
      </x:c>
      <x:c r="BA124" s="18" t="n">
        <x:v>0</x:v>
      </x:c>
      <x:c r="BB124" s="18" t="n">
        <x:v>0</x:v>
      </x:c>
      <x:c r="BC124" s="18" t="n">
        <x:v>0</x:v>
      </x:c>
      <x:c r="BD124" s="18" t="n">
        <x:v>5</x:v>
      </x:c>
      <x:c r="BE124" s="18" t="n">
        <x:v>0</x:v>
      </x:c>
      <x:c r="BF124" s="18" t="n">
        <x:v>1</x:v>
      </x:c>
      <x:c r="BG124" s="18" t="n">
        <x:v>0</x:v>
      </x:c>
    </x:row>
    <x:row r="125">
      <x:c r="A125" s="29" t="str">
        <x:v>195</x:v>
      </x:c>
      <x:c r="B125" s="17" t="n">
        <x:v>3047</x:v>
      </x:c>
      <x:c r="C125" s="17" t="str">
        <x:v>בי"ס רוממה</x:v>
      </x:c>
      <x:c r="D125" s="17" t="str">
        <x:v>אורן 27</x:v>
      </x:c>
      <x:c r="E125" s="17" t="str">
        <x:v>גבוה מאוד</x:v>
      </x:c>
      <x:c r="F125" s="18" t="n">
        <x:v>522</x:v>
      </x:c>
      <x:c r="G125" s="18" t="n">
        <x:v>290</x:v>
      </x:c>
      <x:c r="H125" s="19" t="n">
        <x:f>IFERROR(G125/F125,0)</x:f>
        <x:v>0.5555555555555556</x:v>
      </x:c>
      <x:c r="I125" s="18" t="n">
        <x:v>5</x:v>
      </x:c>
      <x:c r="J125" s="18" t="n">
        <x:v>285</x:v>
      </x:c>
      <x:c r="K125" s="18" t="n">
        <x:f>SUM(AM125,BF125,W125,AD125)</x:f>
        <x:v>66</x:v>
      </x:c>
      <x:c r="L125" s="18" t="n">
        <x:f>Q125+R125</x:f>
        <x:v>210</x:v>
      </x:c>
      <x:c r="M125" s="19" t="n">
        <x:f>IFERROR(K125/J125,0)</x:f>
        <x:v>0.23157894736842105</x:v>
      </x:c>
      <x:c r="N125" s="19" t="n">
        <x:f>IFERROR(L125/J125,0)</x:f>
        <x:v>0.7368421052631579</x:v>
      </x:c>
      <x:c r="O125" s="17" t="str">
        <x:f>IF(K125&gt;MAX(L125,S125),"קואליציית ההקמה 2022",IF(L125&gt;MAX(K125,S125),"אופוזיציה רחבה 2022","רשימות אחרות"))</x:f>
        <x:v>אופוזיציה רחבה 2022</x:v>
      </x:c>
      <x:c r="P125" s="17" t="str">
        <x:f>IF(AND(H125&lt;50%,N125&gt;50%),"כן","לא")</x:f>
        <x:v>לא</x:v>
      </x:c>
      <x:c r="Q125" s="18" t="n">
        <x:f>SUM(AV125,AJ125,AL125,T125,AN125)</x:f>
        <x:v>210</x:v>
      </x:c>
      <x:c r="R125" s="18" t="n">
        <x:f>SUM(Y125,AU125,X125)</x:f>
        <x:v>0</x:v>
      </x:c>
      <x:c r="S125" s="18" t="n">
        <x:f>J125-K125-L125</x:f>
        <x:v>9</x:v>
      </x:c>
      <x:c r="T125" s="18" t="n">
        <x:v>18</x:v>
      </x:c>
      <x:c r="U125" s="18" t="n">
        <x:v>3</x:v>
      </x:c>
      <x:c r="V125" s="18" t="n">
        <x:v>2</x:v>
      </x:c>
      <x:c r="W125" s="18" t="n">
        <x:v>1</x:v>
      </x:c>
      <x:c r="X125" s="18" t="n">
        <x:v>0</x:v>
      </x:c>
      <x:c r="Y125" s="18" t="n">
        <x:v>0</x:v>
      </x:c>
      <x:c r="Z125" s="18" t="n">
        <x:v>0</x:v>
      </x:c>
      <x:c r="AA125" s="18" t="n">
        <x:v>0</x:v>
      </x:c>
      <x:c r="AB125" s="18" t="n">
        <x:v>0</x:v>
      </x:c>
      <x:c r="AC125" s="18" t="n">
        <x:v>0</x:v>
      </x:c>
      <x:c r="AD125" s="18" t="n">
        <x:v>8</x:v>
      </x:c>
      <x:c r="AE125" s="18" t="n">
        <x:v>0</x:v>
      </x:c>
      <x:c r="AF125" s="18" t="n">
        <x:v>1</x:v>
      </x:c>
      <x:c r="AG125" s="18" t="n">
        <x:v>0</x:v>
      </x:c>
      <x:c r="AH125" s="18" t="n">
        <x:v>0</x:v>
      </x:c>
      <x:c r="AI125" s="18" t="n">
        <x:v>0</x:v>
      </x:c>
      <x:c r="AJ125" s="18" t="n">
        <x:v>39</x:v>
      </x:c>
      <x:c r="AK125" s="18" t="n">
        <x:v>1</x:v>
      </x:c>
      <x:c r="AL125" s="18" t="n">
        <x:v>50</x:v>
      </x:c>
      <x:c r="AM125" s="18" t="n">
        <x:v>53</x:v>
      </x:c>
      <x:c r="AN125" s="18" t="n">
        <x:v>13</x:v>
      </x:c>
      <x:c r="AO125" s="18" t="n">
        <x:v>0</x:v>
      </x:c>
      <x:c r="AP125" s="18" t="n">
        <x:v>0</x:v>
      </x:c>
      <x:c r="AQ125" s="18" t="n">
        <x:v>0</x:v>
      </x:c>
      <x:c r="AR125" s="18" t="n">
        <x:v>0</x:v>
      </x:c>
      <x:c r="AS125" s="18" t="n">
        <x:v>0</x:v>
      </x:c>
      <x:c r="AT125" s="18" t="n">
        <x:v>0</x:v>
      </x:c>
      <x:c r="AU125" s="18" t="n">
        <x:v>0</x:v>
      </x:c>
      <x:c r="AV125" s="18" t="n">
        <x:v>90</x:v>
      </x:c>
      <x:c r="AW125" s="18" t="n">
        <x:v>0</x:v>
      </x:c>
      <x:c r="AX125" s="18" t="n">
        <x:v>0</x:v>
      </x:c>
      <x:c r="AY125" s="18" t="n">
        <x:v>0</x:v>
      </x:c>
      <x:c r="AZ125" s="18" t="n">
        <x:v>0</x:v>
      </x:c>
      <x:c r="BA125" s="18" t="n">
        <x:v>0</x:v>
      </x:c>
      <x:c r="BB125" s="18" t="n">
        <x:v>0</x:v>
      </x:c>
      <x:c r="BC125" s="18" t="n">
        <x:v>1</x:v>
      </x:c>
      <x:c r="BD125" s="18" t="n">
        <x:v>1</x:v>
      </x:c>
      <x:c r="BE125" s="18" t="n">
        <x:v>0</x:v>
      </x:c>
      <x:c r="BF125" s="18" t="n">
        <x:v>4</x:v>
      </x:c>
      <x:c r="BG125" s="18" t="n">
        <x:v>0</x:v>
      </x:c>
    </x:row>
    <x:row r="126">
      <x:c r="A126" s="29" t="str">
        <x:v>197.1</x:v>
      </x:c>
      <x:c r="B126" s="17" t="n">
        <x:v>3091</x:v>
      </x:c>
      <x:c r="C126" s="17" t="str">
        <x:v>מרכז קהילתי</x:v>
      </x:c>
      <x:c r="D126" s="17" t="str">
        <x:v>ולנברג ראול 11</x:v>
      </x:c>
      <x:c r="E126" s="17" t="str">
        <x:v>גבוה</x:v>
      </x:c>
      <x:c r="F126" s="18" t="n">
        <x:v>661</x:v>
      </x:c>
      <x:c r="G126" s="18" t="n">
        <x:v>458</x:v>
      </x:c>
      <x:c r="H126" s="19" t="n">
        <x:f>IFERROR(G126/F126,0)</x:f>
        <x:v>0.6928895612708018</x:v>
      </x:c>
      <x:c r="I126" s="18" t="n">
        <x:v>0</x:v>
      </x:c>
      <x:c r="J126" s="18" t="n">
        <x:v>458</x:v>
      </x:c>
      <x:c r="K126" s="18" t="n">
        <x:f>SUM(AM126,BF126,W126,AD126)</x:f>
        <x:v>99</x:v>
      </x:c>
      <x:c r="L126" s="18" t="n">
        <x:f>Q126+R126</x:f>
        <x:v>342</x:v>
      </x:c>
      <x:c r="M126" s="19" t="n">
        <x:f>IFERROR(K126/J126,0)</x:f>
        <x:v>0.21615720524017468</x:v>
      </x:c>
      <x:c r="N126" s="19" t="n">
        <x:f>IFERROR(L126/J126,0)</x:f>
        <x:v>0.7467248908296943</x:v>
      </x:c>
      <x:c r="O126" s="17" t="str">
        <x:f>IF(K126&gt;MAX(L126,S126),"קואליציית ההקמה 2022",IF(L126&gt;MAX(K126,S126),"אופוזיציה רחבה 2022","רשימות אחרות"))</x:f>
        <x:v>אופוזיציה רחבה 2022</x:v>
      </x:c>
      <x:c r="P126" s="17" t="str">
        <x:f>IF(AND(H126&lt;50%,N126&gt;50%),"כן","לא")</x:f>
        <x:v>לא</x:v>
      </x:c>
      <x:c r="Q126" s="18" t="n">
        <x:f>SUM(AV126,AJ126,AL126,T126,AN126)</x:f>
        <x:v>338</x:v>
      </x:c>
      <x:c r="R126" s="18" t="n">
        <x:f>SUM(Y126,AU126,X126)</x:f>
        <x:v>4</x:v>
      </x:c>
      <x:c r="S126" s="18" t="n">
        <x:f>J126-K126-L126</x:f>
        <x:v>17</x:v>
      </x:c>
      <x:c r="T126" s="18" t="n">
        <x:v>18</x:v>
      </x:c>
      <x:c r="U126" s="18" t="n">
        <x:v>5</x:v>
      </x:c>
      <x:c r="V126" s="18" t="n">
        <x:v>7</x:v>
      </x:c>
      <x:c r="W126" s="18" t="n">
        <x:v>1</x:v>
      </x:c>
      <x:c r="X126" s="18" t="n">
        <x:v>0</x:v>
      </x:c>
      <x:c r="Y126" s="18" t="n">
        <x:v>4</x:v>
      </x:c>
      <x:c r="Z126" s="18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15</x:v>
      </x:c>
      <x:c r="AE126" s="18" t="n">
        <x:v>0</x:v>
      </x:c>
      <x:c r="AF126" s="18" t="n">
        <x:v>0</x:v>
      </x:c>
      <x:c r="AG126" s="18" t="n">
        <x:v>0</x:v>
      </x:c>
      <x:c r="AH126" s="18" t="n">
        <x:v>0</x:v>
      </x:c>
      <x:c r="AI126" s="18" t="n">
        <x:v>0</x:v>
      </x:c>
      <x:c r="AJ126" s="18" t="n">
        <x:v>68</x:v>
      </x:c>
      <x:c r="AK126" s="18" t="n">
        <x:v>0</x:v>
      </x:c>
      <x:c r="AL126" s="18" t="n">
        <x:v>22</x:v>
      </x:c>
      <x:c r="AM126" s="18" t="n">
        <x:v>78</x:v>
      </x:c>
      <x:c r="AN126" s="18" t="n">
        <x:v>35</x:v>
      </x:c>
      <x:c r="AO126" s="18" t="n">
        <x:v>0</x:v>
      </x:c>
      <x:c r="AP126" s="18" t="n">
        <x:v>0</x:v>
      </x:c>
      <x:c r="AQ126" s="18" t="n">
        <x:v>0</x:v>
      </x:c>
      <x:c r="AR126" s="18" t="n">
        <x:v>0</x:v>
      </x:c>
      <x:c r="AS126" s="18" t="n">
        <x:v>0</x:v>
      </x:c>
      <x:c r="AT126" s="18" t="n">
        <x:v>0</x:v>
      </x:c>
      <x:c r="AU126" s="18" t="n">
        <x:v>0</x:v>
      </x:c>
      <x:c r="AV126" s="18" t="n">
        <x:v>195</x:v>
      </x:c>
      <x:c r="AW126" s="18" t="n">
        <x:v>0</x:v>
      </x:c>
      <x:c r="AX126" s="18" t="n">
        <x:v>2</x:v>
      </x:c>
      <x:c r="AY126" s="18" t="n">
        <x:v>0</x:v>
      </x:c>
      <x:c r="AZ126" s="18" t="n">
        <x:v>0</x:v>
      </x:c>
      <x:c r="BA126" s="18" t="n">
        <x:v>0</x:v>
      </x:c>
      <x:c r="BB126" s="18" t="n">
        <x:v>0</x:v>
      </x:c>
      <x:c r="BC126" s="18" t="n">
        <x:v>0</x:v>
      </x:c>
      <x:c r="BD126" s="18" t="n">
        <x:v>3</x:v>
      </x:c>
      <x:c r="BE126" s="18" t="n">
        <x:v>0</x:v>
      </x:c>
      <x:c r="BF126" s="18" t="n">
        <x:v>5</x:v>
      </x:c>
      <x:c r="BG126" s="18" t="n">
        <x:v>0</x:v>
      </x:c>
    </x:row>
    <x:row r="127">
      <x:c r="A127" s="29" t="str">
        <x:v>197.2</x:v>
      </x:c>
      <x:c r="B127" s="17" t="n">
        <x:v>3092</x:v>
      </x:c>
      <x:c r="C127" s="17" t="str">
        <x:v>מרכז קהילתי</x:v>
      </x:c>
      <x:c r="D127" s="17" t="str">
        <x:v>ולנברג ראול 11</x:v>
      </x:c>
      <x:c r="E127" s="17" t="str">
        <x:v>גבוה</x:v>
      </x:c>
      <x:c r="F127" s="18" t="n">
        <x:v>661</x:v>
      </x:c>
      <x:c r="G127" s="18" t="n">
        <x:v>444</x:v>
      </x:c>
      <x:c r="H127" s="19" t="n">
        <x:f>IFERROR(G127/F127,0)</x:f>
        <x:v>0.6717095310136157</x:v>
      </x:c>
      <x:c r="I127" s="18" t="n">
        <x:v>2</x:v>
      </x:c>
      <x:c r="J127" s="18" t="n">
        <x:v>442</x:v>
      </x:c>
      <x:c r="K127" s="18" t="n">
        <x:f>SUM(AM127,BF127,W127,AD127)</x:f>
        <x:v>113</x:v>
      </x:c>
      <x:c r="L127" s="18" t="n">
        <x:f>Q127+R127</x:f>
        <x:v>309</x:v>
      </x:c>
      <x:c r="M127" s="19" t="n">
        <x:f>IFERROR(K127/J127,0)</x:f>
        <x:v>0.25565610859728505</x:v>
      </x:c>
      <x:c r="N127" s="19" t="n">
        <x:f>IFERROR(L127/J127,0)</x:f>
        <x:v>0.6990950226244343</x:v>
      </x:c>
      <x:c r="O127" s="17" t="str">
        <x:f>IF(K127&gt;MAX(L127,S127),"קואליציית ההקמה 2022",IF(L127&gt;MAX(K127,S127),"אופוזיציה רחבה 2022","רשימות אחרות"))</x:f>
        <x:v>אופוזיציה רחבה 2022</x:v>
      </x:c>
      <x:c r="P127" s="17" t="str">
        <x:f>IF(AND(H127&lt;50%,N127&gt;50%),"כן","לא")</x:f>
        <x:v>לא</x:v>
      </x:c>
      <x:c r="Q127" s="18" t="n">
        <x:f>SUM(AV127,AJ127,AL127,T127,AN127)</x:f>
        <x:v>308</x:v>
      </x:c>
      <x:c r="R127" s="18" t="n">
        <x:f>SUM(Y127,AU127,X127)</x:f>
        <x:v>1</x:v>
      </x:c>
      <x:c r="S127" s="18" t="n">
        <x:f>J127-K127-L127</x:f>
        <x:v>20</x:v>
      </x:c>
      <x:c r="T127" s="18" t="n">
        <x:v>32</x:v>
      </x:c>
      <x:c r="U127" s="18" t="n">
        <x:v>0</x:v>
      </x:c>
      <x:c r="V127" s="18" t="n">
        <x:v>9</x:v>
      </x:c>
      <x:c r="W127" s="18" t="n">
        <x:v>0</x:v>
      </x:c>
      <x:c r="X127" s="18" t="n">
        <x:v>0</x:v>
      </x:c>
      <x:c r="Y127" s="18" t="n">
        <x:v>0</x:v>
      </x:c>
      <x:c r="Z127" s="18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22</x:v>
      </x:c>
      <x:c r="AE127" s="18" t="n">
        <x:v>0</x:v>
      </x:c>
      <x:c r="AF127" s="18" t="n">
        <x:v>4</x:v>
      </x:c>
      <x:c r="AG127" s="18" t="n">
        <x:v>0</x:v>
      </x:c>
      <x:c r="AH127" s="18" t="n">
        <x:v>0</x:v>
      </x:c>
      <x:c r="AI127" s="18" t="n">
        <x:v>0</x:v>
      </x:c>
      <x:c r="AJ127" s="18" t="n">
        <x:v>62</x:v>
      </x:c>
      <x:c r="AK127" s="18" t="n">
        <x:v>0</x:v>
      </x:c>
      <x:c r="AL127" s="18" t="n">
        <x:v>23</x:v>
      </x:c>
      <x:c r="AM127" s="18" t="n">
        <x:v>90</x:v>
      </x:c>
      <x:c r="AN127" s="18" t="n">
        <x:v>30</x:v>
      </x:c>
      <x:c r="AO127" s="18" t="n">
        <x:v>0</x:v>
      </x:c>
      <x:c r="AP127" s="18" t="n">
        <x:v>0</x:v>
      </x:c>
      <x:c r="AQ127" s="18" t="n">
        <x:v>0</x:v>
      </x:c>
      <x:c r="AR127" s="18" t="n">
        <x:v>0</x:v>
      </x:c>
      <x:c r="AS127" s="18" t="n">
        <x:v>0</x:v>
      </x:c>
      <x:c r="AT127" s="18" t="n">
        <x:v>0</x:v>
      </x:c>
      <x:c r="AU127" s="18" t="n">
        <x:v>1</x:v>
      </x:c>
      <x:c r="AV127" s="18" t="n">
        <x:v>161</x:v>
      </x:c>
      <x:c r="AW127" s="18" t="n">
        <x:v>0</x:v>
      </x:c>
      <x:c r="AX127" s="18" t="n">
        <x:v>0</x:v>
      </x:c>
      <x:c r="AY127" s="18" t="n">
        <x:v>0</x:v>
      </x:c>
      <x:c r="AZ127" s="18" t="n">
        <x:v>0</x:v>
      </x:c>
      <x:c r="BA127" s="18" t="n">
        <x:v>0</x:v>
      </x:c>
      <x:c r="BB127" s="18" t="n">
        <x:v>0</x:v>
      </x:c>
      <x:c r="BC127" s="18" t="n">
        <x:v>0</x:v>
      </x:c>
      <x:c r="BD127" s="18" t="n">
        <x:v>7</x:v>
      </x:c>
      <x:c r="BE127" s="18" t="n">
        <x:v>0</x:v>
      </x:c>
      <x:c r="BF127" s="18" t="n">
        <x:v>1</x:v>
      </x:c>
      <x:c r="BG127" s="18" t="n">
        <x:v>0</x:v>
      </x:c>
    </x:row>
    <x:row r="128">
      <x:c r="A128" s="29" t="str">
        <x:v>198.1</x:v>
      </x:c>
      <x:c r="B128" s="17" t="n">
        <x:v>3110</x:v>
      </x:c>
      <x:c r="C128" s="17" t="str">
        <x:v>בי"ס פיכמן</x:v>
      </x:c>
      <x:c r="D128" s="17" t="str">
        <x:v>פיכמן יעקב 15</x:v>
      </x:c>
      <x:c r="E128" s="17" t="str">
        <x:v>גבוה מאוד</x:v>
      </x:c>
      <x:c r="F128" s="18" t="n">
        <x:v>650</x:v>
      </x:c>
      <x:c r="G128" s="18" t="n">
        <x:v>338</x:v>
      </x:c>
      <x:c r="H128" s="19" t="n">
        <x:f>IFERROR(G128/F128,0)</x:f>
        <x:v>0.52</x:v>
      </x:c>
      <x:c r="I128" s="18" t="n">
        <x:v>2</x:v>
      </x:c>
      <x:c r="J128" s="18" t="n">
        <x:v>336</x:v>
      </x:c>
      <x:c r="K128" s="18" t="n">
        <x:f>SUM(AM128,BF128,W128,AD128)</x:f>
        <x:v>114</x:v>
      </x:c>
      <x:c r="L128" s="18" t="n">
        <x:f>Q128+R128</x:f>
        <x:v>208</x:v>
      </x:c>
      <x:c r="M128" s="19" t="n">
        <x:f>IFERROR(K128/J128,0)</x:f>
        <x:v>0.3392857142857143</x:v>
      </x:c>
      <x:c r="N128" s="19" t="n">
        <x:f>IFERROR(L128/J128,0)</x:f>
        <x:v>0.6190476190476191</x:v>
      </x:c>
      <x:c r="O128" s="17" t="str">
        <x:f>IF(K128&gt;MAX(L128,S128),"קואליציית ההקמה 2022",IF(L128&gt;MAX(K128,S128),"אופוזיציה רחבה 2022","רשימות אחרות"))</x:f>
        <x:v>אופוזיציה רחבה 2022</x:v>
      </x:c>
      <x:c r="P128" s="17" t="str">
        <x:f>IF(AND(H128&lt;50%,N128&gt;50%),"כן","לא")</x:f>
        <x:v>לא</x:v>
      </x:c>
      <x:c r="Q128" s="18" t="n">
        <x:f>SUM(AV128,AJ128,AL128,T128,AN128)</x:f>
        <x:v>203</x:v>
      </x:c>
      <x:c r="R128" s="18" t="n">
        <x:f>SUM(Y128,AU128,X128)</x:f>
        <x:v>5</x:v>
      </x:c>
      <x:c r="S128" s="18" t="n">
        <x:f>J128-K128-L128</x:f>
        <x:v>14</x:v>
      </x:c>
      <x:c r="T128" s="18" t="n">
        <x:v>14</x:v>
      </x:c>
      <x:c r="U128" s="18" t="n">
        <x:v>4</x:v>
      </x:c>
      <x:c r="V128" s="18" t="n">
        <x:v>2</x:v>
      </x:c>
      <x:c r="W128" s="18" t="n">
        <x:v>1</x:v>
      </x:c>
      <x:c r="X128" s="18" t="n">
        <x:v>4</x:v>
      </x:c>
      <x:c r="Y128" s="18" t="n">
        <x:v>1</x:v>
      </x:c>
      <x:c r="Z128" s="18" t="n">
        <x:v>1</x:v>
      </x:c>
      <x:c r="AA128" s="18" t="n">
        <x:v>0</x:v>
      </x:c>
      <x:c r="AB128" s="18" t="n">
        <x:v>0</x:v>
      </x:c>
      <x:c r="AC128" s="18" t="n">
        <x:v>0</x:v>
      </x:c>
      <x:c r="AD128" s="18" t="n">
        <x:v>23</x:v>
      </x:c>
      <x:c r="AE128" s="18" t="n">
        <x:v>1</x:v>
      </x:c>
      <x:c r="AF128" s="18" t="n">
        <x:v>2</x:v>
      </x:c>
      <x:c r="AG128" s="18" t="n">
        <x:v>0</x:v>
      </x:c>
      <x:c r="AH128" s="18" t="n">
        <x:v>0</x:v>
      </x:c>
      <x:c r="AI128" s="18" t="n">
        <x:v>0</x:v>
      </x:c>
      <x:c r="AJ128" s="18" t="n">
        <x:v>47</x:v>
      </x:c>
      <x:c r="AK128" s="18" t="n">
        <x:v>0</x:v>
      </x:c>
      <x:c r="AL128" s="18" t="n">
        <x:v>41</x:v>
      </x:c>
      <x:c r="AM128" s="18" t="n">
        <x:v>86</x:v>
      </x:c>
      <x:c r="AN128" s="18" t="n">
        <x:v>13</x:v>
      </x:c>
      <x:c r="AO128" s="18" t="n">
        <x:v>0</x:v>
      </x:c>
      <x:c r="AP128" s="18" t="n">
        <x:v>2</x:v>
      </x:c>
      <x:c r="AQ128" s="18" t="n">
        <x:v>0</x:v>
      </x:c>
      <x:c r="AR128" s="18" t="n">
        <x:v>0</x:v>
      </x:c>
      <x:c r="AS128" s="18" t="n">
        <x:v>0</x:v>
      </x:c>
      <x:c r="AT128" s="18" t="n">
        <x:v>0</x:v>
      </x:c>
      <x:c r="AU128" s="18" t="n">
        <x:v>0</x:v>
      </x:c>
      <x:c r="AV128" s="18" t="n">
        <x:v>88</x:v>
      </x:c>
      <x:c r="AW128" s="18" t="n">
        <x:v>0</x:v>
      </x:c>
      <x:c r="AX128" s="18" t="n">
        <x:v>1</x:v>
      </x:c>
      <x:c r="AY128" s="18" t="n">
        <x:v>0</x:v>
      </x:c>
      <x:c r="AZ128" s="18" t="n">
        <x:v>0</x:v>
      </x:c>
      <x:c r="BA128" s="18" t="n">
        <x:v>0</x:v>
      </x:c>
      <x:c r="BB128" s="18" t="n">
        <x:v>0</x:v>
      </x:c>
      <x:c r="BC128" s="18" t="n">
        <x:v>0</x:v>
      </x:c>
      <x:c r="BD128" s="18" t="n">
        <x:v>0</x:v>
      </x:c>
      <x:c r="BE128" s="18" t="n">
        <x:v>1</x:v>
      </x:c>
      <x:c r="BF128" s="18" t="n">
        <x:v>4</x:v>
      </x:c>
      <x:c r="BG128" s="18" t="n">
        <x:v>0</x:v>
      </x:c>
    </x:row>
    <x:row r="129">
      <x:c r="A129" s="29" t="str">
        <x:v>198.2</x:v>
      </x:c>
      <x:c r="B129" s="17" t="n">
        <x:v>3111</x:v>
      </x:c>
      <x:c r="C129" s="17" t="str">
        <x:v>בי"ס פיכמן</x:v>
      </x:c>
      <x:c r="D129" s="17" t="str">
        <x:v>פיכמן יעקב 15</x:v>
      </x:c>
      <x:c r="E129" s="17" t="str">
        <x:v>גבוה מאוד</x:v>
      </x:c>
      <x:c r="F129" s="18" t="n">
        <x:v>650</x:v>
      </x:c>
      <x:c r="G129" s="18" t="n">
        <x:v>341</x:v>
      </x:c>
      <x:c r="H129" s="19" t="n">
        <x:f>IFERROR(G129/F129,0)</x:f>
        <x:v>0.5246153846153846</x:v>
      </x:c>
      <x:c r="I129" s="18" t="n">
        <x:v>2</x:v>
      </x:c>
      <x:c r="J129" s="18" t="n">
        <x:v>339</x:v>
      </x:c>
      <x:c r="K129" s="18" t="n">
        <x:f>SUM(AM129,BF129,W129,AD129)</x:f>
        <x:v>76</x:v>
      </x:c>
      <x:c r="L129" s="18" t="n">
        <x:f>Q129+R129</x:f>
        <x:v>247</x:v>
      </x:c>
      <x:c r="M129" s="19" t="n">
        <x:f>IFERROR(K129/J129,0)</x:f>
        <x:v>0.22418879056047197</x:v>
      </x:c>
      <x:c r="N129" s="19" t="n">
        <x:f>IFERROR(L129/J129,0)</x:f>
        <x:v>0.7286135693215339</x:v>
      </x:c>
      <x:c r="O129" s="17" t="str">
        <x:f>IF(K129&gt;MAX(L129,S129),"קואליציית ההקמה 2022",IF(L129&gt;MAX(K129,S129),"אופוזיציה רחבה 2022","רשימות אחרות"))</x:f>
        <x:v>אופוזיציה רחבה 2022</x:v>
      </x:c>
      <x:c r="P129" s="17" t="str">
        <x:f>IF(AND(H129&lt;50%,N129&gt;50%),"כן","לא")</x:f>
        <x:v>לא</x:v>
      </x:c>
      <x:c r="Q129" s="18" t="n">
        <x:f>SUM(AV129,AJ129,AL129,T129,AN129)</x:f>
        <x:v>241</x:v>
      </x:c>
      <x:c r="R129" s="18" t="n">
        <x:f>SUM(Y129,AU129,X129)</x:f>
        <x:v>6</x:v>
      </x:c>
      <x:c r="S129" s="18" t="n">
        <x:f>J129-K129-L129</x:f>
        <x:v>16</x:v>
      </x:c>
      <x:c r="T129" s="18" t="n">
        <x:v>21</x:v>
      </x:c>
      <x:c r="U129" s="18" t="n">
        <x:v>1</x:v>
      </x:c>
      <x:c r="V129" s="18" t="n">
        <x:v>4</x:v>
      </x:c>
      <x:c r="W129" s="18" t="n">
        <x:v>0</x:v>
      </x:c>
      <x:c r="X129" s="18" t="n">
        <x:v>3</x:v>
      </x:c>
      <x:c r="Y129" s="18" t="n">
        <x:v>1</x:v>
      </x:c>
      <x:c r="Z129" s="18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18</x:v>
      </x:c>
      <x:c r="AE129" s="18" t="n">
        <x:v>1</x:v>
      </x:c>
      <x:c r="AF129" s="18" t="n">
        <x:v>2</x:v>
      </x:c>
      <x:c r="AG129" s="18" t="n">
        <x:v>0</x:v>
      </x:c>
      <x:c r="AH129" s="18" t="n">
        <x:v>0</x:v>
      </x:c>
      <x:c r="AI129" s="18" t="n">
        <x:v>0</x:v>
      </x:c>
      <x:c r="AJ129" s="18" t="n">
        <x:v>41</x:v>
      </x:c>
      <x:c r="AK129" s="18" t="n">
        <x:v>0</x:v>
      </x:c>
      <x:c r="AL129" s="18" t="n">
        <x:v>46</x:v>
      </x:c>
      <x:c r="AM129" s="18" t="n">
        <x:v>58</x:v>
      </x:c>
      <x:c r="AN129" s="18" t="n">
        <x:v>14</x:v>
      </x:c>
      <x:c r="AO129" s="18" t="n">
        <x:v>0</x:v>
      </x:c>
      <x:c r="AP129" s="18" t="n">
        <x:v>0</x:v>
      </x:c>
      <x:c r="AQ129" s="18" t="n">
        <x:v>0</x:v>
      </x:c>
      <x:c r="AR129" s="18" t="n">
        <x:v>0</x:v>
      </x:c>
      <x:c r="AS129" s="18" t="n">
        <x:v>0</x:v>
      </x:c>
      <x:c r="AT129" s="18" t="n">
        <x:v>0</x:v>
      </x:c>
      <x:c r="AU129" s="18" t="n">
        <x:v>2</x:v>
      </x:c>
      <x:c r="AV129" s="18" t="n">
        <x:v>119</x:v>
      </x:c>
      <x:c r="AW129" s="18" t="n">
        <x:v>1</x:v>
      </x:c>
      <x:c r="AX129" s="18" t="n">
        <x:v>2</x:v>
      </x:c>
      <x:c r="AY129" s="18" t="n">
        <x:v>0</x:v>
      </x:c>
      <x:c r="AZ129" s="18" t="n">
        <x:v>1</x:v>
      </x:c>
      <x:c r="BA129" s="18" t="n">
        <x:v>0</x:v>
      </x:c>
      <x:c r="BB129" s="18" t="n">
        <x:v>0</x:v>
      </x:c>
      <x:c r="BC129" s="18" t="n">
        <x:v>0</x:v>
      </x:c>
      <x:c r="BD129" s="18" t="n">
        <x:v>3</x:v>
      </x:c>
      <x:c r="BE129" s="18" t="n">
        <x:v>1</x:v>
      </x:c>
      <x:c r="BF129" s="18" t="n">
        <x:v>0</x:v>
      </x:c>
      <x:c r="BG129" s="18" t="n">
        <x:v>0</x:v>
      </x:c>
    </x:row>
    <x:row r="130">
      <x:c r="A130" s="29" t="str">
        <x:v>198.3</x:v>
      </x:c>
      <x:c r="B130" s="17" t="n">
        <x:v>3112</x:v>
      </x:c>
      <x:c r="C130" s="17" t="str">
        <x:v>בי"ס פיכמן</x:v>
      </x:c>
      <x:c r="D130" s="17" t="str">
        <x:v>פיכמן יעקב 15</x:v>
      </x:c>
      <x:c r="E130" s="17" t="str">
        <x:v>גבוה מאוד</x:v>
      </x:c>
      <x:c r="F130" s="18" t="n">
        <x:v>650</x:v>
      </x:c>
      <x:c r="G130" s="18" t="n">
        <x:v>348</x:v>
      </x:c>
      <x:c r="H130" s="19" t="n">
        <x:f>IFERROR(G130/F130,0)</x:f>
        <x:v>0.5353846153846153</x:v>
      </x:c>
      <x:c r="I130" s="18" t="n">
        <x:v>1</x:v>
      </x:c>
      <x:c r="J130" s="18" t="n">
        <x:v>347</x:v>
      </x:c>
      <x:c r="K130" s="18" t="n">
        <x:f>SUM(AM130,BF130,W130,AD130)</x:f>
        <x:v>79</x:v>
      </x:c>
      <x:c r="L130" s="18" t="n">
        <x:f>Q130+R130</x:f>
        <x:v>249</x:v>
      </x:c>
      <x:c r="M130" s="19" t="n">
        <x:f>IFERROR(K130/J130,0)</x:f>
        <x:v>0.2276657060518732</x:v>
      </x:c>
      <x:c r="N130" s="19" t="n">
        <x:f>IFERROR(L130/J130,0)</x:f>
        <x:v>0.7175792507204611</x:v>
      </x:c>
      <x:c r="O130" s="17" t="str">
        <x:f>IF(K130&gt;MAX(L130,S130),"קואליציית ההקמה 2022",IF(L130&gt;MAX(K130,S130),"אופוזיציה רחבה 2022","רשימות אחרות"))</x:f>
        <x:v>אופוזיציה רחבה 2022</x:v>
      </x:c>
      <x:c r="P130" s="17" t="str">
        <x:f>IF(AND(H130&lt;50%,N130&gt;50%),"כן","לא")</x:f>
        <x:v>לא</x:v>
      </x:c>
      <x:c r="Q130" s="18" t="n">
        <x:f>SUM(AV130,AJ130,AL130,T130,AN130)</x:f>
        <x:v>246</x:v>
      </x:c>
      <x:c r="R130" s="18" t="n">
        <x:f>SUM(Y130,AU130,X130)</x:f>
        <x:v>3</x:v>
      </x:c>
      <x:c r="S130" s="18" t="n">
        <x:f>J130-K130-L130</x:f>
        <x:v>19</x:v>
      </x:c>
      <x:c r="T130" s="18" t="n">
        <x:v>17</x:v>
      </x:c>
      <x:c r="U130" s="18" t="n">
        <x:v>4</x:v>
      </x:c>
      <x:c r="V130" s="18" t="n">
        <x:v>3</x:v>
      </x:c>
      <x:c r="W130" s="18" t="n">
        <x:v>1</x:v>
      </x:c>
      <x:c r="X130" s="18" t="n">
        <x:v>0</x:v>
      </x:c>
      <x:c r="Y130" s="18" t="n">
        <x:v>3</x:v>
      </x:c>
      <x:c r="Z130" s="18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11</x:v>
      </x:c>
      <x:c r="AE130" s="18" t="n">
        <x:v>0</x:v>
      </x:c>
      <x:c r="AF130" s="18" t="n">
        <x:v>5</x:v>
      </x:c>
      <x:c r="AG130" s="18" t="n">
        <x:v>0</x:v>
      </x:c>
      <x:c r="AH130" s="18" t="n">
        <x:v>0</x:v>
      </x:c>
      <x:c r="AI130" s="18" t="n">
        <x:v>0</x:v>
      </x:c>
      <x:c r="AJ130" s="18" t="n">
        <x:v>53</x:v>
      </x:c>
      <x:c r="AK130" s="18" t="n">
        <x:v>0</x:v>
      </x:c>
      <x:c r="AL130" s="18" t="n">
        <x:v>44</x:v>
      </x:c>
      <x:c r="AM130" s="18" t="n">
        <x:v>61</x:v>
      </x:c>
      <x:c r="AN130" s="18" t="n">
        <x:v>16</x:v>
      </x:c>
      <x:c r="AO130" s="18" t="n">
        <x:v>0</x:v>
      </x:c>
      <x:c r="AP130" s="18" t="n">
        <x:v>0</x:v>
      </x:c>
      <x:c r="AQ130" s="18" t="n">
        <x:v>0</x:v>
      </x:c>
      <x:c r="AR130" s="18" t="n">
        <x:v>0</x:v>
      </x:c>
      <x:c r="AS130" s="18" t="n">
        <x:v>0</x:v>
      </x:c>
      <x:c r="AT130" s="18" t="n">
        <x:v>0</x:v>
      </x:c>
      <x:c r="AU130" s="18" t="n">
        <x:v>0</x:v>
      </x:c>
      <x:c r="AV130" s="18" t="n">
        <x:v>116</x:v>
      </x:c>
      <x:c r="AW130" s="18" t="n">
        <x:v>0</x:v>
      </x:c>
      <x:c r="AX130" s="18" t="n">
        <x:v>0</x:v>
      </x:c>
      <x:c r="AY130" s="18" t="n">
        <x:v>0</x:v>
      </x:c>
      <x:c r="AZ130" s="18" t="n">
        <x:v>0</x:v>
      </x:c>
      <x:c r="BA130" s="18" t="n">
        <x:v>0</x:v>
      </x:c>
      <x:c r="BB130" s="18" t="n">
        <x:v>0</x:v>
      </x:c>
      <x:c r="BC130" s="18" t="n">
        <x:v>0</x:v>
      </x:c>
      <x:c r="BD130" s="18" t="n">
        <x:v>6</x:v>
      </x:c>
      <x:c r="BE130" s="18" t="n">
        <x:v>0</x:v>
      </x:c>
      <x:c r="BF130" s="18" t="n">
        <x:v>6</x:v>
      </x:c>
      <x:c r="BG130" s="18" t="n">
        <x:v>1</x:v>
      </x:c>
    </x:row>
    <x:row r="131">
      <x:c r="A131" s="29" t="str">
        <x:v>198.4</x:v>
      </x:c>
      <x:c r="B131" s="17" t="n">
        <x:v>3113</x:v>
      </x:c>
      <x:c r="C131" s="17" t="str">
        <x:v>בי"ס פיכמן</x:v>
      </x:c>
      <x:c r="D131" s="17" t="str">
        <x:v>פיכמן יעקב 15</x:v>
      </x:c>
      <x:c r="E131" s="17" t="str">
        <x:v>גבוה מאוד</x:v>
      </x:c>
      <x:c r="F131" s="18" t="n">
        <x:v>650</x:v>
      </x:c>
      <x:c r="G131" s="18" t="n">
        <x:v>346</x:v>
      </x:c>
      <x:c r="H131" s="19" t="n">
        <x:f>IFERROR(G131/F131,0)</x:f>
        <x:v>0.5323076923076923</x:v>
      </x:c>
      <x:c r="I131" s="18" t="n">
        <x:v>2</x:v>
      </x:c>
      <x:c r="J131" s="18" t="n">
        <x:v>344</x:v>
      </x:c>
      <x:c r="K131" s="18" t="n">
        <x:f>SUM(AM131,BF131,W131,AD131)</x:f>
        <x:v>100</x:v>
      </x:c>
      <x:c r="L131" s="18" t="n">
        <x:f>Q131+R131</x:f>
        <x:v>233</x:v>
      </x:c>
      <x:c r="M131" s="19" t="n">
        <x:f>IFERROR(K131/J131,0)</x:f>
        <x:v>0.29069767441860467</x:v>
      </x:c>
      <x:c r="N131" s="19" t="n">
        <x:f>IFERROR(L131/J131,0)</x:f>
        <x:v>0.6773255813953488</x:v>
      </x:c>
      <x:c r="O131" s="17" t="str">
        <x:f>IF(K131&gt;MAX(L131,S131),"קואליציית ההקמה 2022",IF(L131&gt;MAX(K131,S131),"אופוזיציה רחבה 2022","רשימות אחרות"))</x:f>
        <x:v>אופוזיציה רחבה 2022</x:v>
      </x:c>
      <x:c r="P131" s="17" t="str">
        <x:f>IF(AND(H131&lt;50%,N131&gt;50%),"כן","לא")</x:f>
        <x:v>לא</x:v>
      </x:c>
      <x:c r="Q131" s="18" t="n">
        <x:f>SUM(AV131,AJ131,AL131,T131,AN131)</x:f>
        <x:v>231</x:v>
      </x:c>
      <x:c r="R131" s="18" t="n">
        <x:f>SUM(Y131,AU131,X131)</x:f>
        <x:v>2</x:v>
      </x:c>
      <x:c r="S131" s="18" t="n">
        <x:f>J131-K131-L131</x:f>
        <x:v>11</x:v>
      </x:c>
      <x:c r="T131" s="18" t="n">
        <x:v>15</x:v>
      </x:c>
      <x:c r="U131" s="18" t="n">
        <x:v>5</x:v>
      </x:c>
      <x:c r="V131" s="18" t="n">
        <x:v>3</x:v>
      </x:c>
      <x:c r="W131" s="18" t="n">
        <x:v>1</x:v>
      </x:c>
      <x:c r="X131" s="18" t="n">
        <x:v>2</x:v>
      </x:c>
      <x:c r="Y131" s="18" t="n">
        <x:v>0</x:v>
      </x:c>
      <x:c r="Z131" s="18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18</x:v>
      </x:c>
      <x:c r="AE131" s="18" t="n">
        <x:v>0</x:v>
      </x:c>
      <x:c r="AF131" s="18" t="n">
        <x:v>0</x:v>
      </x:c>
      <x:c r="AG131" s="18" t="n">
        <x:v>0</x:v>
      </x:c>
      <x:c r="AH131" s="18" t="n">
        <x:v>0</x:v>
      </x:c>
      <x:c r="AI131" s="18" t="n">
        <x:v>0</x:v>
      </x:c>
      <x:c r="AJ131" s="18" t="n">
        <x:v>42</x:v>
      </x:c>
      <x:c r="AK131" s="18" t="n">
        <x:v>0</x:v>
      </x:c>
      <x:c r="AL131" s="18" t="n">
        <x:v>60</x:v>
      </x:c>
      <x:c r="AM131" s="18" t="n">
        <x:v>79</x:v>
      </x:c>
      <x:c r="AN131" s="18" t="n">
        <x:v>6</x:v>
      </x:c>
      <x:c r="AO131" s="18" t="n">
        <x:v>0</x:v>
      </x:c>
      <x:c r="AP131" s="18" t="n">
        <x:v>0</x:v>
      </x:c>
      <x:c r="AQ131" s="18" t="n">
        <x:v>0</x:v>
      </x:c>
      <x:c r="AR131" s="18" t="n">
        <x:v>0</x:v>
      </x:c>
      <x:c r="AS131" s="18" t="n">
        <x:v>0</x:v>
      </x:c>
      <x:c r="AT131" s="18" t="n">
        <x:v>0</x:v>
      </x:c>
      <x:c r="AU131" s="18" t="n">
        <x:v>0</x:v>
      </x:c>
      <x:c r="AV131" s="18" t="n">
        <x:v>108</x:v>
      </x:c>
      <x:c r="AW131" s="18" t="n">
        <x:v>0</x:v>
      </x:c>
      <x:c r="AX131" s="18" t="n">
        <x:v>1</x:v>
      </x:c>
      <x:c r="AY131" s="18" t="n">
        <x:v>0</x:v>
      </x:c>
      <x:c r="AZ131" s="18" t="n">
        <x:v>0</x:v>
      </x:c>
      <x:c r="BA131" s="18" t="n">
        <x:v>0</x:v>
      </x:c>
      <x:c r="BB131" s="18" t="n">
        <x:v>0</x:v>
      </x:c>
      <x:c r="BC131" s="18" t="n">
        <x:v>0</x:v>
      </x:c>
      <x:c r="BD131" s="18" t="n">
        <x:v>2</x:v>
      </x:c>
      <x:c r="BE131" s="18" t="n">
        <x:v>0</x:v>
      </x:c>
      <x:c r="BF131" s="18" t="n">
        <x:v>2</x:v>
      </x:c>
      <x:c r="BG131" s="18" t="n">
        <x:v>0</x:v>
      </x:c>
    </x:row>
    <x:row r="132">
      <x:c r="A132" s="29" t="str">
        <x:v>198.5</x:v>
      </x:c>
      <x:c r="B132" s="17" t="n">
        <x:v>3114</x:v>
      </x:c>
      <x:c r="C132" s="17" t="str">
        <x:v>בי"ס פיכמן</x:v>
      </x:c>
      <x:c r="D132" s="17" t="str">
        <x:v>פיכמן יעקב 15</x:v>
      </x:c>
      <x:c r="E132" s="17" t="str">
        <x:v>גבוה מאוד</x:v>
      </x:c>
      <x:c r="F132" s="18" t="n">
        <x:v>647</x:v>
      </x:c>
      <x:c r="G132" s="18" t="n">
        <x:v>323</x:v>
      </x:c>
      <x:c r="H132" s="19" t="n">
        <x:f>IFERROR(G132/F132,0)</x:f>
        <x:v>0.4992272024729521</x:v>
      </x:c>
      <x:c r="I132" s="18" t="n">
        <x:v>1</x:v>
      </x:c>
      <x:c r="J132" s="18" t="n">
        <x:v>322</x:v>
      </x:c>
      <x:c r="K132" s="18" t="n">
        <x:f>SUM(AM132,BF132,W132,AD132)</x:f>
        <x:v>104</x:v>
      </x:c>
      <x:c r="L132" s="18" t="n">
        <x:f>Q132+R132</x:f>
        <x:v>212</x:v>
      </x:c>
      <x:c r="M132" s="19" t="n">
        <x:f>IFERROR(K132/J132,0)</x:f>
        <x:v>0.32298136645962733</x:v>
      </x:c>
      <x:c r="N132" s="19" t="n">
        <x:f>IFERROR(L132/J132,0)</x:f>
        <x:v>0.6583850931677019</x:v>
      </x:c>
      <x:c r="O132" s="17" t="str">
        <x:f>IF(K132&gt;MAX(L132,S132),"קואליציית ההקמה 2022",IF(L132&gt;MAX(K132,S132),"אופוזיציה רחבה 2022","רשימות אחרות"))</x:f>
        <x:v>אופוזיציה רחבה 2022</x:v>
      </x:c>
      <x:c r="P132" s="17" t="str">
        <x:f>IF(AND(H132&lt;50%,N132&gt;50%),"כן","לא")</x:f>
        <x:v>כן</x:v>
      </x:c>
      <x:c r="Q132" s="18" t="n">
        <x:f>SUM(AV132,AJ132,AL132,T132,AN132)</x:f>
        <x:v>212</x:v>
      </x:c>
      <x:c r="R132" s="18" t="n">
        <x:f>SUM(Y132,AU132,X132)</x:f>
        <x:v>0</x:v>
      </x:c>
      <x:c r="S132" s="18" t="n">
        <x:f>J132-K132-L132</x:f>
        <x:v>6</x:v>
      </x:c>
      <x:c r="T132" s="18" t="n">
        <x:v>21</x:v>
      </x:c>
      <x:c r="U132" s="18" t="n">
        <x:v>2</x:v>
      </x:c>
      <x:c r="V132" s="18" t="n">
        <x:v>1</x:v>
      </x:c>
      <x:c r="W132" s="18" t="n">
        <x:v>0</x:v>
      </x:c>
      <x:c r="X132" s="18" t="n">
        <x:v>0</x:v>
      </x:c>
      <x:c r="Y132" s="18" t="n">
        <x:v>0</x:v>
      </x:c>
      <x:c r="Z132" s="18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23</x:v>
      </x:c>
      <x:c r="AE132" s="18" t="n">
        <x:v>0</x:v>
      </x:c>
      <x:c r="AF132" s="18" t="n">
        <x:v>1</x:v>
      </x:c>
      <x:c r="AG132" s="18" t="n">
        <x:v>0</x:v>
      </x:c>
      <x:c r="AH132" s="18" t="n">
        <x:v>0</x:v>
      </x:c>
      <x:c r="AI132" s="18" t="n">
        <x:v>0</x:v>
      </x:c>
      <x:c r="AJ132" s="18" t="n">
        <x:v>49</x:v>
      </x:c>
      <x:c r="AK132" s="18" t="n">
        <x:v>0</x:v>
      </x:c>
      <x:c r="AL132" s="18" t="n">
        <x:v>37</x:v>
      </x:c>
      <x:c r="AM132" s="18" t="n">
        <x:v>77</x:v>
      </x:c>
      <x:c r="AN132" s="18" t="n">
        <x:v>10</x:v>
      </x:c>
      <x:c r="AO132" s="18" t="n">
        <x:v>0</x:v>
      </x:c>
      <x:c r="AP132" s="18" t="n">
        <x:v>0</x:v>
      </x:c>
      <x:c r="AQ132" s="18" t="n">
        <x:v>0</x:v>
      </x:c>
      <x:c r="AR132" s="18" t="n">
        <x:v>0</x:v>
      </x:c>
      <x:c r="AS132" s="18" t="n">
        <x:v>0</x:v>
      </x:c>
      <x:c r="AT132" s="18" t="n">
        <x:v>0</x:v>
      </x:c>
      <x:c r="AU132" s="18" t="n">
        <x:v>0</x:v>
      </x:c>
      <x:c r="AV132" s="18" t="n">
        <x:v>95</x:v>
      </x:c>
      <x:c r="AW132" s="18" t="n">
        <x:v>0</x:v>
      </x:c>
      <x:c r="AX132" s="18" t="n">
        <x:v>1</x:v>
      </x:c>
      <x:c r="AY132" s="18" t="n">
        <x:v>0</x:v>
      </x:c>
      <x:c r="AZ132" s="18" t="n">
        <x:v>0</x:v>
      </x:c>
      <x:c r="BA132" s="18" t="n">
        <x:v>0</x:v>
      </x:c>
      <x:c r="BB132" s="18" t="n">
        <x:v>0</x:v>
      </x:c>
      <x:c r="BC132" s="18" t="n">
        <x:v>0</x:v>
      </x:c>
      <x:c r="BD132" s="18" t="n">
        <x:v>1</x:v>
      </x:c>
      <x:c r="BE132" s="18" t="n">
        <x:v>0</x:v>
      </x:c>
      <x:c r="BF132" s="18" t="n">
        <x:v>4</x:v>
      </x:c>
      <x:c r="BG132" s="18" t="n">
        <x:v>0</x:v>
      </x:c>
    </x:row>
    <x:row r="133">
      <x:c r="A133" s="29" t="str">
        <x:v>199.1</x:v>
      </x:c>
      <x:c r="B133" s="17" t="n">
        <x:v>3048</x:v>
      </x:c>
      <x:c r="C133" s="17" t="str">
        <x:v>בי"ס "ריאלי" יסודי</x:v>
      </x:c>
      <x:c r="D133" s="17" t="str">
        <x:v>קריית ספר 27</x:v>
      </x:c>
      <x:c r="E133" s="17" t="str">
        <x:v>גבוה מאוד</x:v>
      </x:c>
      <x:c r="F133" s="18" t="n">
        <x:v>548</x:v>
      </x:c>
      <x:c r="G133" s="18" t="n">
        <x:v>346</x:v>
      </x:c>
      <x:c r="H133" s="19" t="n">
        <x:f>IFERROR(G133/F133,0)</x:f>
        <x:v>0.6313868613138686</x:v>
      </x:c>
      <x:c r="I133" s="18" t="n">
        <x:v>1</x:v>
      </x:c>
      <x:c r="J133" s="18" t="n">
        <x:v>345</x:v>
      </x:c>
      <x:c r="K133" s="18" t="n">
        <x:f>SUM(AM133,BF133,W133,AD133)</x:f>
        <x:v>56</x:v>
      </x:c>
      <x:c r="L133" s="18" t="n">
        <x:f>Q133+R133</x:f>
        <x:v>278</x:v>
      </x:c>
      <x:c r="M133" s="19" t="n">
        <x:f>IFERROR(K133/J133,0)</x:f>
        <x:v>0.16231884057971013</x:v>
      </x:c>
      <x:c r="N133" s="19" t="n">
        <x:f>IFERROR(L133/J133,0)</x:f>
        <x:v>0.8057971014492754</x:v>
      </x:c>
      <x:c r="O133" s="17" t="str">
        <x:f>IF(K133&gt;MAX(L133,S133),"קואליציית ההקמה 2022",IF(L133&gt;MAX(K133,S133),"אופוזיציה רחבה 2022","רשימות אחרות"))</x:f>
        <x:v>אופוזיציה רחבה 2022</x:v>
      </x:c>
      <x:c r="P133" s="17" t="str">
        <x:f>IF(AND(H133&lt;50%,N133&gt;50%),"כן","לא")</x:f>
        <x:v>לא</x:v>
      </x:c>
      <x:c r="Q133" s="18" t="n">
        <x:f>SUM(AV133,AJ133,AL133,T133,AN133)</x:f>
        <x:v>277</x:v>
      </x:c>
      <x:c r="R133" s="18" t="n">
        <x:f>SUM(Y133,AU133,X133)</x:f>
        <x:v>1</x:v>
      </x:c>
      <x:c r="S133" s="18" t="n">
        <x:f>J133-K133-L133</x:f>
        <x:v>11</x:v>
      </x:c>
      <x:c r="T133" s="18" t="n">
        <x:v>34</x:v>
      </x:c>
      <x:c r="U133" s="18" t="n">
        <x:v>0</x:v>
      </x:c>
      <x:c r="V133" s="18" t="n">
        <x:v>7</x:v>
      </x:c>
      <x:c r="W133" s="18" t="n">
        <x:v>0</x:v>
      </x:c>
      <x:c r="X133" s="18" t="n">
        <x:v>0</x:v>
      </x:c>
      <x:c r="Y133" s="18" t="n">
        <x:v>1</x:v>
      </x:c>
      <x:c r="Z133" s="18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7</x:v>
      </x:c>
      <x:c r="AE133" s="18" t="n">
        <x:v>0</x:v>
      </x:c>
      <x:c r="AF133" s="18" t="n">
        <x:v>1</x:v>
      </x:c>
      <x:c r="AG133" s="18" t="n">
        <x:v>0</x:v>
      </x:c>
      <x:c r="AH133" s="18" t="n">
        <x:v>0</x:v>
      </x:c>
      <x:c r="AI133" s="18" t="n">
        <x:v>0</x:v>
      </x:c>
      <x:c r="AJ133" s="18" t="n">
        <x:v>52</x:v>
      </x:c>
      <x:c r="AK133" s="18" t="n">
        <x:v>0</x:v>
      </x:c>
      <x:c r="AL133" s="18" t="n">
        <x:v>19</x:v>
      </x:c>
      <x:c r="AM133" s="18" t="n">
        <x:v>46</x:v>
      </x:c>
      <x:c r="AN133" s="18" t="n">
        <x:v>40</x:v>
      </x:c>
      <x:c r="AO133" s="18" t="n">
        <x:v>0</x:v>
      </x:c>
      <x:c r="AP133" s="18" t="n">
        <x:v>0</x:v>
      </x:c>
      <x:c r="AQ133" s="18" t="n">
        <x:v>0</x:v>
      </x:c>
      <x:c r="AR133" s="18" t="n">
        <x:v>0</x:v>
      </x:c>
      <x:c r="AS133" s="18" t="n">
        <x:v>0</x:v>
      </x:c>
      <x:c r="AT133" s="18" t="n">
        <x:v>0</x:v>
      </x:c>
      <x:c r="AU133" s="18" t="n">
        <x:v>0</x:v>
      </x:c>
      <x:c r="AV133" s="18" t="n">
        <x:v>132</x:v>
      </x:c>
      <x:c r="AW133" s="18" t="n">
        <x:v>0</x:v>
      </x:c>
      <x:c r="AX133" s="18" t="n">
        <x:v>1</x:v>
      </x:c>
      <x:c r="AY133" s="18" t="n">
        <x:v>0</x:v>
      </x:c>
      <x:c r="AZ133" s="18" t="n">
        <x:v>0</x:v>
      </x:c>
      <x:c r="BA133" s="18" t="n">
        <x:v>0</x:v>
      </x:c>
      <x:c r="BB133" s="18" t="n">
        <x:v>0</x:v>
      </x:c>
      <x:c r="BC133" s="18" t="n">
        <x:v>0</x:v>
      </x:c>
      <x:c r="BD133" s="18" t="n">
        <x:v>2</x:v>
      </x:c>
      <x:c r="BE133" s="18" t="n">
        <x:v>0</x:v>
      </x:c>
      <x:c r="BF133" s="18" t="n">
        <x:v>3</x:v>
      </x:c>
      <x:c r="BG133" s="18" t="n">
        <x:v>0</x:v>
      </x:c>
    </x:row>
    <x:row r="134">
      <x:c r="A134" s="29" t="str">
        <x:v>199.2</x:v>
      </x:c>
      <x:c r="B134" s="17" t="n">
        <x:v>3049</x:v>
      </x:c>
      <x:c r="C134" s="17" t="str">
        <x:v>בי"ס "ריאלי" יסודי</x:v>
      </x:c>
      <x:c r="D134" s="17" t="str">
        <x:v>קריית ספר 27</x:v>
      </x:c>
      <x:c r="E134" s="17" t="str">
        <x:v>גבוה מאוד</x:v>
      </x:c>
      <x:c r="F134" s="18" t="n">
        <x:v>548</x:v>
      </x:c>
      <x:c r="G134" s="18" t="n">
        <x:v>351</x:v>
      </x:c>
      <x:c r="H134" s="19" t="n">
        <x:f>IFERROR(G134/F134,0)</x:f>
        <x:v>0.6405109489051095</x:v>
      </x:c>
      <x:c r="I134" s="18" t="n">
        <x:v>1</x:v>
      </x:c>
      <x:c r="J134" s="18" t="n">
        <x:v>350</x:v>
      </x:c>
      <x:c r="K134" s="18" t="n">
        <x:f>SUM(AM134,BF134,W134,AD134)</x:f>
        <x:v>51</x:v>
      </x:c>
      <x:c r="L134" s="18" t="n">
        <x:f>Q134+R134</x:f>
        <x:v>287</x:v>
      </x:c>
      <x:c r="M134" s="19" t="n">
        <x:f>IFERROR(K134/J134,0)</x:f>
        <x:v>0.1457142857142857</x:v>
      </x:c>
      <x:c r="N134" s="19" t="n">
        <x:f>IFERROR(L134/J134,0)</x:f>
        <x:v>0.82</x:v>
      </x:c>
      <x:c r="O134" s="17" t="str">
        <x:f>IF(K134&gt;MAX(L134,S134),"קואליציית ההקמה 2022",IF(L134&gt;MAX(K134,S134),"אופוזיציה רחבה 2022","רשימות אחרות"))</x:f>
        <x:v>אופוזיציה רחבה 2022</x:v>
      </x:c>
      <x:c r="P134" s="17" t="str">
        <x:f>IF(AND(H134&lt;50%,N134&gt;50%),"כן","לא")</x:f>
        <x:v>לא</x:v>
      </x:c>
      <x:c r="Q134" s="18" t="n">
        <x:f>SUM(AV134,AJ134,AL134,T134,AN134)</x:f>
        <x:v>283</x:v>
      </x:c>
      <x:c r="R134" s="18" t="n">
        <x:f>SUM(Y134,AU134,X134)</x:f>
        <x:v>4</x:v>
      </x:c>
      <x:c r="S134" s="18" t="n">
        <x:f>J134-K134-L134</x:f>
        <x:v>12</x:v>
      </x:c>
      <x:c r="T134" s="18" t="n">
        <x:v>31</x:v>
      </x:c>
      <x:c r="U134" s="18" t="n">
        <x:v>4</x:v>
      </x:c>
      <x:c r="V134" s="18" t="n">
        <x:v>1</x:v>
      </x:c>
      <x:c r="W134" s="18" t="n">
        <x:v>1</x:v>
      </x:c>
      <x:c r="X134" s="18" t="n">
        <x:v>3</x:v>
      </x:c>
      <x:c r="Y134" s="18" t="n">
        <x:v>1</x:v>
      </x:c>
      <x:c r="Z134" s="18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14</x:v>
      </x:c>
      <x:c r="AE134" s="18" t="n">
        <x:v>2</x:v>
      </x:c>
      <x:c r="AF134" s="18" t="n">
        <x:v>2</x:v>
      </x:c>
      <x:c r="AG134" s="18" t="n">
        <x:v>0</x:v>
      </x:c>
      <x:c r="AH134" s="18" t="n">
        <x:v>0</x:v>
      </x:c>
      <x:c r="AI134" s="18" t="n">
        <x:v>0</x:v>
      </x:c>
      <x:c r="AJ134" s="18" t="n">
        <x:v>57</x:v>
      </x:c>
      <x:c r="AK134" s="18" t="n">
        <x:v>0</x:v>
      </x:c>
      <x:c r="AL134" s="18" t="n">
        <x:v>19</x:v>
      </x:c>
      <x:c r="AM134" s="18" t="n">
        <x:v>36</x:v>
      </x:c>
      <x:c r="AN134" s="18" t="n">
        <x:v>29</x:v>
      </x:c>
      <x:c r="AO134" s="18" t="n">
        <x:v>0</x:v>
      </x:c>
      <x:c r="AP134" s="18" t="n">
        <x:v>1</x:v>
      </x:c>
      <x:c r="AQ134" s="18" t="n">
        <x:v>0</x:v>
      </x:c>
      <x:c r="AR134" s="18" t="n">
        <x:v>0</x:v>
      </x:c>
      <x:c r="AS134" s="18" t="n">
        <x:v>0</x:v>
      </x:c>
      <x:c r="AT134" s="18" t="n">
        <x:v>0</x:v>
      </x:c>
      <x:c r="AU134" s="18" t="n">
        <x:v>0</x:v>
      </x:c>
      <x:c r="AV134" s="18" t="n">
        <x:v>147</x:v>
      </x:c>
      <x:c r="AW134" s="18" t="n">
        <x:v>0</x:v>
      </x:c>
      <x:c r="AX134" s="18" t="n">
        <x:v>0</x:v>
      </x:c>
      <x:c r="AY134" s="18" t="n">
        <x:v>0</x:v>
      </x:c>
      <x:c r="AZ134" s="18" t="n">
        <x:v>0</x:v>
      </x:c>
      <x:c r="BA134" s="18" t="n">
        <x:v>0</x:v>
      </x:c>
      <x:c r="BB134" s="18" t="n">
        <x:v>0</x:v>
      </x:c>
      <x:c r="BC134" s="18" t="n">
        <x:v>0</x:v>
      </x:c>
      <x:c r="BD134" s="18" t="n">
        <x:v>2</x:v>
      </x:c>
      <x:c r="BE134" s="18" t="n">
        <x:v>0</x:v>
      </x:c>
      <x:c r="BF134" s="18" t="n">
        <x:v>0</x:v>
      </x:c>
      <x:c r="BG134" s="18" t="n">
        <x:v>0</x:v>
      </x:c>
    </x:row>
    <x:row r="135">
      <x:c r="A135" s="29" t="str">
        <x:v>199.3</x:v>
      </x:c>
      <x:c r="B135" s="17" t="n">
        <x:v>3050</x:v>
      </x:c>
      <x:c r="C135" s="17" t="str">
        <x:v>בי"ס "ריאלי" יסודי</x:v>
      </x:c>
      <x:c r="D135" s="17" t="str">
        <x:v>קריית ספר 27</x:v>
      </x:c>
      <x:c r="E135" s="17" t="str">
        <x:v>גבוה מאוד</x:v>
      </x:c>
      <x:c r="F135" s="18" t="n">
        <x:v>548</x:v>
      </x:c>
      <x:c r="G135" s="18" t="n">
        <x:v>338</x:v>
      </x:c>
      <x:c r="H135" s="19" t="n">
        <x:f>IFERROR(G135/F135,0)</x:f>
        <x:v>0.6167883211678832</x:v>
      </x:c>
      <x:c r="I135" s="18" t="n">
        <x:v>0</x:v>
      </x:c>
      <x:c r="J135" s="18" t="n">
        <x:v>338</x:v>
      </x:c>
      <x:c r="K135" s="18" t="n">
        <x:f>SUM(AM135,BF135,W135,AD135)</x:f>
        <x:v>72</x:v>
      </x:c>
      <x:c r="L135" s="18" t="n">
        <x:f>Q135+R135</x:f>
        <x:v>254</x:v>
      </x:c>
      <x:c r="M135" s="19" t="n">
        <x:f>IFERROR(K135/J135,0)</x:f>
        <x:v>0.21301775147928995</x:v>
      </x:c>
      <x:c r="N135" s="19" t="n">
        <x:f>IFERROR(L135/J135,0)</x:f>
        <x:v>0.7514792899408284</x:v>
      </x:c>
      <x:c r="O135" s="17" t="str">
        <x:f>IF(K135&gt;MAX(L135,S135),"קואליציית ההקמה 2022",IF(L135&gt;MAX(K135,S135),"אופוזיציה רחבה 2022","רשימות אחרות"))</x:f>
        <x:v>אופוזיציה רחבה 2022</x:v>
      </x:c>
      <x:c r="P135" s="17" t="str">
        <x:f>IF(AND(H135&lt;50%,N135&gt;50%),"כן","לא")</x:f>
        <x:v>לא</x:v>
      </x:c>
      <x:c r="Q135" s="18" t="n">
        <x:f>SUM(AV135,AJ135,AL135,T135,AN135)</x:f>
        <x:v>250</x:v>
      </x:c>
      <x:c r="R135" s="18" t="n">
        <x:f>SUM(Y135,AU135,X135)</x:f>
        <x:v>4</x:v>
      </x:c>
      <x:c r="S135" s="18" t="n">
        <x:f>J135-K135-L135</x:f>
        <x:v>12</x:v>
      </x:c>
      <x:c r="T135" s="18" t="n">
        <x:v>38</x:v>
      </x:c>
      <x:c r="U135" s="18" t="n">
        <x:v>1</x:v>
      </x:c>
      <x:c r="V135" s="18" t="n">
        <x:v>3</x:v>
      </x:c>
      <x:c r="W135" s="18" t="n">
        <x:v>4</x:v>
      </x:c>
      <x:c r="X135" s="18" t="n">
        <x:v>0</x:v>
      </x:c>
      <x:c r="Y135" s="18" t="n">
        <x:v>3</x:v>
      </x:c>
      <x:c r="Z135" s="18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18</x:v>
      </x:c>
      <x:c r="AE135" s="18" t="n">
        <x:v>0</x:v>
      </x:c>
      <x:c r="AF135" s="18" t="n">
        <x:v>2</x:v>
      </x:c>
      <x:c r="AG135" s="18" t="n">
        <x:v>0</x:v>
      </x:c>
      <x:c r="AH135" s="18" t="n">
        <x:v>0</x:v>
      </x:c>
      <x:c r="AI135" s="18" t="n">
        <x:v>0</x:v>
      </x:c>
      <x:c r="AJ135" s="18" t="n">
        <x:v>35</x:v>
      </x:c>
      <x:c r="AK135" s="18" t="n">
        <x:v>0</x:v>
      </x:c>
      <x:c r="AL135" s="18" t="n">
        <x:v>23</x:v>
      </x:c>
      <x:c r="AM135" s="18" t="n">
        <x:v>48</x:v>
      </x:c>
      <x:c r="AN135" s="18" t="n">
        <x:v>34</x:v>
      </x:c>
      <x:c r="AO135" s="18" t="n">
        <x:v>0</x:v>
      </x:c>
      <x:c r="AP135" s="18" t="n">
        <x:v>0</x:v>
      </x:c>
      <x:c r="AQ135" s="18" t="n">
        <x:v>1</x:v>
      </x:c>
      <x:c r="AR135" s="18" t="n">
        <x:v>0</x:v>
      </x:c>
      <x:c r="AS135" s="18" t="n">
        <x:v>0</x:v>
      </x:c>
      <x:c r="AT135" s="18" t="n">
        <x:v>0</x:v>
      </x:c>
      <x:c r="AU135" s="18" t="n">
        <x:v>1</x:v>
      </x:c>
      <x:c r="AV135" s="18" t="n">
        <x:v>120</x:v>
      </x:c>
      <x:c r="AW135" s="18" t="n">
        <x:v>0</x:v>
      </x:c>
      <x:c r="AX135" s="18" t="n">
        <x:v>0</x:v>
      </x:c>
      <x:c r="AY135" s="18" t="n">
        <x:v>0</x:v>
      </x:c>
      <x:c r="AZ135" s="18" t="n">
        <x:v>0</x:v>
      </x:c>
      <x:c r="BA135" s="18" t="n">
        <x:v>0</x:v>
      </x:c>
      <x:c r="BB135" s="18" t="n">
        <x:v>0</x:v>
      </x:c>
      <x:c r="BC135" s="18" t="n">
        <x:v>0</x:v>
      </x:c>
      <x:c r="BD135" s="18" t="n">
        <x:v>5</x:v>
      </x:c>
      <x:c r="BE135" s="18" t="n">
        <x:v>0</x:v>
      </x:c>
      <x:c r="BF135" s="18" t="n">
        <x:v>2</x:v>
      </x:c>
      <x:c r="BG135" s="18" t="n">
        <x:v>0</x:v>
      </x:c>
    </x:row>
    <x:row r="136">
      <x:c r="A136" s="29" t="str">
        <x:v>199.4</x:v>
      </x:c>
      <x:c r="B136" s="17" t="n">
        <x:v>3051</x:v>
      </x:c>
      <x:c r="C136" s="17" t="str">
        <x:v>בי"ס "ריאלי" יסודי</x:v>
      </x:c>
      <x:c r="D136" s="17" t="str">
        <x:v>קריית ספר 27</x:v>
      </x:c>
      <x:c r="E136" s="17" t="str">
        <x:v>גבוה מאוד</x:v>
      </x:c>
      <x:c r="F136" s="18" t="n">
        <x:v>548</x:v>
      </x:c>
      <x:c r="G136" s="18" t="n">
        <x:v>335</x:v>
      </x:c>
      <x:c r="H136" s="19" t="n">
        <x:f>IFERROR(G136/F136,0)</x:f>
        <x:v>0.6113138686131386</x:v>
      </x:c>
      <x:c r="I136" s="18" t="n">
        <x:v>0</x:v>
      </x:c>
      <x:c r="J136" s="18" t="n">
        <x:v>335</x:v>
      </x:c>
      <x:c r="K136" s="18" t="n">
        <x:f>SUM(AM136,BF136,W136,AD136)</x:f>
        <x:v>54</x:v>
      </x:c>
      <x:c r="L136" s="18" t="n">
        <x:f>Q136+R136</x:f>
        <x:v>267</x:v>
      </x:c>
      <x:c r="M136" s="19" t="n">
        <x:f>IFERROR(K136/J136,0)</x:f>
        <x:v>0.16119402985074627</x:v>
      </x:c>
      <x:c r="N136" s="19" t="n">
        <x:f>IFERROR(L136/J136,0)</x:f>
        <x:v>0.7970149253731343</x:v>
      </x:c>
      <x:c r="O136" s="17" t="str">
        <x:f>IF(K136&gt;MAX(L136,S136),"קואליציית ההקמה 2022",IF(L136&gt;MAX(K136,S136),"אופוזיציה רחבה 2022","רשימות אחרות"))</x:f>
        <x:v>אופוזיציה רחבה 2022</x:v>
      </x:c>
      <x:c r="P136" s="17" t="str">
        <x:f>IF(AND(H136&lt;50%,N136&gt;50%),"כן","לא")</x:f>
        <x:v>לא</x:v>
      </x:c>
      <x:c r="Q136" s="18" t="n">
        <x:f>SUM(AV136,AJ136,AL136,T136,AN136)</x:f>
        <x:v>264</x:v>
      </x:c>
      <x:c r="R136" s="18" t="n">
        <x:f>SUM(Y136,AU136,X136)</x:f>
        <x:v>3</x:v>
      </x:c>
      <x:c r="S136" s="18" t="n">
        <x:f>J136-K136-L136</x:f>
        <x:v>14</x:v>
      </x:c>
      <x:c r="T136" s="18" t="n">
        <x:v>27</x:v>
      </x:c>
      <x:c r="U136" s="18" t="n">
        <x:v>5</x:v>
      </x:c>
      <x:c r="V136" s="18" t="n">
        <x:v>7</x:v>
      </x:c>
      <x:c r="W136" s="18" t="n">
        <x:v>0</x:v>
      </x:c>
      <x:c r="X136" s="18" t="n">
        <x:v>0</x:v>
      </x:c>
      <x:c r="Y136" s="18" t="n">
        <x:v>2</x:v>
      </x:c>
      <x:c r="Z136" s="18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5</x:v>
      </x:c>
      <x:c r="AE136" s="18" t="n">
        <x:v>0</x:v>
      </x:c>
      <x:c r="AF136" s="18" t="n">
        <x:v>1</x:v>
      </x:c>
      <x:c r="AG136" s="18" t="n">
        <x:v>0</x:v>
      </x:c>
      <x:c r="AH136" s="18" t="n">
        <x:v>0</x:v>
      </x:c>
      <x:c r="AI136" s="18" t="n">
        <x:v>0</x:v>
      </x:c>
      <x:c r="AJ136" s="18" t="n">
        <x:v>42</x:v>
      </x:c>
      <x:c r="AK136" s="18" t="n">
        <x:v>0</x:v>
      </x:c>
      <x:c r="AL136" s="18" t="n">
        <x:v>16</x:v>
      </x:c>
      <x:c r="AM136" s="18" t="n">
        <x:v>49</x:v>
      </x:c>
      <x:c r="AN136" s="18" t="n">
        <x:v>37</x:v>
      </x:c>
      <x:c r="AO136" s="18" t="n">
        <x:v>0</x:v>
      </x:c>
      <x:c r="AP136" s="18" t="n">
        <x:v>0</x:v>
      </x:c>
      <x:c r="AQ136" s="18" t="n">
        <x:v>0</x:v>
      </x:c>
      <x:c r="AR136" s="18" t="n">
        <x:v>0</x:v>
      </x:c>
      <x:c r="AS136" s="18" t="n">
        <x:v>0</x:v>
      </x:c>
      <x:c r="AT136" s="18" t="n">
        <x:v>0</x:v>
      </x:c>
      <x:c r="AU136" s="18" t="n">
        <x:v>1</x:v>
      </x:c>
      <x:c r="AV136" s="18" t="n">
        <x:v>142</x:v>
      </x:c>
      <x:c r="AW136" s="18" t="n">
        <x:v>0</x:v>
      </x:c>
      <x:c r="AX136" s="18" t="n">
        <x:v>0</x:v>
      </x:c>
      <x:c r="AY136" s="18" t="n">
        <x:v>0</x:v>
      </x:c>
      <x:c r="AZ136" s="18" t="n">
        <x:v>0</x:v>
      </x:c>
      <x:c r="BA136" s="18" t="n">
        <x:v>0</x:v>
      </x:c>
      <x:c r="BB136" s="18" t="n">
        <x:v>0</x:v>
      </x:c>
      <x:c r="BC136" s="18" t="n">
        <x:v>0</x:v>
      </x:c>
      <x:c r="BD136" s="18" t="n">
        <x:v>1</x:v>
      </x:c>
      <x:c r="BE136" s="18" t="n">
        <x:v>0</x:v>
      </x:c>
      <x:c r="BF136" s="18" t="n">
        <x:v>0</x:v>
      </x:c>
      <x:c r="BG136" s="18" t="n">
        <x:v>0</x:v>
      </x:c>
    </x:row>
    <x:row r="137">
      <x:c r="A137" s="29" t="str">
        <x:v>200</x:v>
      </x:c>
      <x:c r="B137" s="17" t="n">
        <x:v>3052</x:v>
      </x:c>
      <x:c r="C137" s="17" t="str">
        <x:v>גן ילדים רוממה כלנית</x:v>
      </x:c>
      <x:c r="D137" s="17" t="str">
        <x:v>הצלפים 5</x:v>
      </x:c>
      <x:c r="E137" s="17" t="str">
        <x:v>גבוה מאוד</x:v>
      </x:c>
      <x:c r="F137" s="18" t="n">
        <x:v>611</x:v>
      </x:c>
      <x:c r="G137" s="18" t="n">
        <x:v>345</x:v>
      </x:c>
      <x:c r="H137" s="19" t="n">
        <x:f>IFERROR(G137/F137,0)</x:f>
        <x:v>0.5646481178396072</x:v>
      </x:c>
      <x:c r="I137" s="18" t="n">
        <x:v>0</x:v>
      </x:c>
      <x:c r="J137" s="18" t="n">
        <x:v>345</x:v>
      </x:c>
      <x:c r="K137" s="18" t="n">
        <x:f>SUM(AM137,BF137,W137,AD137)</x:f>
        <x:v>71</x:v>
      </x:c>
      <x:c r="L137" s="18" t="n">
        <x:f>Q137+R137</x:f>
        <x:v>266</x:v>
      </x:c>
      <x:c r="M137" s="19" t="n">
        <x:f>IFERROR(K137/J137,0)</x:f>
        <x:v>0.20579710144927535</x:v>
      </x:c>
      <x:c r="N137" s="19" t="n">
        <x:f>IFERROR(L137/J137,0)</x:f>
        <x:v>0.7710144927536232</x:v>
      </x:c>
      <x:c r="O137" s="17" t="str">
        <x:f>IF(K137&gt;MAX(L137,S137),"קואליציית ההקמה 2022",IF(L137&gt;MAX(K137,S137),"אופוזיציה רחבה 2022","רשימות אחרות"))</x:f>
        <x:v>אופוזיציה רחבה 2022</x:v>
      </x:c>
      <x:c r="P137" s="17" t="str">
        <x:f>IF(AND(H137&lt;50%,N137&gt;50%),"כן","לא")</x:f>
        <x:v>לא</x:v>
      </x:c>
      <x:c r="Q137" s="18" t="n">
        <x:f>SUM(AV137,AJ137,AL137,T137,AN137)</x:f>
        <x:v>261</x:v>
      </x:c>
      <x:c r="R137" s="18" t="n">
        <x:f>SUM(Y137,AU137,X137)</x:f>
        <x:v>5</x:v>
      </x:c>
      <x:c r="S137" s="18" t="n">
        <x:f>J137-K137-L137</x:f>
        <x:v>8</x:v>
      </x:c>
      <x:c r="T137" s="18" t="n">
        <x:v>28</x:v>
      </x:c>
      <x:c r="U137" s="18" t="n">
        <x:v>2</x:v>
      </x:c>
      <x:c r="V137" s="18" t="n">
        <x:v>0</x:v>
      </x:c>
      <x:c r="W137" s="18" t="n">
        <x:v>0</x:v>
      </x:c>
      <x:c r="X137" s="18" t="n">
        <x:v>2</x:v>
      </x:c>
      <x:c r="Y137" s="18" t="n">
        <x:v>3</x:v>
      </x:c>
      <x:c r="Z137" s="18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13</x:v>
      </x:c>
      <x:c r="AE137" s="18" t="n">
        <x:v>0</x:v>
      </x:c>
      <x:c r="AF137" s="18" t="n">
        <x:v>0</x:v>
      </x:c>
      <x:c r="AG137" s="18" t="n">
        <x:v>0</x:v>
      </x:c>
      <x:c r="AH137" s="18" t="n">
        <x:v>0</x:v>
      </x:c>
      <x:c r="AI137" s="18" t="n">
        <x:v>0</x:v>
      </x:c>
      <x:c r="AJ137" s="18" t="n">
        <x:v>37</x:v>
      </x:c>
      <x:c r="AK137" s="18" t="n">
        <x:v>0</x:v>
      </x:c>
      <x:c r="AL137" s="18" t="n">
        <x:v>20</x:v>
      </x:c>
      <x:c r="AM137" s="18" t="n">
        <x:v>53</x:v>
      </x:c>
      <x:c r="AN137" s="18" t="n">
        <x:v>24</x:v>
      </x:c>
      <x:c r="AO137" s="18" t="n">
        <x:v>0</x:v>
      </x:c>
      <x:c r="AP137" s="18" t="n">
        <x:v>0</x:v>
      </x:c>
      <x:c r="AQ137" s="18" t="n">
        <x:v>0</x:v>
      </x:c>
      <x:c r="AR137" s="18" t="n">
        <x:v>0</x:v>
      </x:c>
      <x:c r="AS137" s="18" t="n">
        <x:v>0</x:v>
      </x:c>
      <x:c r="AT137" s="18" t="n">
        <x:v>0</x:v>
      </x:c>
      <x:c r="AU137" s="18" t="n">
        <x:v>0</x:v>
      </x:c>
      <x:c r="AV137" s="18" t="n">
        <x:v>152</x:v>
      </x:c>
      <x:c r="AW137" s="18" t="n">
        <x:v>0</x:v>
      </x:c>
      <x:c r="AX137" s="18" t="n">
        <x:v>1</x:v>
      </x:c>
      <x:c r="AY137" s="18" t="n">
        <x:v>0</x:v>
      </x:c>
      <x:c r="AZ137" s="18" t="n">
        <x:v>0</x:v>
      </x:c>
      <x:c r="BA137" s="18" t="n">
        <x:v>0</x:v>
      </x:c>
      <x:c r="BB137" s="18" t="n">
        <x:v>0</x:v>
      </x:c>
      <x:c r="BC137" s="18" t="n">
        <x:v>1</x:v>
      </x:c>
      <x:c r="BD137" s="18" t="n">
        <x:v>4</x:v>
      </x:c>
      <x:c r="BE137" s="18" t="n">
        <x:v>0</x:v>
      </x:c>
      <x:c r="BF137" s="18" t="n">
        <x:v>5</x:v>
      </x:c>
      <x:c r="BG137" s="18" t="n">
        <x:v>0</x:v>
      </x:c>
    </x:row>
    <x:row r="138">
      <x:c r="A138" s="29" t="str">
        <x:v>202</x:v>
      </x:c>
      <x:c r="B138" s="17" t="n">
        <x:v>3012</x:v>
      </x:c>
      <x:c r="C138" s="17" t="str">
        <x:v>בי"ס הרצל</x:v>
      </x:c>
      <x:c r="D138" s="17" t="str">
        <x:v>צדקיהו 6</x:v>
      </x:c>
      <x:c r="E138" s="17" t="str">
        <x:v>גבוה מאוד</x:v>
      </x:c>
      <x:c r="F138" s="18" t="n">
        <x:v>567</x:v>
      </x:c>
      <x:c r="G138" s="18" t="n">
        <x:v>350</x:v>
      </x:c>
      <x:c r="H138" s="19" t="n">
        <x:f>IFERROR(G138/F138,0)</x:f>
        <x:v>0.6172839506172839</x:v>
      </x:c>
      <x:c r="I138" s="18" t="n">
        <x:v>2</x:v>
      </x:c>
      <x:c r="J138" s="18" t="n">
        <x:v>348</x:v>
      </x:c>
      <x:c r="K138" s="18" t="n">
        <x:f>SUM(AM138,BF138,W138,AD138)</x:f>
        <x:v>49</x:v>
      </x:c>
      <x:c r="L138" s="18" t="n">
        <x:f>Q138+R138</x:f>
        <x:v>293</x:v>
      </x:c>
      <x:c r="M138" s="19" t="n">
        <x:f>IFERROR(K138/J138,0)</x:f>
        <x:v>0.14080459770114942</x:v>
      </x:c>
      <x:c r="N138" s="19" t="n">
        <x:f>IFERROR(L138/J138,0)</x:f>
        <x:v>0.8419540229885057</x:v>
      </x:c>
      <x:c r="O138" s="17" t="str">
        <x:f>IF(K138&gt;MAX(L138,S138),"קואליציית ההקמה 2022",IF(L138&gt;MAX(K138,S138),"אופוזיציה רחבה 2022","רשימות אחרות"))</x:f>
        <x:v>אופוזיציה רחבה 2022</x:v>
      </x:c>
      <x:c r="P138" s="17" t="str">
        <x:f>IF(AND(H138&lt;50%,N138&gt;50%),"כן","לא")</x:f>
        <x:v>לא</x:v>
      </x:c>
      <x:c r="Q138" s="18" t="n">
        <x:f>SUM(AV138,AJ138,AL138,T138,AN138)</x:f>
        <x:v>278</x:v>
      </x:c>
      <x:c r="R138" s="18" t="n">
        <x:f>SUM(Y138,AU138,X138)</x:f>
        <x:v>15</x:v>
      </x:c>
      <x:c r="S138" s="18" t="n">
        <x:f>J138-K138-L138</x:f>
        <x:v>6</x:v>
      </x:c>
      <x:c r="T138" s="18" t="n">
        <x:v>37</x:v>
      </x:c>
      <x:c r="U138" s="18" t="n">
        <x:v>2</x:v>
      </x:c>
      <x:c r="V138" s="18" t="n">
        <x:v>0</x:v>
      </x:c>
      <x:c r="W138" s="18" t="n">
        <x:v>1</x:v>
      </x:c>
      <x:c r="X138" s="18" t="n">
        <x:v>7</x:v>
      </x:c>
      <x:c r="Y138" s="18" t="n">
        <x:v>8</x:v>
      </x:c>
      <x:c r="Z138" s="18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20</x:v>
      </x:c>
      <x:c r="AE138" s="18" t="n">
        <x:v>0</x:v>
      </x:c>
      <x:c r="AF138" s="18" t="n">
        <x:v>2</x:v>
      </x:c>
      <x:c r="AG138" s="18" t="n">
        <x:v>0</x:v>
      </x:c>
      <x:c r="AH138" s="18" t="n">
        <x:v>0</x:v>
      </x:c>
      <x:c r="AI138" s="18" t="n">
        <x:v>0</x:v>
      </x:c>
      <x:c r="AJ138" s="18" t="n">
        <x:v>43</x:v>
      </x:c>
      <x:c r="AK138" s="18" t="n">
        <x:v>0</x:v>
      </x:c>
      <x:c r="AL138" s="18" t="n">
        <x:v>7</x:v>
      </x:c>
      <x:c r="AM138" s="18" t="n">
        <x:v>26</x:v>
      </x:c>
      <x:c r="AN138" s="18" t="n">
        <x:v>56</x:v>
      </x:c>
      <x:c r="AO138" s="18" t="n">
        <x:v>0</x:v>
      </x:c>
      <x:c r="AP138" s="18" t="n">
        <x:v>0</x:v>
      </x:c>
      <x:c r="AQ138" s="18" t="n">
        <x:v>0</x:v>
      </x:c>
      <x:c r="AR138" s="18" t="n">
        <x:v>0</x:v>
      </x:c>
      <x:c r="AS138" s="18" t="n">
        <x:v>0</x:v>
      </x:c>
      <x:c r="AT138" s="18" t="n">
        <x:v>0</x:v>
      </x:c>
      <x:c r="AU138" s="18" t="n">
        <x:v>0</x:v>
      </x:c>
      <x:c r="AV138" s="18" t="n">
        <x:v>135</x:v>
      </x:c>
      <x:c r="AW138" s="18" t="n">
        <x:v>0</x:v>
      </x:c>
      <x:c r="AX138" s="18" t="n">
        <x:v>0</x:v>
      </x:c>
      <x:c r="AY138" s="18" t="n">
        <x:v>0</x:v>
      </x:c>
      <x:c r="AZ138" s="18" t="n">
        <x:v>0</x:v>
      </x:c>
      <x:c r="BA138" s="18" t="n">
        <x:v>0</x:v>
      </x:c>
      <x:c r="BB138" s="18" t="n">
        <x:v>0</x:v>
      </x:c>
      <x:c r="BC138" s="18" t="n">
        <x:v>0</x:v>
      </x:c>
      <x:c r="BD138" s="18" t="n">
        <x:v>2</x:v>
      </x:c>
      <x:c r="BE138" s="18" t="n">
        <x:v>0</x:v>
      </x:c>
      <x:c r="BF138" s="18" t="n">
        <x:v>2</x:v>
      </x:c>
      <x:c r="BG138" s="18" t="n">
        <x:v>0</x:v>
      </x:c>
    </x:row>
    <x:row r="139">
      <x:c r="A139" s="29" t="str">
        <x:v>203.1</x:v>
      </x:c>
      <x:c r="B139" s="17" t="n">
        <x:v>3013</x:v>
      </x:c>
      <x:c r="C139" s="17" t="str">
        <x:v>ביס דוד ילין</x:v>
      </x:c>
      <x:c r="D139" s="17" t="str">
        <x:v>כ"ץ יאיר 12</x:v>
      </x:c>
      <x:c r="E139" s="17" t="str">
        <x:v>גבוה מאוד</x:v>
      </x:c>
      <x:c r="F139" s="18" t="n">
        <x:v>695</x:v>
      </x:c>
      <x:c r="G139" s="18" t="n">
        <x:v>410</x:v>
      </x:c>
      <x:c r="H139" s="19" t="n">
        <x:f>IFERROR(G139/F139,0)</x:f>
        <x:v>0.5899280575539568</x:v>
      </x:c>
      <x:c r="I139" s="18" t="n">
        <x:v>0</x:v>
      </x:c>
      <x:c r="J139" s="18" t="n">
        <x:v>410</x:v>
      </x:c>
      <x:c r="K139" s="18" t="n">
        <x:f>SUM(AM139,BF139,W139,AD139)</x:f>
        <x:v>89</x:v>
      </x:c>
      <x:c r="L139" s="18" t="n">
        <x:f>Q139+R139</x:f>
        <x:v>312</x:v>
      </x:c>
      <x:c r="M139" s="19" t="n">
        <x:f>IFERROR(K139/J139,0)</x:f>
        <x:v>0.21707317073170732</x:v>
      </x:c>
      <x:c r="N139" s="19" t="n">
        <x:f>IFERROR(L139/J139,0)</x:f>
        <x:v>0.7609756097560976</x:v>
      </x:c>
      <x:c r="O139" s="17" t="str">
        <x:f>IF(K139&gt;MAX(L139,S139),"קואליציית ההקמה 2022",IF(L139&gt;MAX(K139,S139),"אופוזיציה רחבה 2022","רשימות אחרות"))</x:f>
        <x:v>אופוזיציה רחבה 2022</x:v>
      </x:c>
      <x:c r="P139" s="17" t="str">
        <x:f>IF(AND(H139&lt;50%,N139&gt;50%),"כן","לא")</x:f>
        <x:v>לא</x:v>
      </x:c>
      <x:c r="Q139" s="18" t="n">
        <x:f>SUM(AV139,AJ139,AL139,T139,AN139)</x:f>
        <x:v>274</x:v>
      </x:c>
      <x:c r="R139" s="18" t="n">
        <x:f>SUM(Y139,AU139,X139)</x:f>
        <x:v>38</x:v>
      </x:c>
      <x:c r="S139" s="18" t="n">
        <x:f>J139-K139-L139</x:f>
        <x:v>9</x:v>
      </x:c>
      <x:c r="T139" s="18" t="n">
        <x:v>30</x:v>
      </x:c>
      <x:c r="U139" s="18" t="n">
        <x:v>1</x:v>
      </x:c>
      <x:c r="V139" s="18" t="n">
        <x:v>5</x:v>
      </x:c>
      <x:c r="W139" s="18" t="n">
        <x:v>1</x:v>
      </x:c>
      <x:c r="X139" s="18" t="n">
        <x:v>8</x:v>
      </x:c>
      <x:c r="Y139" s="18" t="n">
        <x:v>24</x:v>
      </x:c>
      <x:c r="Z139" s="18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9</x:v>
      </x:c>
      <x:c r="AE139" s="18" t="n">
        <x:v>0</x:v>
      </x:c>
      <x:c r="AF139" s="18" t="n">
        <x:v>0</x:v>
      </x:c>
      <x:c r="AG139" s="18" t="n">
        <x:v>0</x:v>
      </x:c>
      <x:c r="AH139" s="18" t="n">
        <x:v>0</x:v>
      </x:c>
      <x:c r="AI139" s="18" t="n">
        <x:v>0</x:v>
      </x:c>
      <x:c r="AJ139" s="18" t="n">
        <x:v>41</x:v>
      </x:c>
      <x:c r="AK139" s="18" t="n">
        <x:v>0</x:v>
      </x:c>
      <x:c r="AL139" s="18" t="n">
        <x:v>17</x:v>
      </x:c>
      <x:c r="AM139" s="18" t="n">
        <x:v>72</x:v>
      </x:c>
      <x:c r="AN139" s="18" t="n">
        <x:v>35</x:v>
      </x:c>
      <x:c r="AO139" s="18" t="n">
        <x:v>0</x:v>
      </x:c>
      <x:c r="AP139" s="18" t="n">
        <x:v>0</x:v>
      </x:c>
      <x:c r="AQ139" s="18" t="n">
        <x:v>0</x:v>
      </x:c>
      <x:c r="AR139" s="18" t="n">
        <x:v>0</x:v>
      </x:c>
      <x:c r="AS139" s="18" t="n">
        <x:v>0</x:v>
      </x:c>
      <x:c r="AT139" s="18" t="n">
        <x:v>0</x:v>
      </x:c>
      <x:c r="AU139" s="18" t="n">
        <x:v>6</x:v>
      </x:c>
      <x:c r="AV139" s="18" t="n">
        <x:v>151</x:v>
      </x:c>
      <x:c r="AW139" s="18" t="n">
        <x:v>0</x:v>
      </x:c>
      <x:c r="AX139" s="18" t="n">
        <x:v>0</x:v>
      </x:c>
      <x:c r="AY139" s="18" t="n">
        <x:v>0</x:v>
      </x:c>
      <x:c r="AZ139" s="18" t="n">
        <x:v>0</x:v>
      </x:c>
      <x:c r="BA139" s="18" t="n">
        <x:v>0</x:v>
      </x:c>
      <x:c r="BB139" s="18" t="n">
        <x:v>0</x:v>
      </x:c>
      <x:c r="BC139" s="18" t="n">
        <x:v>0</x:v>
      </x:c>
      <x:c r="BD139" s="18" t="n">
        <x:v>2</x:v>
      </x:c>
      <x:c r="BE139" s="18" t="n">
        <x:v>0</x:v>
      </x:c>
      <x:c r="BF139" s="18" t="n">
        <x:v>7</x:v>
      </x:c>
      <x:c r="BG139" s="18" t="n">
        <x:v>1</x:v>
      </x:c>
    </x:row>
    <x:row r="140">
      <x:c r="A140" s="29" t="str">
        <x:v>203.2</x:v>
      </x:c>
      <x:c r="B140" s="17" t="n">
        <x:v>3014</x:v>
      </x:c>
      <x:c r="C140" s="17" t="str">
        <x:v>ביס דוד ילין</x:v>
      </x:c>
      <x:c r="D140" s="17" t="str">
        <x:v>כ"ץ יאיר 12</x:v>
      </x:c>
      <x:c r="E140" s="17" t="str">
        <x:v>גבוה מאוד</x:v>
      </x:c>
      <x:c r="F140" s="18" t="n">
        <x:v>695</x:v>
      </x:c>
      <x:c r="G140" s="18" t="n">
        <x:v>402</x:v>
      </x:c>
      <x:c r="H140" s="19" t="n">
        <x:f>IFERROR(G140/F140,0)</x:f>
        <x:v>0.5784172661870504</x:v>
      </x:c>
      <x:c r="I140" s="18" t="n">
        <x:v>0</x:v>
      </x:c>
      <x:c r="J140" s="18" t="n">
        <x:v>402</x:v>
      </x:c>
      <x:c r="K140" s="18" t="n">
        <x:f>SUM(AM140,BF140,W140,AD140)</x:f>
        <x:v>86</x:v>
      </x:c>
      <x:c r="L140" s="18" t="n">
        <x:f>Q140+R140</x:f>
        <x:v>307</x:v>
      </x:c>
      <x:c r="M140" s="19" t="n">
        <x:f>IFERROR(K140/J140,0)</x:f>
        <x:v>0.21393034825870647</x:v>
      </x:c>
      <x:c r="N140" s="19" t="n">
        <x:f>IFERROR(L140/J140,0)</x:f>
        <x:v>0.763681592039801</x:v>
      </x:c>
      <x:c r="O140" s="17" t="str">
        <x:f>IF(K140&gt;MAX(L140,S140),"קואליציית ההקמה 2022",IF(L140&gt;MAX(K140,S140),"אופוזיציה רחבה 2022","רשימות אחרות"))</x:f>
        <x:v>אופוזיציה רחבה 2022</x:v>
      </x:c>
      <x:c r="P140" s="17" t="str">
        <x:f>IF(AND(H140&lt;50%,N140&gt;50%),"כן","לא")</x:f>
        <x:v>לא</x:v>
      </x:c>
      <x:c r="Q140" s="18" t="n">
        <x:f>SUM(AV140,AJ140,AL140,T140,AN140)</x:f>
        <x:v>263</x:v>
      </x:c>
      <x:c r="R140" s="18" t="n">
        <x:f>SUM(Y140,AU140,X140)</x:f>
        <x:v>44</x:v>
      </x:c>
      <x:c r="S140" s="18" t="n">
        <x:f>J140-K140-L140</x:f>
        <x:v>9</x:v>
      </x:c>
      <x:c r="T140" s="18" t="n">
        <x:v>31</x:v>
      </x:c>
      <x:c r="U140" s="18" t="n">
        <x:v>1</x:v>
      </x:c>
      <x:c r="V140" s="18" t="n">
        <x:v>6</x:v>
      </x:c>
      <x:c r="W140" s="18" t="n">
        <x:v>1</x:v>
      </x:c>
      <x:c r="X140" s="18" t="n">
        <x:v>16</x:v>
      </x:c>
      <x:c r="Y140" s="18" t="n">
        <x:v>22</x:v>
      </x:c>
      <x:c r="Z140" s="18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19</x:v>
      </x:c>
      <x:c r="AE140" s="18" t="n">
        <x:v>0</x:v>
      </x:c>
      <x:c r="AF140" s="18" t="n">
        <x:v>0</x:v>
      </x:c>
      <x:c r="AG140" s="18" t="n">
        <x:v>0</x:v>
      </x:c>
      <x:c r="AH140" s="18" t="n">
        <x:v>0</x:v>
      </x:c>
      <x:c r="AI140" s="18" t="n">
        <x:v>0</x:v>
      </x:c>
      <x:c r="AJ140" s="18" t="n">
        <x:v>45</x:v>
      </x:c>
      <x:c r="AK140" s="18" t="n">
        <x:v>0</x:v>
      </x:c>
      <x:c r="AL140" s="18" t="n">
        <x:v>21</x:v>
      </x:c>
      <x:c r="AM140" s="18" t="n">
        <x:v>63</x:v>
      </x:c>
      <x:c r="AN140" s="18" t="n">
        <x:v>35</x:v>
      </x:c>
      <x:c r="AO140" s="18" t="n">
        <x:v>0</x:v>
      </x:c>
      <x:c r="AP140" s="18" t="n">
        <x:v>0</x:v>
      </x:c>
      <x:c r="AQ140" s="18" t="n">
        <x:v>0</x:v>
      </x:c>
      <x:c r="AR140" s="18" t="n">
        <x:v>0</x:v>
      </x:c>
      <x:c r="AS140" s="18" t="n">
        <x:v>0</x:v>
      </x:c>
      <x:c r="AT140" s="18" t="n">
        <x:v>0</x:v>
      </x:c>
      <x:c r="AU140" s="18" t="n">
        <x:v>6</x:v>
      </x:c>
      <x:c r="AV140" s="18" t="n">
        <x:v>131</x:v>
      </x:c>
      <x:c r="AW140" s="18" t="n">
        <x:v>0</x:v>
      </x:c>
      <x:c r="AX140" s="18" t="n">
        <x:v>0</x:v>
      </x:c>
      <x:c r="AY140" s="18" t="n">
        <x:v>0</x:v>
      </x:c>
      <x:c r="AZ140" s="18" t="n">
        <x:v>0</x:v>
      </x:c>
      <x:c r="BA140" s="18" t="n">
        <x:v>0</x:v>
      </x:c>
      <x:c r="BB140" s="18" t="n">
        <x:v>0</x:v>
      </x:c>
      <x:c r="BC140" s="18" t="n">
        <x:v>0</x:v>
      </x:c>
      <x:c r="BD140" s="18" t="n">
        <x:v>2</x:v>
      </x:c>
      <x:c r="BE140" s="18" t="n">
        <x:v>0</x:v>
      </x:c>
      <x:c r="BF140" s="18" t="n">
        <x:v>3</x:v>
      </x:c>
      <x:c r="BG140" s="18" t="n">
        <x:v>0</x:v>
      </x:c>
    </x:row>
    <x:row r="141">
      <x:c r="A141" s="29" t="str">
        <x:v>203.3</x:v>
      </x:c>
      <x:c r="B141" s="17" t="n">
        <x:v>3015</x:v>
      </x:c>
      <x:c r="C141" s="17" t="str">
        <x:v>ביס דוד ילין</x:v>
      </x:c>
      <x:c r="D141" s="17" t="str">
        <x:v>כ"ץ יאיר 12</x:v>
      </x:c>
      <x:c r="E141" s="17" t="str">
        <x:v>גבוה מאוד</x:v>
      </x:c>
      <x:c r="F141" s="18" t="n">
        <x:v>693</x:v>
      </x:c>
      <x:c r="G141" s="18" t="n">
        <x:v>402</x:v>
      </x:c>
      <x:c r="H141" s="19" t="n">
        <x:f>IFERROR(G141/F141,0)</x:f>
        <x:v>0.5800865800865801</x:v>
      </x:c>
      <x:c r="I141" s="18" t="n">
        <x:v>2</x:v>
      </x:c>
      <x:c r="J141" s="18" t="n">
        <x:v>400</x:v>
      </x:c>
      <x:c r="K141" s="18" t="n">
        <x:f>SUM(AM141,BF141,W141,AD141)</x:f>
        <x:v>81</x:v>
      </x:c>
      <x:c r="L141" s="18" t="n">
        <x:f>Q141+R141</x:f>
        <x:v>312</x:v>
      </x:c>
      <x:c r="M141" s="19" t="n">
        <x:f>IFERROR(K141/J141,0)</x:f>
        <x:v>0.2025</x:v>
      </x:c>
      <x:c r="N141" s="19" t="n">
        <x:f>IFERROR(L141/J141,0)</x:f>
        <x:v>0.78</x:v>
      </x:c>
      <x:c r="O141" s="17" t="str">
        <x:f>IF(K141&gt;MAX(L141,S141),"קואליציית ההקמה 2022",IF(L141&gt;MAX(K141,S141),"אופוזיציה רחבה 2022","רשימות אחרות"))</x:f>
        <x:v>אופוזיציה רחבה 2022</x:v>
      </x:c>
      <x:c r="P141" s="17" t="str">
        <x:f>IF(AND(H141&lt;50%,N141&gt;50%),"כן","לא")</x:f>
        <x:v>לא</x:v>
      </x:c>
      <x:c r="Q141" s="18" t="n">
        <x:f>SUM(AV141,AJ141,AL141,T141,AN141)</x:f>
        <x:v>283</x:v>
      </x:c>
      <x:c r="R141" s="18" t="n">
        <x:f>SUM(Y141,AU141,X141)</x:f>
        <x:v>29</x:v>
      </x:c>
      <x:c r="S141" s="18" t="n">
        <x:f>J141-K141-L141</x:f>
        <x:v>7</x:v>
      </x:c>
      <x:c r="T141" s="18" t="n">
        <x:v>28</x:v>
      </x:c>
      <x:c r="U141" s="18" t="n">
        <x:v>1</x:v>
      </x:c>
      <x:c r="V141" s="18" t="n">
        <x:v>3</x:v>
      </x:c>
      <x:c r="W141" s="18" t="n">
        <x:v>1</x:v>
      </x:c>
      <x:c r="X141" s="18" t="n">
        <x:v>3</x:v>
      </x:c>
      <x:c r="Y141" s="18" t="n">
        <x:v>25</x:v>
      </x:c>
      <x:c r="Z141" s="18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18</x:v>
      </x:c>
      <x:c r="AE141" s="18" t="n">
        <x:v>1</x:v>
      </x:c>
      <x:c r="AF141" s="18" t="n">
        <x:v>0</x:v>
      </x:c>
      <x:c r="AG141" s="18" t="n">
        <x:v>0</x:v>
      </x:c>
      <x:c r="AH141" s="18" t="n">
        <x:v>0</x:v>
      </x:c>
      <x:c r="AI141" s="18" t="n">
        <x:v>0</x:v>
      </x:c>
      <x:c r="AJ141" s="18" t="n">
        <x:v>43</x:v>
      </x:c>
      <x:c r="AK141" s="18" t="n">
        <x:v>0</x:v>
      </x:c>
      <x:c r="AL141" s="18" t="n">
        <x:v>17</x:v>
      </x:c>
      <x:c r="AM141" s="18" t="n">
        <x:v>55</x:v>
      </x:c>
      <x:c r="AN141" s="18" t="n">
        <x:v>49</x:v>
      </x:c>
      <x:c r="AO141" s="18" t="n">
        <x:v>0</x:v>
      </x:c>
      <x:c r="AP141" s="18" t="n">
        <x:v>0</x:v>
      </x:c>
      <x:c r="AQ141" s="18" t="n">
        <x:v>0</x:v>
      </x:c>
      <x:c r="AR141" s="18" t="n">
        <x:v>0</x:v>
      </x:c>
      <x:c r="AS141" s="18" t="n">
        <x:v>0</x:v>
      </x:c>
      <x:c r="AT141" s="18" t="n">
        <x:v>0</x:v>
      </x:c>
      <x:c r="AU141" s="18" t="n">
        <x:v>1</x:v>
      </x:c>
      <x:c r="AV141" s="18" t="n">
        <x:v>146</x:v>
      </x:c>
      <x:c r="AW141" s="18" t="n">
        <x:v>0</x:v>
      </x:c>
      <x:c r="AX141" s="18" t="n">
        <x:v>0</x:v>
      </x:c>
      <x:c r="AY141" s="18" t="n">
        <x:v>0</x:v>
      </x:c>
      <x:c r="AZ141" s="18" t="n">
        <x:v>0</x:v>
      </x:c>
      <x:c r="BA141" s="18" t="n">
        <x:v>0</x:v>
      </x:c>
      <x:c r="BB141" s="18" t="n">
        <x:v>0</x:v>
      </x:c>
      <x:c r="BC141" s="18" t="n">
        <x:v>0</x:v>
      </x:c>
      <x:c r="BD141" s="18" t="n">
        <x:v>2</x:v>
      </x:c>
      <x:c r="BE141" s="18" t="n">
        <x:v>0</x:v>
      </x:c>
      <x:c r="BF141" s="18" t="n">
        <x:v>7</x:v>
      </x:c>
      <x:c r="BG141" s="18" t="n">
        <x:v>0</x:v>
      </x:c>
    </x:row>
    <x:row r="142">
      <x:c r="A142" s="29" t="str">
        <x:v>212.1</x:v>
      </x:c>
      <x:c r="B142" s="17" t="n">
        <x:v>3016</x:v>
      </x:c>
      <x:c r="C142" s="17" t="str">
        <x:v>בית ספר הרצל - שלוחה</x:v>
      </x:c>
      <x:c r="D142" s="17" t="str">
        <x:v>לוטוס 16</x:v>
      </x:c>
      <x:c r="E142" s="17" t="str">
        <x:v>גבוה מאוד</x:v>
      </x:c>
      <x:c r="F142" s="18" t="n">
        <x:v>628</x:v>
      </x:c>
      <x:c r="G142" s="18" t="n">
        <x:v>412</x:v>
      </x:c>
      <x:c r="H142" s="19" t="n">
        <x:f>IFERROR(G142/F142,0)</x:f>
        <x:v>0.6560509554140127</x:v>
      </x:c>
      <x:c r="I142" s="18" t="n">
        <x:v>2</x:v>
      </x:c>
      <x:c r="J142" s="18" t="n">
        <x:v>410</x:v>
      </x:c>
      <x:c r="K142" s="18" t="n">
        <x:f>SUM(AM142,BF142,W142,AD142)</x:f>
        <x:v>77</x:v>
      </x:c>
      <x:c r="L142" s="18" t="n">
        <x:f>Q142+R142</x:f>
        <x:v>322</x:v>
      </x:c>
      <x:c r="M142" s="19" t="n">
        <x:f>IFERROR(K142/J142,0)</x:f>
        <x:v>0.1878048780487805</x:v>
      </x:c>
      <x:c r="N142" s="19" t="n">
        <x:f>IFERROR(L142/J142,0)</x:f>
        <x:v>0.7853658536585366</x:v>
      </x:c>
      <x:c r="O142" s="17" t="str">
        <x:f>IF(K142&gt;MAX(L142,S142),"קואליציית ההקמה 2022",IF(L142&gt;MAX(K142,S142),"אופוזיציה רחבה 2022","רשימות אחרות"))</x:f>
        <x:v>אופוזיציה רחבה 2022</x:v>
      </x:c>
      <x:c r="P142" s="17" t="str">
        <x:f>IF(AND(H142&lt;50%,N142&gt;50%),"כן","לא")</x:f>
        <x:v>לא</x:v>
      </x:c>
      <x:c r="Q142" s="18" t="n">
        <x:f>SUM(AV142,AJ142,AL142,T142,AN142)</x:f>
        <x:v>314</x:v>
      </x:c>
      <x:c r="R142" s="18" t="n">
        <x:f>SUM(Y142,AU142,X142)</x:f>
        <x:v>8</x:v>
      </x:c>
      <x:c r="S142" s="18" t="n">
        <x:f>J142-K142-L142</x:f>
        <x:v>11</x:v>
      </x:c>
      <x:c r="T142" s="18" t="n">
        <x:v>37</x:v>
      </x:c>
      <x:c r="U142" s="18" t="n">
        <x:v>0</x:v>
      </x:c>
      <x:c r="V142" s="18" t="n">
        <x:v>2</x:v>
      </x:c>
      <x:c r="W142" s="18" t="n">
        <x:v>0</x:v>
      </x:c>
      <x:c r="X142" s="18" t="n">
        <x:v>2</x:v>
      </x:c>
      <x:c r="Y142" s="18" t="n">
        <x:v>5</x:v>
      </x:c>
      <x:c r="Z142" s="18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13</x:v>
      </x:c>
      <x:c r="AE142" s="18" t="n">
        <x:v>0</x:v>
      </x:c>
      <x:c r="AF142" s="18" t="n">
        <x:v>3</x:v>
      </x:c>
      <x:c r="AG142" s="18" t="n">
        <x:v>0</x:v>
      </x:c>
      <x:c r="AH142" s="18" t="n">
        <x:v>0</x:v>
      </x:c>
      <x:c r="AI142" s="18" t="n">
        <x:v>0</x:v>
      </x:c>
      <x:c r="AJ142" s="18" t="n">
        <x:v>51</x:v>
      </x:c>
      <x:c r="AK142" s="18" t="n">
        <x:v>0</x:v>
      </x:c>
      <x:c r="AL142" s="18" t="n">
        <x:v>11</x:v>
      </x:c>
      <x:c r="AM142" s="18" t="n">
        <x:v>63</x:v>
      </x:c>
      <x:c r="AN142" s="18" t="n">
        <x:v>51</x:v>
      </x:c>
      <x:c r="AO142" s="18" t="n">
        <x:v>0</x:v>
      </x:c>
      <x:c r="AP142" s="18" t="n">
        <x:v>0</x:v>
      </x:c>
      <x:c r="AQ142" s="18" t="n">
        <x:v>0</x:v>
      </x:c>
      <x:c r="AR142" s="18" t="n">
        <x:v>0</x:v>
      </x:c>
      <x:c r="AS142" s="18" t="n">
        <x:v>0</x:v>
      </x:c>
      <x:c r="AT142" s="18" t="n">
        <x:v>0</x:v>
      </x:c>
      <x:c r="AU142" s="18" t="n">
        <x:v>1</x:v>
      </x:c>
      <x:c r="AV142" s="18" t="n">
        <x:v>164</x:v>
      </x:c>
      <x:c r="AW142" s="18" t="n">
        <x:v>0</x:v>
      </x:c>
      <x:c r="AX142" s="18" t="n">
        <x:v>0</x:v>
      </x:c>
      <x:c r="AY142" s="18" t="n">
        <x:v>0</x:v>
      </x:c>
      <x:c r="AZ142" s="18" t="n">
        <x:v>0</x:v>
      </x:c>
      <x:c r="BA142" s="18" t="n">
        <x:v>0</x:v>
      </x:c>
      <x:c r="BB142" s="18" t="n">
        <x:v>0</x:v>
      </x:c>
      <x:c r="BC142" s="18" t="n">
        <x:v>0</x:v>
      </x:c>
      <x:c r="BD142" s="18" t="n">
        <x:v>6</x:v>
      </x:c>
      <x:c r="BE142" s="18" t="n">
        <x:v>0</x:v>
      </x:c>
      <x:c r="BF142" s="18" t="n">
        <x:v>1</x:v>
      </x:c>
      <x:c r="BG142" s="18" t="n">
        <x:v>0</x:v>
      </x:c>
    </x:row>
    <x:row r="143">
      <x:c r="A143" s="29" t="str">
        <x:v>212.2</x:v>
      </x:c>
      <x:c r="B143" s="17" t="n">
        <x:v>3017</x:v>
      </x:c>
      <x:c r="C143" s="17" t="str">
        <x:v>בית ספר הרצל - שלוחה</x:v>
      </x:c>
      <x:c r="D143" s="17" t="str">
        <x:v>לוטוס 16</x:v>
      </x:c>
      <x:c r="E143" s="17" t="str">
        <x:v>גבוה מאוד</x:v>
      </x:c>
      <x:c r="F143" s="18" t="n">
        <x:v>628</x:v>
      </x:c>
      <x:c r="G143" s="18" t="n">
        <x:v>410</x:v>
      </x:c>
      <x:c r="H143" s="19" t="n">
        <x:f>IFERROR(G143/F143,0)</x:f>
        <x:v>0.6528662420382165</x:v>
      </x:c>
      <x:c r="I143" s="18" t="n">
        <x:v>1</x:v>
      </x:c>
      <x:c r="J143" s="18" t="n">
        <x:v>409</x:v>
      </x:c>
      <x:c r="K143" s="18" t="n">
        <x:f>SUM(AM143,BF143,W143,AD143)</x:f>
        <x:v>66</x:v>
      </x:c>
      <x:c r="L143" s="18" t="n">
        <x:f>Q143+R143</x:f>
        <x:v>332</x:v>
      </x:c>
      <x:c r="M143" s="19" t="n">
        <x:f>IFERROR(K143/J143,0)</x:f>
        <x:v>0.16136919315403422</x:v>
      </x:c>
      <x:c r="N143" s="19" t="n">
        <x:f>IFERROR(L143/J143,0)</x:f>
        <x:v>0.8117359413202934</x:v>
      </x:c>
      <x:c r="O143" s="17" t="str">
        <x:f>IF(K143&gt;MAX(L143,S143),"קואליציית ההקמה 2022",IF(L143&gt;MAX(K143,S143),"אופוזיציה רחבה 2022","רשימות אחרות"))</x:f>
        <x:v>אופוזיציה רחבה 2022</x:v>
      </x:c>
      <x:c r="P143" s="17" t="str">
        <x:f>IF(AND(H143&lt;50%,N143&gt;50%),"כן","לא")</x:f>
        <x:v>לא</x:v>
      </x:c>
      <x:c r="Q143" s="18" t="n">
        <x:f>SUM(AV143,AJ143,AL143,T143,AN143)</x:f>
        <x:v>314</x:v>
      </x:c>
      <x:c r="R143" s="18" t="n">
        <x:f>SUM(Y143,AU143,X143)</x:f>
        <x:v>18</x:v>
      </x:c>
      <x:c r="S143" s="18" t="n">
        <x:f>J143-K143-L143</x:f>
        <x:v>11</x:v>
      </x:c>
      <x:c r="T143" s="18" t="n">
        <x:v>26</x:v>
      </x:c>
      <x:c r="U143" s="18" t="n">
        <x:v>2</x:v>
      </x:c>
      <x:c r="V143" s="18" t="n">
        <x:v>1</x:v>
      </x:c>
      <x:c r="W143" s="18" t="n">
        <x:v>1</x:v>
      </x:c>
      <x:c r="X143" s="18" t="n">
        <x:v>7</x:v>
      </x:c>
      <x:c r="Y143" s="18" t="n">
        <x:v>9</x:v>
      </x:c>
      <x:c r="Z143" s="18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10</x:v>
      </x:c>
      <x:c r="AE143" s="18" t="n">
        <x:v>0</x:v>
      </x:c>
      <x:c r="AF143" s="18" t="n">
        <x:v>1</x:v>
      </x:c>
      <x:c r="AG143" s="18" t="n">
        <x:v>0</x:v>
      </x:c>
      <x:c r="AH143" s="18" t="n">
        <x:v>0</x:v>
      </x:c>
      <x:c r="AI143" s="18" t="n">
        <x:v>0</x:v>
      </x:c>
      <x:c r="AJ143" s="18" t="n">
        <x:v>58</x:v>
      </x:c>
      <x:c r="AK143" s="18" t="n">
        <x:v>0</x:v>
      </x:c>
      <x:c r="AL143" s="18" t="n">
        <x:v>20</x:v>
      </x:c>
      <x:c r="AM143" s="18" t="n">
        <x:v>54</x:v>
      </x:c>
      <x:c r="AN143" s="18" t="n">
        <x:v>32</x:v>
      </x:c>
      <x:c r="AO143" s="18" t="n">
        <x:v>0</x:v>
      </x:c>
      <x:c r="AP143" s="18" t="n">
        <x:v>0</x:v>
      </x:c>
      <x:c r="AQ143" s="18" t="n">
        <x:v>0</x:v>
      </x:c>
      <x:c r="AR143" s="18" t="n">
        <x:v>0</x:v>
      </x:c>
      <x:c r="AS143" s="18" t="n">
        <x:v>0</x:v>
      </x:c>
      <x:c r="AT143" s="18" t="n">
        <x:v>0</x:v>
      </x:c>
      <x:c r="AU143" s="18" t="n">
        <x:v>2</x:v>
      </x:c>
      <x:c r="AV143" s="18" t="n">
        <x:v>178</x:v>
      </x:c>
      <x:c r="AW143" s="18" t="n">
        <x:v>0</x:v>
      </x:c>
      <x:c r="AX143" s="18" t="n">
        <x:v>0</x:v>
      </x:c>
      <x:c r="AY143" s="18" t="n">
        <x:v>0</x:v>
      </x:c>
      <x:c r="AZ143" s="18" t="n">
        <x:v>2</x:v>
      </x:c>
      <x:c r="BA143" s="18" t="n">
        <x:v>0</x:v>
      </x:c>
      <x:c r="BB143" s="18" t="n">
        <x:v>0</x:v>
      </x:c>
      <x:c r="BC143" s="18" t="n">
        <x:v>0</x:v>
      </x:c>
      <x:c r="BD143" s="18" t="n">
        <x:v>5</x:v>
      </x:c>
      <x:c r="BE143" s="18" t="n">
        <x:v>0</x:v>
      </x:c>
      <x:c r="BF143" s="18" t="n">
        <x:v>1</x:v>
      </x:c>
      <x:c r="BG143" s="18" t="n">
        <x:v>0</x:v>
      </x:c>
    </x:row>
    <x:row r="144">
      <x:c r="A144" s="29" t="str">
        <x:v>212.3</x:v>
      </x:c>
      <x:c r="B144" s="17" t="n">
        <x:v>3018</x:v>
      </x:c>
      <x:c r="C144" s="17" t="str">
        <x:v>בית ספר הרצל - שלוחה</x:v>
      </x:c>
      <x:c r="D144" s="17" t="str">
        <x:v>לוטוס 16</x:v>
      </x:c>
      <x:c r="E144" s="17" t="str">
        <x:v>גבוה מאוד</x:v>
      </x:c>
      <x:c r="F144" s="18" t="n">
        <x:v>626</x:v>
      </x:c>
      <x:c r="G144" s="18" t="n">
        <x:v>402</x:v>
      </x:c>
      <x:c r="H144" s="19" t="n">
        <x:f>IFERROR(G144/F144,0)</x:f>
        <x:v>0.6421725239616614</x:v>
      </x:c>
      <x:c r="I144" s="18" t="n">
        <x:v>0</x:v>
      </x:c>
      <x:c r="J144" s="18" t="n">
        <x:v>402</x:v>
      </x:c>
      <x:c r="K144" s="18" t="n">
        <x:f>SUM(AM144,BF144,W144,AD144)</x:f>
        <x:v>57</x:v>
      </x:c>
      <x:c r="L144" s="18" t="n">
        <x:f>Q144+R144</x:f>
        <x:v>335</x:v>
      </x:c>
      <x:c r="M144" s="19" t="n">
        <x:f>IFERROR(K144/J144,0)</x:f>
        <x:v>0.1417910447761194</x:v>
      </x:c>
      <x:c r="N144" s="19" t="n">
        <x:f>IFERROR(L144/J144,0)</x:f>
        <x:v>0.8333333333333334</x:v>
      </x:c>
      <x:c r="O144" s="17" t="str">
        <x:f>IF(K144&gt;MAX(L144,S144),"קואליציית ההקמה 2022",IF(L144&gt;MAX(K144,S144),"אופוזיציה רחבה 2022","רשימות אחרות"))</x:f>
        <x:v>אופוזיציה רחבה 2022</x:v>
      </x:c>
      <x:c r="P144" s="17" t="str">
        <x:f>IF(AND(H144&lt;50%,N144&gt;50%),"כן","לא")</x:f>
        <x:v>לא</x:v>
      </x:c>
      <x:c r="Q144" s="18" t="n">
        <x:f>SUM(AV144,AJ144,AL144,T144,AN144)</x:f>
        <x:v>333</x:v>
      </x:c>
      <x:c r="R144" s="18" t="n">
        <x:f>SUM(Y144,AU144,X144)</x:f>
        <x:v>2</x:v>
      </x:c>
      <x:c r="S144" s="18" t="n">
        <x:f>J144-K144-L144</x:f>
        <x:v>10</x:v>
      </x:c>
      <x:c r="T144" s="18" t="n">
        <x:v>31</x:v>
      </x:c>
      <x:c r="U144" s="18" t="n">
        <x:v>1</x:v>
      </x:c>
      <x:c r="V144" s="18" t="n">
        <x:v>7</x:v>
      </x:c>
      <x:c r="W144" s="18" t="n">
        <x:v>2</x:v>
      </x:c>
      <x:c r="X144" s="18" t="n">
        <x:v>1</x:v>
      </x:c>
      <x:c r="Y144" s="18" t="n">
        <x:v>1</x:v>
      </x:c>
      <x:c r="Z144" s="18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8</x:v>
      </x:c>
      <x:c r="AE144" s="18" t="n">
        <x:v>0</x:v>
      </x:c>
      <x:c r="AF144" s="18" t="n">
        <x:v>0</x:v>
      </x:c>
      <x:c r="AG144" s="18" t="n">
        <x:v>0</x:v>
      </x:c>
      <x:c r="AH144" s="18" t="n">
        <x:v>0</x:v>
      </x:c>
      <x:c r="AI144" s="18" t="n">
        <x:v>0</x:v>
      </x:c>
      <x:c r="AJ144" s="18" t="n">
        <x:v>54</x:v>
      </x:c>
      <x:c r="AK144" s="18" t="n">
        <x:v>0</x:v>
      </x:c>
      <x:c r="AL144" s="18" t="n">
        <x:v>9</x:v>
      </x:c>
      <x:c r="AM144" s="18" t="n">
        <x:v>45</x:v>
      </x:c>
      <x:c r="AN144" s="18" t="n">
        <x:v>63</x:v>
      </x:c>
      <x:c r="AO144" s="18" t="n">
        <x:v>0</x:v>
      </x:c>
      <x:c r="AP144" s="18" t="n">
        <x:v>0</x:v>
      </x:c>
      <x:c r="AQ144" s="18" t="n">
        <x:v>0</x:v>
      </x:c>
      <x:c r="AR144" s="18" t="n">
        <x:v>0</x:v>
      </x:c>
      <x:c r="AS144" s="18" t="n">
        <x:v>0</x:v>
      </x:c>
      <x:c r="AT144" s="18" t="n">
        <x:v>0</x:v>
      </x:c>
      <x:c r="AU144" s="18" t="n">
        <x:v>0</x:v>
      </x:c>
      <x:c r="AV144" s="18" t="n">
        <x:v>176</x:v>
      </x:c>
      <x:c r="AW144" s="18" t="n">
        <x:v>0</x:v>
      </x:c>
      <x:c r="AX144" s="18" t="n">
        <x:v>0</x:v>
      </x:c>
      <x:c r="AY144" s="18" t="n">
        <x:v>0</x:v>
      </x:c>
      <x:c r="AZ144" s="18" t="n">
        <x:v>0</x:v>
      </x:c>
      <x:c r="BA144" s="18" t="n">
        <x:v>0</x:v>
      </x:c>
      <x:c r="BB144" s="18" t="n">
        <x:v>0</x:v>
      </x:c>
      <x:c r="BC144" s="18" t="n">
        <x:v>0</x:v>
      </x:c>
      <x:c r="BD144" s="18" t="n">
        <x:v>2</x:v>
      </x:c>
      <x:c r="BE144" s="18" t="n">
        <x:v>0</x:v>
      </x:c>
      <x:c r="BF144" s="18" t="n">
        <x:v>2</x:v>
      </x:c>
      <x:c r="BG144" s="18" t="n">
        <x:v>0</x:v>
      </x:c>
    </x:row>
    <x:row r="145">
      <x:c r="A145" s="29" t="str">
        <x:v>213</x:v>
      </x:c>
      <x:c r="B145" s="17" t="n">
        <x:v>3019</x:v>
      </x:c>
      <x:c r="C145" s="17" t="str">
        <x:v>בי"ס הרצל</x:v>
      </x:c>
      <x:c r="D145" s="17" t="str">
        <x:v>צדקיהו 6</x:v>
      </x:c>
      <x:c r="E145" s="17" t="str">
        <x:v>גבוה מאוד</x:v>
      </x:c>
      <x:c r="F145" s="18" t="n">
        <x:v>683</x:v>
      </x:c>
      <x:c r="G145" s="18" t="n">
        <x:v>453</x:v>
      </x:c>
      <x:c r="H145" s="19" t="n">
        <x:f>IFERROR(G145/F145,0)</x:f>
        <x:v>0.6632503660322109</x:v>
      </x:c>
      <x:c r="I145" s="18" t="n">
        <x:v>3</x:v>
      </x:c>
      <x:c r="J145" s="18" t="n">
        <x:v>450</x:v>
      </x:c>
      <x:c r="K145" s="18" t="n">
        <x:f>SUM(AM145,BF145,W145,AD145)</x:f>
        <x:v>77</x:v>
      </x:c>
      <x:c r="L145" s="18" t="n">
        <x:f>Q145+R145</x:f>
        <x:v>365</x:v>
      </x:c>
      <x:c r="M145" s="19" t="n">
        <x:f>IFERROR(K145/J145,0)</x:f>
        <x:v>0.1711111111111111</x:v>
      </x:c>
      <x:c r="N145" s="19" t="n">
        <x:f>IFERROR(L145/J145,0)</x:f>
        <x:v>0.8111111111111111</x:v>
      </x:c>
      <x:c r="O145" s="17" t="str">
        <x:f>IF(K145&gt;MAX(L145,S145),"קואליציית ההקמה 2022",IF(L145&gt;MAX(K145,S145),"אופוזיציה רחבה 2022","רשימות אחרות"))</x:f>
        <x:v>אופוזיציה רחבה 2022</x:v>
      </x:c>
      <x:c r="P145" s="17" t="str">
        <x:f>IF(AND(H145&lt;50%,N145&gt;50%),"כן","לא")</x:f>
        <x:v>לא</x:v>
      </x:c>
      <x:c r="Q145" s="18" t="n">
        <x:f>SUM(AV145,AJ145,AL145,T145,AN145)</x:f>
        <x:v>360</x:v>
      </x:c>
      <x:c r="R145" s="18" t="n">
        <x:f>SUM(Y145,AU145,X145)</x:f>
        <x:v>5</x:v>
      </x:c>
      <x:c r="S145" s="18" t="n">
        <x:f>J145-K145-L145</x:f>
        <x:v>8</x:v>
      </x:c>
      <x:c r="T145" s="18" t="n">
        <x:v>45</x:v>
      </x:c>
      <x:c r="U145" s="18" t="n">
        <x:v>3</x:v>
      </x:c>
      <x:c r="V145" s="18" t="n">
        <x:v>1</x:v>
      </x:c>
      <x:c r="W145" s="18" t="n">
        <x:v>2</x:v>
      </x:c>
      <x:c r="X145" s="18" t="n">
        <x:v>1</x:v>
      </x:c>
      <x:c r="Y145" s="18" t="n">
        <x:v>4</x:v>
      </x:c>
      <x:c r="Z145" s="18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14</x:v>
      </x:c>
      <x:c r="AE145" s="18" t="n">
        <x:v>0</x:v>
      </x:c>
      <x:c r="AF145" s="18" t="n">
        <x:v>2</x:v>
      </x:c>
      <x:c r="AG145" s="18" t="n">
        <x:v>0</x:v>
      </x:c>
      <x:c r="AH145" s="18" t="n">
        <x:v>0</x:v>
      </x:c>
      <x:c r="AI145" s="18" t="n">
        <x:v>0</x:v>
      </x:c>
      <x:c r="AJ145" s="18" t="n">
        <x:v>47</x:v>
      </x:c>
      <x:c r="AK145" s="18" t="n">
        <x:v>0</x:v>
      </x:c>
      <x:c r="AL145" s="18" t="n">
        <x:v>21</x:v>
      </x:c>
      <x:c r="AM145" s="18" t="n">
        <x:v>59</x:v>
      </x:c>
      <x:c r="AN145" s="18" t="n">
        <x:v>55</x:v>
      </x:c>
      <x:c r="AO145" s="18" t="n">
        <x:v>0</x:v>
      </x:c>
      <x:c r="AP145" s="18" t="n">
        <x:v>0</x:v>
      </x:c>
      <x:c r="AQ145" s="18" t="n">
        <x:v>0</x:v>
      </x:c>
      <x:c r="AR145" s="18" t="n">
        <x:v>0</x:v>
      </x:c>
      <x:c r="AS145" s="18" t="n">
        <x:v>0</x:v>
      </x:c>
      <x:c r="AT145" s="18" t="n">
        <x:v>1</x:v>
      </x:c>
      <x:c r="AU145" s="18" t="n">
        <x:v>0</x:v>
      </x:c>
      <x:c r="AV145" s="18" t="n">
        <x:v>192</x:v>
      </x:c>
      <x:c r="AW145" s="18" t="n">
        <x:v>0</x:v>
      </x:c>
      <x:c r="AX145" s="18" t="n">
        <x:v>0</x:v>
      </x:c>
      <x:c r="AY145" s="18" t="n">
        <x:v>0</x:v>
      </x:c>
      <x:c r="AZ145" s="18" t="n">
        <x:v>0</x:v>
      </x:c>
      <x:c r="BA145" s="18" t="n">
        <x:v>0</x:v>
      </x:c>
      <x:c r="BB145" s="18" t="n">
        <x:v>0</x:v>
      </x:c>
      <x:c r="BC145" s="18" t="n">
        <x:v>0</x:v>
      </x:c>
      <x:c r="BD145" s="18" t="n">
        <x:v>1</x:v>
      </x:c>
      <x:c r="BE145" s="18" t="n">
        <x:v>0</x:v>
      </x:c>
      <x:c r="BF145" s="18" t="n">
        <x:v>2</x:v>
      </x:c>
      <x:c r="BG145" s="18" t="n">
        <x:v>0</x:v>
      </x:c>
    </x:row>
    <x:row r="146">
      <x:c r="A146" s="29" t="str">
        <x:v>214</x:v>
      </x:c>
      <x:c r="B146" s="17" t="n">
        <x:v>3020</x:v>
      </x:c>
      <x:c r="C146" s="17" t="str">
        <x:v>בי"ס הרצל</x:v>
      </x:c>
      <x:c r="D146" s="17" t="str">
        <x:v>צדקיהו 6</x:v>
      </x:c>
      <x:c r="E146" s="17" t="str">
        <x:v>גבוה מאוד</x:v>
      </x:c>
      <x:c r="F146" s="18" t="n">
        <x:v>513</x:v>
      </x:c>
      <x:c r="G146" s="18" t="n">
        <x:v>310</x:v>
      </x:c>
      <x:c r="H146" s="19" t="n">
        <x:f>IFERROR(G146/F146,0)</x:f>
        <x:v>0.6042884990253411</x:v>
      </x:c>
      <x:c r="I146" s="18" t="n">
        <x:v>0</x:v>
      </x:c>
      <x:c r="J146" s="18" t="n">
        <x:v>310</x:v>
      </x:c>
      <x:c r="K146" s="18" t="n">
        <x:f>SUM(AM146,BF146,W146,AD146)</x:f>
        <x:v>56</x:v>
      </x:c>
      <x:c r="L146" s="18" t="n">
        <x:f>Q146+R146</x:f>
        <x:v>246</x:v>
      </x:c>
      <x:c r="M146" s="19" t="n">
        <x:f>IFERROR(K146/J146,0)</x:f>
        <x:v>0.18064516129032257</x:v>
      </x:c>
      <x:c r="N146" s="19" t="n">
        <x:f>IFERROR(L146/J146,0)</x:f>
        <x:v>0.7935483870967742</x:v>
      </x:c>
      <x:c r="O146" s="17" t="str">
        <x:f>IF(K146&gt;MAX(L146,S146),"קואליציית ההקמה 2022",IF(L146&gt;MAX(K146,S146),"אופוזיציה רחבה 2022","רשימות אחרות"))</x:f>
        <x:v>אופוזיציה רחבה 2022</x:v>
      </x:c>
      <x:c r="P146" s="17" t="str">
        <x:f>IF(AND(H146&lt;50%,N146&gt;50%),"כן","לא")</x:f>
        <x:v>לא</x:v>
      </x:c>
      <x:c r="Q146" s="18" t="n">
        <x:f>SUM(AV146,AJ146,AL146,T146,AN146)</x:f>
        <x:v>234</x:v>
      </x:c>
      <x:c r="R146" s="18" t="n">
        <x:f>SUM(Y146,AU146,X146)</x:f>
        <x:v>12</x:v>
      </x:c>
      <x:c r="S146" s="18" t="n">
        <x:f>J146-K146-L146</x:f>
        <x:v>8</x:v>
      </x:c>
      <x:c r="T146" s="18" t="n">
        <x:v>29</x:v>
      </x:c>
      <x:c r="U146" s="18" t="n">
        <x:v>0</x:v>
      </x:c>
      <x:c r="V146" s="18" t="n">
        <x:v>2</x:v>
      </x:c>
      <x:c r="W146" s="18" t="n">
        <x:v>0</x:v>
      </x:c>
      <x:c r="X146" s="18" t="n">
        <x:v>3</x:v>
      </x:c>
      <x:c r="Y146" s="18" t="n">
        <x:v>8</x:v>
      </x:c>
      <x:c r="Z146" s="18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7</x:v>
      </x:c>
      <x:c r="AE146" s="18" t="n">
        <x:v>0</x:v>
      </x:c>
      <x:c r="AF146" s="18" t="n">
        <x:v>0</x:v>
      </x:c>
      <x:c r="AG146" s="18" t="n">
        <x:v>0</x:v>
      </x:c>
      <x:c r="AH146" s="18" t="n">
        <x:v>0</x:v>
      </x:c>
      <x:c r="AI146" s="18" t="n">
        <x:v>0</x:v>
      </x:c>
      <x:c r="AJ146" s="18" t="n">
        <x:v>38</x:v>
      </x:c>
      <x:c r="AK146" s="18" t="n">
        <x:v>0</x:v>
      </x:c>
      <x:c r="AL146" s="18" t="n">
        <x:v>9</x:v>
      </x:c>
      <x:c r="AM146" s="18" t="n">
        <x:v>49</x:v>
      </x:c>
      <x:c r="AN146" s="18" t="n">
        <x:v>37</x:v>
      </x:c>
      <x:c r="AO146" s="18" t="n">
        <x:v>0</x:v>
      </x:c>
      <x:c r="AP146" s="18" t="n">
        <x:v>0</x:v>
      </x:c>
      <x:c r="AQ146" s="18" t="n">
        <x:v>0</x:v>
      </x:c>
      <x:c r="AR146" s="18" t="n">
        <x:v>0</x:v>
      </x:c>
      <x:c r="AS146" s="18" t="n">
        <x:v>0</x:v>
      </x:c>
      <x:c r="AT146" s="18" t="n">
        <x:v>0</x:v>
      </x:c>
      <x:c r="AU146" s="18" t="n">
        <x:v>1</x:v>
      </x:c>
      <x:c r="AV146" s="18" t="n">
        <x:v>121</x:v>
      </x:c>
      <x:c r="AW146" s="18" t="n">
        <x:v>0</x:v>
      </x:c>
      <x:c r="AX146" s="18" t="n">
        <x:v>1</x:v>
      </x:c>
      <x:c r="AY146" s="18" t="n">
        <x:v>0</x:v>
      </x:c>
      <x:c r="AZ146" s="18" t="n">
        <x:v>0</x:v>
      </x:c>
      <x:c r="BA146" s="18" t="n">
        <x:v>0</x:v>
      </x:c>
      <x:c r="BB146" s="18" t="n">
        <x:v>0</x:v>
      </x:c>
      <x:c r="BC146" s="18" t="n">
        <x:v>0</x:v>
      </x:c>
      <x:c r="BD146" s="18" t="n">
        <x:v>5</x:v>
      </x:c>
      <x:c r="BE146" s="18" t="n">
        <x:v>0</x:v>
      </x:c>
      <x:c r="BF146" s="18" t="n">
        <x:v>0</x:v>
      </x:c>
      <x:c r="BG146" s="18" t="n">
        <x:v>0</x:v>
      </x:c>
    </x:row>
    <x:row r="147">
      <x:c r="A147" s="29" t="str">
        <x:v>216</x:v>
      </x:c>
      <x:c r="B147" s="17" t="n">
        <x:v>3021</x:v>
      </x:c>
      <x:c r="C147" s="17" t="str">
        <x:v>גן שקמה</x:v>
      </x:c>
      <x:c r="D147" s="17" t="str">
        <x:v>הלילך 26</x:v>
      </x:c>
      <x:c r="E147" s="17" t="str">
        <x:v>גבוה מאוד</x:v>
      </x:c>
      <x:c r="F147" s="18" t="n">
        <x:v>524</x:v>
      </x:c>
      <x:c r="G147" s="18" t="n">
        <x:v>323</x:v>
      </x:c>
      <x:c r="H147" s="19" t="n">
        <x:f>IFERROR(G147/F147,0)</x:f>
        <x:v>0.6164122137404581</x:v>
      </x:c>
      <x:c r="I147" s="18" t="n">
        <x:v>1</x:v>
      </x:c>
      <x:c r="J147" s="18" t="n">
        <x:v>322</x:v>
      </x:c>
      <x:c r="K147" s="18" t="n">
        <x:f>SUM(AM147,BF147,W147,AD147)</x:f>
        <x:v>42</x:v>
      </x:c>
      <x:c r="L147" s="18" t="n">
        <x:f>Q147+R147</x:f>
        <x:v>277</x:v>
      </x:c>
      <x:c r="M147" s="19" t="n">
        <x:f>IFERROR(K147/J147,0)</x:f>
        <x:v>0.13043478260869565</x:v>
      </x:c>
      <x:c r="N147" s="19" t="n">
        <x:f>IFERROR(L147/J147,0)</x:f>
        <x:v>0.860248447204969</x:v>
      </x:c>
      <x:c r="O147" s="17" t="str">
        <x:f>IF(K147&gt;MAX(L147,S147),"קואליציית ההקמה 2022",IF(L147&gt;MAX(K147,S147),"אופוזיציה רחבה 2022","רשימות אחרות"))</x:f>
        <x:v>אופוזיציה רחבה 2022</x:v>
      </x:c>
      <x:c r="P147" s="17" t="str">
        <x:f>IF(AND(H147&lt;50%,N147&gt;50%),"כן","לא")</x:f>
        <x:v>לא</x:v>
      </x:c>
      <x:c r="Q147" s="18" t="n">
        <x:f>SUM(AV147,AJ147,AL147,T147,AN147)</x:f>
        <x:v>261</x:v>
      </x:c>
      <x:c r="R147" s="18" t="n">
        <x:f>SUM(Y147,AU147,X147)</x:f>
        <x:v>16</x:v>
      </x:c>
      <x:c r="S147" s="18" t="n">
        <x:f>J147-K147-L147</x:f>
        <x:v>3</x:v>
      </x:c>
      <x:c r="T147" s="18" t="n">
        <x:v>33</x:v>
      </x:c>
      <x:c r="U147" s="18" t="n">
        <x:v>0</x:v>
      </x:c>
      <x:c r="V147" s="18" t="n">
        <x:v>0</x:v>
      </x:c>
      <x:c r="W147" s="18" t="n">
        <x:v>1</x:v>
      </x:c>
      <x:c r="X147" s="18" t="n">
        <x:v>5</x:v>
      </x:c>
      <x:c r="Y147" s="18" t="n">
        <x:v>9</x:v>
      </x:c>
      <x:c r="Z147" s="18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3</x:v>
      </x:c>
      <x:c r="AE147" s="18" t="n">
        <x:v>0</x:v>
      </x:c>
      <x:c r="AF147" s="18" t="n">
        <x:v>1</x:v>
      </x:c>
      <x:c r="AG147" s="18" t="n">
        <x:v>0</x:v>
      </x:c>
      <x:c r="AH147" s="18" t="n">
        <x:v>0</x:v>
      </x:c>
      <x:c r="AI147" s="18" t="n">
        <x:v>0</x:v>
      </x:c>
      <x:c r="AJ147" s="18" t="n">
        <x:v>34</x:v>
      </x:c>
      <x:c r="AK147" s="18" t="n">
        <x:v>0</x:v>
      </x:c>
      <x:c r="AL147" s="18" t="n">
        <x:v>18</x:v>
      </x:c>
      <x:c r="AM147" s="18" t="n">
        <x:v>37</x:v>
      </x:c>
      <x:c r="AN147" s="18" t="n">
        <x:v>33</x:v>
      </x:c>
      <x:c r="AO147" s="18" t="n">
        <x:v>0</x:v>
      </x:c>
      <x:c r="AP147" s="18" t="n">
        <x:v>0</x:v>
      </x:c>
      <x:c r="AQ147" s="18" t="n">
        <x:v>0</x:v>
      </x:c>
      <x:c r="AR147" s="18" t="n">
        <x:v>0</x:v>
      </x:c>
      <x:c r="AS147" s="18" t="n">
        <x:v>0</x:v>
      </x:c>
      <x:c r="AT147" s="18" t="n">
        <x:v>0</x:v>
      </x:c>
      <x:c r="AU147" s="18" t="n">
        <x:v>2</x:v>
      </x:c>
      <x:c r="AV147" s="18" t="n">
        <x:v>143</x:v>
      </x:c>
      <x:c r="AW147" s="18" t="n">
        <x:v>0</x:v>
      </x:c>
      <x:c r="AX147" s="18" t="n">
        <x:v>0</x:v>
      </x:c>
      <x:c r="AY147" s="18" t="n">
        <x:v>0</x:v>
      </x:c>
      <x:c r="AZ147" s="18" t="n">
        <x:v>0</x:v>
      </x:c>
      <x:c r="BA147" s="18" t="n">
        <x:v>0</x:v>
      </x:c>
      <x:c r="BB147" s="18" t="n">
        <x:v>0</x:v>
      </x:c>
      <x:c r="BC147" s="18" t="n">
        <x:v>0</x:v>
      </x:c>
      <x:c r="BD147" s="18" t="n">
        <x:v>2</x:v>
      </x:c>
      <x:c r="BE147" s="18" t="n">
        <x:v>0</x:v>
      </x:c>
      <x:c r="BF147" s="18" t="n">
        <x:v>1</x:v>
      </x:c>
      <x:c r="BG147" s="18" t="n">
        <x:v>0</x:v>
      </x:c>
    </x:row>
    <x:row r="148">
      <x:c r="A148" s="29" t="str">
        <x:v>219</x:v>
      </x:c>
      <x:c r="B148" s="17" t="n">
        <x:v>2951</x:v>
      </x:c>
      <x:c r="C148" s="17" t="str">
        <x:v>בי"ס אילנשיל אופקים</x:v>
      </x:c>
      <x:c r="D148" s="17" t="str">
        <x:v>דרך הים 44</x:v>
      </x:c>
      <x:c r="E148" s="17" t="str">
        <x:v>גבוה מאוד</x:v>
      </x:c>
      <x:c r="F148" s="18" t="n">
        <x:v>444</x:v>
      </x:c>
      <x:c r="G148" s="18" t="n">
        <x:v>285</x:v>
      </x:c>
      <x:c r="H148" s="19" t="n">
        <x:f>IFERROR(G148/F148,0)</x:f>
        <x:v>0.6418918918918919</x:v>
      </x:c>
      <x:c r="I148" s="18" t="n">
        <x:v>0</x:v>
      </x:c>
      <x:c r="J148" s="18" t="n">
        <x:v>285</x:v>
      </x:c>
      <x:c r="K148" s="18" t="n">
        <x:f>SUM(AM148,BF148,W148,AD148)</x:f>
        <x:v>66</x:v>
      </x:c>
      <x:c r="L148" s="18" t="n">
        <x:f>Q148+R148</x:f>
        <x:v>216</x:v>
      </x:c>
      <x:c r="M148" s="19" t="n">
        <x:f>IFERROR(K148/J148,0)</x:f>
        <x:v>0.23157894736842105</x:v>
      </x:c>
      <x:c r="N148" s="19" t="n">
        <x:f>IFERROR(L148/J148,0)</x:f>
        <x:v>0.7578947368421053</x:v>
      </x:c>
      <x:c r="O148" s="17" t="str">
        <x:f>IF(K148&gt;MAX(L148,S148),"קואליציית ההקמה 2022",IF(L148&gt;MAX(K148,S148),"אופוזיציה רחבה 2022","רשימות אחרות"))</x:f>
        <x:v>אופוזיציה רחבה 2022</x:v>
      </x:c>
      <x:c r="P148" s="17" t="str">
        <x:f>IF(AND(H148&lt;50%,N148&gt;50%),"כן","לא")</x:f>
        <x:v>לא</x:v>
      </x:c>
      <x:c r="Q148" s="18" t="n">
        <x:f>SUM(AV148,AJ148,AL148,T148,AN148)</x:f>
        <x:v>205</x:v>
      </x:c>
      <x:c r="R148" s="18" t="n">
        <x:f>SUM(Y148,AU148,X148)</x:f>
        <x:v>11</x:v>
      </x:c>
      <x:c r="S148" s="18" t="n">
        <x:f>J148-K148-L148</x:f>
        <x:v>3</x:v>
      </x:c>
      <x:c r="T148" s="18" t="n">
        <x:v>14</x:v>
      </x:c>
      <x:c r="U148" s="18" t="n">
        <x:v>1</x:v>
      </x:c>
      <x:c r="V148" s="18" t="n">
        <x:v>2</x:v>
      </x:c>
      <x:c r="W148" s="18" t="n">
        <x:v>0</x:v>
      </x:c>
      <x:c r="X148" s="18" t="n">
        <x:v>7</x:v>
      </x:c>
      <x:c r="Y148" s="18" t="n">
        <x:v>4</x:v>
      </x:c>
      <x:c r="Z148" s="18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16</x:v>
      </x:c>
      <x:c r="AE148" s="18" t="n">
        <x:v>0</x:v>
      </x:c>
      <x:c r="AF148" s="18" t="n">
        <x:v>0</x:v>
      </x:c>
      <x:c r="AG148" s="18" t="n">
        <x:v>0</x:v>
      </x:c>
      <x:c r="AH148" s="18" t="n">
        <x:v>0</x:v>
      </x:c>
      <x:c r="AI148" s="18" t="n">
        <x:v>0</x:v>
      </x:c>
      <x:c r="AJ148" s="18" t="n">
        <x:v>48</x:v>
      </x:c>
      <x:c r="AK148" s="18" t="n">
        <x:v>0</x:v>
      </x:c>
      <x:c r="AL148" s="18" t="n">
        <x:v>16</x:v>
      </x:c>
      <x:c r="AM148" s="18" t="n">
        <x:v>41</x:v>
      </x:c>
      <x:c r="AN148" s="18" t="n">
        <x:v>14</x:v>
      </x:c>
      <x:c r="AO148" s="18" t="n">
        <x:v>0</x:v>
      </x:c>
      <x:c r="AP148" s="18" t="n">
        <x:v>0</x:v>
      </x:c>
      <x:c r="AQ148" s="18" t="n">
        <x:v>0</x:v>
      </x:c>
      <x:c r="AR148" s="18" t="n">
        <x:v>0</x:v>
      </x:c>
      <x:c r="AS148" s="18" t="n">
        <x:v>0</x:v>
      </x:c>
      <x:c r="AT148" s="18" t="n">
        <x:v>0</x:v>
      </x:c>
      <x:c r="AU148" s="18" t="n">
        <x:v>0</x:v>
      </x:c>
      <x:c r="AV148" s="18" t="n">
        <x:v>113</x:v>
      </x:c>
      <x:c r="AW148" s="18" t="n">
        <x:v>0</x:v>
      </x:c>
      <x:c r="AX148" s="18" t="n">
        <x:v>0</x:v>
      </x:c>
      <x:c r="AY148" s="18" t="n">
        <x:v>0</x:v>
      </x:c>
      <x:c r="AZ148" s="18" t="n">
        <x:v>0</x:v>
      </x:c>
      <x:c r="BA148" s="18" t="n">
        <x:v>0</x:v>
      </x:c>
      <x:c r="BB148" s="18" t="n">
        <x:v>0</x:v>
      </x:c>
      <x:c r="BC148" s="18" t="n">
        <x:v>0</x:v>
      </x:c>
      <x:c r="BD148" s="18" t="n">
        <x:v>0</x:v>
      </x:c>
      <x:c r="BE148" s="18" t="n">
        <x:v>0</x:v>
      </x:c>
      <x:c r="BF148" s="18" t="n">
        <x:v>9</x:v>
      </x:c>
      <x:c r="BG148" s="18" t="n">
        <x:v>0</x:v>
      </x:c>
    </x:row>
    <x:row r="149">
      <x:c r="A149" s="29" t="str">
        <x:v>220</x:v>
      </x:c>
      <x:c r="B149" s="17" t="n">
        <x:v>2952</x:v>
      </x:c>
      <x:c r="C149" s="17" t="str">
        <x:v>בי"ס אילנשיל אופקים</x:v>
      </x:c>
      <x:c r="D149" s="17" t="str">
        <x:v>דרך הים 44</x:v>
      </x:c>
      <x:c r="E149" s="17" t="str">
        <x:v>גבוה מאוד</x:v>
      </x:c>
      <x:c r="F149" s="18" t="n">
        <x:v>505</x:v>
      </x:c>
      <x:c r="G149" s="18" t="n">
        <x:v>290</x:v>
      </x:c>
      <x:c r="H149" s="19" t="n">
        <x:f>IFERROR(G149/F149,0)</x:f>
        <x:v>0.5742574257425742</x:v>
      </x:c>
      <x:c r="I149" s="18" t="n">
        <x:v>1</x:v>
      </x:c>
      <x:c r="J149" s="18" t="n">
        <x:v>289</x:v>
      </x:c>
      <x:c r="K149" s="18" t="n">
        <x:f>SUM(AM149,BF149,W149,AD149)</x:f>
        <x:v>76</x:v>
      </x:c>
      <x:c r="L149" s="18" t="n">
        <x:f>Q149+R149</x:f>
        <x:v>207</x:v>
      </x:c>
      <x:c r="M149" s="19" t="n">
        <x:f>IFERROR(K149/J149,0)</x:f>
        <x:v>0.2629757785467128</x:v>
      </x:c>
      <x:c r="N149" s="19" t="n">
        <x:f>IFERROR(L149/J149,0)</x:f>
        <x:v>0.7162629757785467</x:v>
      </x:c>
      <x:c r="O149" s="17" t="str">
        <x:f>IF(K149&gt;MAX(L149,S149),"קואליציית ההקמה 2022",IF(L149&gt;MAX(K149,S149),"אופוזיציה רחבה 2022","רשימות אחרות"))</x:f>
        <x:v>אופוזיציה רחבה 2022</x:v>
      </x:c>
      <x:c r="P149" s="17" t="str">
        <x:f>IF(AND(H149&lt;50%,N149&gt;50%),"כן","לא")</x:f>
        <x:v>לא</x:v>
      </x:c>
      <x:c r="Q149" s="18" t="n">
        <x:f>SUM(AV149,AJ149,AL149,T149,AN149)</x:f>
        <x:v>201</x:v>
      </x:c>
      <x:c r="R149" s="18" t="n">
        <x:f>SUM(Y149,AU149,X149)</x:f>
        <x:v>6</x:v>
      </x:c>
      <x:c r="S149" s="18" t="n">
        <x:f>J149-K149-L149</x:f>
        <x:v>6</x:v>
      </x:c>
      <x:c r="T149" s="18" t="n">
        <x:v>24</x:v>
      </x:c>
      <x:c r="U149" s="18" t="n">
        <x:v>1</x:v>
      </x:c>
      <x:c r="V149" s="18" t="n">
        <x:v>1</x:v>
      </x:c>
      <x:c r="W149" s="18" t="n">
        <x:v>0</x:v>
      </x:c>
      <x:c r="X149" s="18" t="n">
        <x:v>2</x:v>
      </x:c>
      <x:c r="Y149" s="18" t="n">
        <x:v>4</x:v>
      </x:c>
      <x:c r="Z149" s="18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11</x:v>
      </x:c>
      <x:c r="AE149" s="18" t="n">
        <x:v>0</x:v>
      </x:c>
      <x:c r="AF149" s="18" t="n">
        <x:v>2</x:v>
      </x:c>
      <x:c r="AG149" s="18" t="n">
        <x:v>0</x:v>
      </x:c>
      <x:c r="AH149" s="18" t="n">
        <x:v>0</x:v>
      </x:c>
      <x:c r="AI149" s="18" t="n">
        <x:v>0</x:v>
      </x:c>
      <x:c r="AJ149" s="18" t="n">
        <x:v>37</x:v>
      </x:c>
      <x:c r="AK149" s="18" t="n">
        <x:v>0</x:v>
      </x:c>
      <x:c r="AL149" s="18" t="n">
        <x:v>9</x:v>
      </x:c>
      <x:c r="AM149" s="18" t="n">
        <x:v>61</x:v>
      </x:c>
      <x:c r="AN149" s="18" t="n">
        <x:v>18</x:v>
      </x:c>
      <x:c r="AO149" s="18" t="n">
        <x:v>0</x:v>
      </x:c>
      <x:c r="AP149" s="18" t="n">
        <x:v>0</x:v>
      </x:c>
      <x:c r="AQ149" s="18" t="n">
        <x:v>0</x:v>
      </x:c>
      <x:c r="AR149" s="18" t="n">
        <x:v>0</x:v>
      </x:c>
      <x:c r="AS149" s="18" t="n">
        <x:v>0</x:v>
      </x:c>
      <x:c r="AT149" s="18" t="n">
        <x:v>0</x:v>
      </x:c>
      <x:c r="AU149" s="18" t="n">
        <x:v>0</x:v>
      </x:c>
      <x:c r="AV149" s="18" t="n">
        <x:v>113</x:v>
      </x:c>
      <x:c r="AW149" s="18" t="n">
        <x:v>0</x:v>
      </x:c>
      <x:c r="AX149" s="18" t="n">
        <x:v>0</x:v>
      </x:c>
      <x:c r="AY149" s="18" t="n">
        <x:v>1</x:v>
      </x:c>
      <x:c r="AZ149" s="18" t="n">
        <x:v>0</x:v>
      </x:c>
      <x:c r="BA149" s="18" t="n">
        <x:v>0</x:v>
      </x:c>
      <x:c r="BB149" s="18" t="n">
        <x:v>0</x:v>
      </x:c>
      <x:c r="BC149" s="18" t="n">
        <x:v>0</x:v>
      </x:c>
      <x:c r="BD149" s="18" t="n">
        <x:v>0</x:v>
      </x:c>
      <x:c r="BE149" s="18" t="n">
        <x:v>1</x:v>
      </x:c>
      <x:c r="BF149" s="18" t="n">
        <x:v>4</x:v>
      </x:c>
      <x:c r="BG149" s="18" t="n">
        <x:v>0</x:v>
      </x:c>
    </x:row>
    <x:row r="150">
      <x:c r="A150" s="29" t="str">
        <x:v>227</x:v>
      </x:c>
      <x:c r="B150" s="17" t="n">
        <x:v>2999</x:v>
      </x:c>
      <x:c r="C150" s="17" t="str">
        <x:v>בי"ס חופית</x:v>
      </x:c>
      <x:c r="D150" s="17" t="str">
        <x:v>החיננית 3</x:v>
      </x:c>
      <x:c r="E150" s="17" t="str">
        <x:v>גבוה מאוד</x:v>
      </x:c>
      <x:c r="F150" s="18" t="n">
        <x:v>648</x:v>
      </x:c>
      <x:c r="G150" s="18" t="n">
        <x:v>260</x:v>
      </x:c>
      <x:c r="H150" s="19" t="n">
        <x:f>IFERROR(G150/F150,0)</x:f>
        <x:v>0.4012345679012346</x:v>
      </x:c>
      <x:c r="I150" s="18" t="n">
        <x:v>3</x:v>
      </x:c>
      <x:c r="J150" s="18" t="n">
        <x:v>257</x:v>
      </x:c>
      <x:c r="K150" s="18" t="n">
        <x:f>SUM(AM150,BF150,W150,AD150)</x:f>
        <x:v>102</x:v>
      </x:c>
      <x:c r="L150" s="18" t="n">
        <x:f>Q150+R150</x:f>
        <x:v>148</x:v>
      </x:c>
      <x:c r="M150" s="19" t="n">
        <x:f>IFERROR(K150/J150,0)</x:f>
        <x:v>0.3968871595330739</x:v>
      </x:c>
      <x:c r="N150" s="19" t="n">
        <x:f>IFERROR(L150/J150,0)</x:f>
        <x:v>0.5758754863813229</x:v>
      </x:c>
      <x:c r="O150" s="17" t="str">
        <x:f>IF(K150&gt;MAX(L150,S150),"קואליציית ההקמה 2022",IF(L150&gt;MAX(K150,S150),"אופוזיציה רחבה 2022","רשימות אחרות"))</x:f>
        <x:v>אופוזיציה רחבה 2022</x:v>
      </x:c>
      <x:c r="P150" s="17" t="str">
        <x:f>IF(AND(H150&lt;50%,N150&gt;50%),"כן","לא")</x:f>
        <x:v>כן</x:v>
      </x:c>
      <x:c r="Q150" s="18" t="n">
        <x:f>SUM(AV150,AJ150,AL150,T150,AN150)</x:f>
        <x:v>144</x:v>
      </x:c>
      <x:c r="R150" s="18" t="n">
        <x:f>SUM(Y150,AU150,X150)</x:f>
        <x:v>4</x:v>
      </x:c>
      <x:c r="S150" s="18" t="n">
        <x:f>J150-K150-L150</x:f>
        <x:v>7</x:v>
      </x:c>
      <x:c r="T150" s="18" t="n">
        <x:v>5</x:v>
      </x:c>
      <x:c r="U150" s="18" t="n">
        <x:v>0</x:v>
      </x:c>
      <x:c r="V150" s="18" t="n">
        <x:v>2</x:v>
      </x:c>
      <x:c r="W150" s="18" t="n">
        <x:v>1</x:v>
      </x:c>
      <x:c r="X150" s="18" t="n">
        <x:v>1</x:v>
      </x:c>
      <x:c r="Y150" s="18" t="n">
        <x:v>2</x:v>
      </x:c>
      <x:c r="Z150" s="18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18</x:v>
      </x:c>
      <x:c r="AE150" s="18" t="n">
        <x:v>0</x:v>
      </x:c>
      <x:c r="AF150" s="18" t="n">
        <x:v>0</x:v>
      </x:c>
      <x:c r="AG150" s="18" t="n">
        <x:v>0</x:v>
      </x:c>
      <x:c r="AH150" s="18" t="n">
        <x:v>0</x:v>
      </x:c>
      <x:c r="AI150" s="18" t="n">
        <x:v>0</x:v>
      </x:c>
      <x:c r="AJ150" s="18" t="n">
        <x:v>14</x:v>
      </x:c>
      <x:c r="AK150" s="18" t="n">
        <x:v>0</x:v>
      </x:c>
      <x:c r="AL150" s="18" t="n">
        <x:v>61</x:v>
      </x:c>
      <x:c r="AM150" s="18" t="n">
        <x:v>76</x:v>
      </x:c>
      <x:c r="AN150" s="18" t="n">
        <x:v>4</x:v>
      </x:c>
      <x:c r="AO150" s="18" t="n">
        <x:v>0</x:v>
      </x:c>
      <x:c r="AP150" s="18" t="n">
        <x:v>1</x:v>
      </x:c>
      <x:c r="AQ150" s="18" t="n">
        <x:v>0</x:v>
      </x:c>
      <x:c r="AR150" s="18" t="n">
        <x:v>0</x:v>
      </x:c>
      <x:c r="AS150" s="18" t="n">
        <x:v>0</x:v>
      </x:c>
      <x:c r="AT150" s="18" t="n">
        <x:v>0</x:v>
      </x:c>
      <x:c r="AU150" s="18" t="n">
        <x:v>1</x:v>
      </x:c>
      <x:c r="AV150" s="18" t="n">
        <x:v>60</x:v>
      </x:c>
      <x:c r="AW150" s="18" t="n">
        <x:v>0</x:v>
      </x:c>
      <x:c r="AX150" s="18" t="n">
        <x:v>2</x:v>
      </x:c>
      <x:c r="AY150" s="18" t="n">
        <x:v>0</x:v>
      </x:c>
      <x:c r="AZ150" s="18" t="n">
        <x:v>1</x:v>
      </x:c>
      <x:c r="BA150" s="18" t="n">
        <x:v>0</x:v>
      </x:c>
      <x:c r="BB150" s="18" t="n">
        <x:v>0</x:v>
      </x:c>
      <x:c r="BC150" s="18" t="n">
        <x:v>1</x:v>
      </x:c>
      <x:c r="BD150" s="18" t="n">
        <x:v>0</x:v>
      </x:c>
      <x:c r="BE150" s="18" t="n">
        <x:v>0</x:v>
      </x:c>
      <x:c r="BF150" s="18" t="n">
        <x:v>7</x:v>
      </x:c>
      <x:c r="BG150" s="18" t="n">
        <x:v>0</x:v>
      </x:c>
    </x:row>
    <x:row r="151">
      <x:c r="A151" s="29" t="str">
        <x:v>228</x:v>
      </x:c>
      <x:c r="B151" s="17" t="n">
        <x:v>2953</x:v>
      </x:c>
      <x:c r="C151" s="17" t="str">
        <x:v>בי"ס אבן גבירול</x:v>
      </x:c>
      <x:c r="D151" s="17" t="str">
        <x:v>בודנהיימר מקס ד"ר 7</x:v>
      </x:c>
      <x:c r="E151" s="17" t="str">
        <x:v>גבוה מאוד</x:v>
      </x:c>
      <x:c r="F151" s="18" t="n">
        <x:v>567</x:v>
      </x:c>
      <x:c r="G151" s="18" t="n">
        <x:v>229</x:v>
      </x:c>
      <x:c r="H151" s="19" t="n">
        <x:f>IFERROR(G151/F151,0)</x:f>
        <x:v>0.4038800705467372</x:v>
      </x:c>
      <x:c r="I151" s="18" t="n">
        <x:v>3</x:v>
      </x:c>
      <x:c r="J151" s="18" t="n">
        <x:v>226</x:v>
      </x:c>
      <x:c r="K151" s="18" t="n">
        <x:f>SUM(AM151,BF151,W151,AD151)</x:f>
        <x:v>96</x:v>
      </x:c>
      <x:c r="L151" s="18" t="n">
        <x:f>Q151+R151</x:f>
        <x:v>126</x:v>
      </x:c>
      <x:c r="M151" s="19" t="n">
        <x:f>IFERROR(K151/J151,0)</x:f>
        <x:v>0.4247787610619469</x:v>
      </x:c>
      <x:c r="N151" s="19" t="n">
        <x:f>IFERROR(L151/J151,0)</x:f>
        <x:v>0.5575221238938053</x:v>
      </x:c>
      <x:c r="O151" s="17" t="str">
        <x:f>IF(K151&gt;MAX(L151,S151),"קואליציית ההקמה 2022",IF(L151&gt;MAX(K151,S151),"אופוזיציה רחבה 2022","רשימות אחרות"))</x:f>
        <x:v>אופוזיציה רחבה 2022</x:v>
      </x:c>
      <x:c r="P151" s="17" t="str">
        <x:f>IF(AND(H151&lt;50%,N151&gt;50%),"כן","לא")</x:f>
        <x:v>כן</x:v>
      </x:c>
      <x:c r="Q151" s="18" t="n">
        <x:f>SUM(AV151,AJ151,AL151,T151,AN151)</x:f>
        <x:v>125</x:v>
      </x:c>
      <x:c r="R151" s="18" t="n">
        <x:f>SUM(Y151,AU151,X151)</x:f>
        <x:v>1</x:v>
      </x:c>
      <x:c r="S151" s="18" t="n">
        <x:f>J151-K151-L151</x:f>
        <x:v>4</x:v>
      </x:c>
      <x:c r="T151" s="18" t="n">
        <x:v>2</x:v>
      </x:c>
      <x:c r="U151" s="18" t="n">
        <x:v>2</x:v>
      </x:c>
      <x:c r="V151" s="18" t="n">
        <x:v>0</x:v>
      </x:c>
      <x:c r="W151" s="18" t="n">
        <x:v>2</x:v>
      </x:c>
      <x:c r="X151" s="18" t="n">
        <x:v>0</x:v>
      </x:c>
      <x:c r="Y151" s="18" t="n">
        <x:v>1</x:v>
      </x:c>
      <x:c r="Z151" s="18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13</x:v>
      </x:c>
      <x:c r="AE151" s="18" t="n">
        <x:v>1</x:v>
      </x:c>
      <x:c r="AF151" s="18" t="n">
        <x:v>1</x:v>
      </x:c>
      <x:c r="AG151" s="18" t="n">
        <x:v>0</x:v>
      </x:c>
      <x:c r="AH151" s="18" t="n">
        <x:v>0</x:v>
      </x:c>
      <x:c r="AI151" s="18" t="n">
        <x:v>0</x:v>
      </x:c>
      <x:c r="AJ151" s="18" t="n">
        <x:v>17</x:v>
      </x:c>
      <x:c r="AK151" s="18" t="n">
        <x:v>0</x:v>
      </x:c>
      <x:c r="AL151" s="18" t="n">
        <x:v>42</x:v>
      </x:c>
      <x:c r="AM151" s="18" t="n">
        <x:v>71</x:v>
      </x:c>
      <x:c r="AN151" s="18" t="n">
        <x:v>5</x:v>
      </x:c>
      <x:c r="AO151" s="18" t="n">
        <x:v>0</x:v>
      </x:c>
      <x:c r="AP151" s="18" t="n">
        <x:v>0</x:v>
      </x:c>
      <x:c r="AQ151" s="18" t="n">
        <x:v>0</x:v>
      </x:c>
      <x:c r="AR151" s="18" t="n">
        <x:v>0</x:v>
      </x:c>
      <x:c r="AS151" s="18" t="n">
        <x:v>0</x:v>
      </x:c>
      <x:c r="AT151" s="18" t="n">
        <x:v>0</x:v>
      </x:c>
      <x:c r="AU151" s="18" t="n">
        <x:v>0</x:v>
      </x:c>
      <x:c r="AV151" s="18" t="n">
        <x:v>59</x:v>
      </x:c>
      <x:c r="AW151" s="18" t="n">
        <x:v>0</x:v>
      </x:c>
      <x:c r="AX151" s="18" t="n">
        <x:v>0</x:v>
      </x:c>
      <x:c r="AY151" s="18" t="n">
        <x:v>0</x:v>
      </x:c>
      <x:c r="AZ151" s="18" t="n">
        <x:v>0</x:v>
      </x:c>
      <x:c r="BA151" s="18" t="n">
        <x:v>0</x:v>
      </x:c>
      <x:c r="BB151" s="18" t="n">
        <x:v>0</x:v>
      </x:c>
      <x:c r="BC151" s="18" t="n">
        <x:v>0</x:v>
      </x:c>
      <x:c r="BD151" s="18" t="n">
        <x:v>0</x:v>
      </x:c>
      <x:c r="BE151" s="18" t="n">
        <x:v>0</x:v>
      </x:c>
      <x:c r="BF151" s="18" t="n">
        <x:v>10</x:v>
      </x:c>
      <x:c r="BG151" s="18" t="n">
        <x:v>0</x:v>
      </x:c>
    </x:row>
    <x:row r="152">
      <x:c r="A152" s="29" t="str">
        <x:v>229</x:v>
      </x:c>
      <x:c r="B152" s="17" t="n">
        <x:v>2954</x:v>
      </x:c>
      <x:c r="C152" s="17" t="str">
        <x:v>בי"ס אבן גבירול</x:v>
      </x:c>
      <x:c r="D152" s="17" t="str">
        <x:v>בודנהיימר מקס ד"ר 7</x:v>
      </x:c>
      <x:c r="E152" s="17" t="str">
        <x:v>גבוה מאוד</x:v>
      </x:c>
      <x:c r="F152" s="18" t="n">
        <x:v>627</x:v>
      </x:c>
      <x:c r="G152" s="18" t="n">
        <x:v>326</x:v>
      </x:c>
      <x:c r="H152" s="19" t="n">
        <x:f>IFERROR(G152/F152,0)</x:f>
        <x:v>0.5199362041467305</x:v>
      </x:c>
      <x:c r="I152" s="18" t="n">
        <x:v>3</x:v>
      </x:c>
      <x:c r="J152" s="18" t="n">
        <x:v>323</x:v>
      </x:c>
      <x:c r="K152" s="18" t="n">
        <x:f>SUM(AM152,BF152,W152,AD152)</x:f>
        <x:v>133</x:v>
      </x:c>
      <x:c r="L152" s="18" t="n">
        <x:f>Q152+R152</x:f>
        <x:v>178</x:v>
      </x:c>
      <x:c r="M152" s="19" t="n">
        <x:f>IFERROR(K152/J152,0)</x:f>
        <x:v>0.4117647058823529</x:v>
      </x:c>
      <x:c r="N152" s="19" t="n">
        <x:f>IFERROR(L152/J152,0)</x:f>
        <x:v>0.5510835913312694</x:v>
      </x:c>
      <x:c r="O152" s="17" t="str">
        <x:f>IF(K152&gt;MAX(L152,S152),"קואליציית ההקמה 2022",IF(L152&gt;MAX(K152,S152),"אופוזיציה רחבה 2022","רשימות אחרות"))</x:f>
        <x:v>אופוזיציה רחבה 2022</x:v>
      </x:c>
      <x:c r="P152" s="17" t="str">
        <x:f>IF(AND(H152&lt;50%,N152&gt;50%),"כן","לא")</x:f>
        <x:v>לא</x:v>
      </x:c>
      <x:c r="Q152" s="18" t="n">
        <x:f>SUM(AV152,AJ152,AL152,T152,AN152)</x:f>
        <x:v>172</x:v>
      </x:c>
      <x:c r="R152" s="18" t="n">
        <x:f>SUM(Y152,AU152,X152)</x:f>
        <x:v>6</x:v>
      </x:c>
      <x:c r="S152" s="18" t="n">
        <x:f>J152-K152-L152</x:f>
        <x:v>12</x:v>
      </x:c>
      <x:c r="T152" s="18" t="n">
        <x:v>14</x:v>
      </x:c>
      <x:c r="U152" s="18" t="n">
        <x:v>1</x:v>
      </x:c>
      <x:c r="V152" s="18" t="n">
        <x:v>0</x:v>
      </x:c>
      <x:c r="W152" s="18" t="n">
        <x:v>1</x:v>
      </x:c>
      <x:c r="X152" s="18" t="n">
        <x:v>3</x:v>
      </x:c>
      <x:c r="Y152" s="18" t="n">
        <x:v>2</x:v>
      </x:c>
      <x:c r="Z152" s="18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20</x:v>
      </x:c>
      <x:c r="AE152" s="18" t="n">
        <x:v>1</x:v>
      </x:c>
      <x:c r="AF152" s="18" t="n">
        <x:v>2</x:v>
      </x:c>
      <x:c r="AG152" s="18" t="n">
        <x:v>0</x:v>
      </x:c>
      <x:c r="AH152" s="18" t="n">
        <x:v>0</x:v>
      </x:c>
      <x:c r="AI152" s="18" t="n">
        <x:v>0</x:v>
      </x:c>
      <x:c r="AJ152" s="18" t="n">
        <x:v>19</x:v>
      </x:c>
      <x:c r="AK152" s="18" t="n">
        <x:v>0</x:v>
      </x:c>
      <x:c r="AL152" s="18" t="n">
        <x:v>48</x:v>
      </x:c>
      <x:c r="AM152" s="18" t="n">
        <x:v>103</x:v>
      </x:c>
      <x:c r="AN152" s="18" t="n">
        <x:v>6</x:v>
      </x:c>
      <x:c r="AO152" s="18" t="n">
        <x:v>0</x:v>
      </x:c>
      <x:c r="AP152" s="18" t="n">
        <x:v>0</x:v>
      </x:c>
      <x:c r="AQ152" s="18" t="n">
        <x:v>0</x:v>
      </x:c>
      <x:c r="AR152" s="18" t="n">
        <x:v>0</x:v>
      </x:c>
      <x:c r="AS152" s="18" t="n">
        <x:v>0</x:v>
      </x:c>
      <x:c r="AT152" s="18" t="n">
        <x:v>0</x:v>
      </x:c>
      <x:c r="AU152" s="18" t="n">
        <x:v>1</x:v>
      </x:c>
      <x:c r="AV152" s="18" t="n">
        <x:v>85</x:v>
      </x:c>
      <x:c r="AW152" s="18" t="n">
        <x:v>1</x:v>
      </x:c>
      <x:c r="AX152" s="18" t="n">
        <x:v>2</x:v>
      </x:c>
      <x:c r="AY152" s="18" t="n">
        <x:v>0</x:v>
      </x:c>
      <x:c r="AZ152" s="18" t="n">
        <x:v>0</x:v>
      </x:c>
      <x:c r="BA152" s="18" t="n">
        <x:v>0</x:v>
      </x:c>
      <x:c r="BB152" s="18" t="n">
        <x:v>0</x:v>
      </x:c>
      <x:c r="BC152" s="18" t="n">
        <x:v>1</x:v>
      </x:c>
      <x:c r="BD152" s="18" t="n">
        <x:v>4</x:v>
      </x:c>
      <x:c r="BE152" s="18" t="n">
        <x:v>0</x:v>
      </x:c>
      <x:c r="BF152" s="18" t="n">
        <x:v>9</x:v>
      </x:c>
      <x:c r="BG152" s="18" t="n">
        <x:v>0</x:v>
      </x:c>
    </x:row>
    <x:row r="153">
      <x:c r="A153" s="29" t="str">
        <x:v>231.1</x:v>
      </x:c>
      <x:c r="B153" s="17" t="n">
        <x:v>2955</x:v>
      </x:c>
      <x:c r="C153" s="17" t="str">
        <x:v>בי"ס ליאו בק + מתנ"ס</x:v>
      </x:c>
      <x:c r="D153" s="17" t="str">
        <x:v>טשרניחובסקי 71</x:v>
      </x:c>
      <x:c r="E153" s="17" t="str">
        <x:v>גבוה מאוד</x:v>
      </x:c>
      <x:c r="F153" s="18" t="n">
        <x:v>583</x:v>
      </x:c>
      <x:c r="G153" s="18" t="n">
        <x:v>362</x:v>
      </x:c>
      <x:c r="H153" s="19" t="n">
        <x:f>IFERROR(G153/F153,0)</x:f>
        <x:v>0.6209262435677531</x:v>
      </x:c>
      <x:c r="I153" s="18" t="n">
        <x:v>1</x:v>
      </x:c>
      <x:c r="J153" s="18" t="n">
        <x:v>361</x:v>
      </x:c>
      <x:c r="K153" s="18" t="n">
        <x:f>SUM(AM153,BF153,W153,AD153)</x:f>
        <x:v>142</x:v>
      </x:c>
      <x:c r="L153" s="18" t="n">
        <x:f>Q153+R153</x:f>
        <x:v>210</x:v>
      </x:c>
      <x:c r="M153" s="19" t="n">
        <x:f>IFERROR(K153/J153,0)</x:f>
        <x:v>0.39335180055401664</x:v>
      </x:c>
      <x:c r="N153" s="19" t="n">
        <x:f>IFERROR(L153/J153,0)</x:f>
        <x:v>0.5817174515235457</x:v>
      </x:c>
      <x:c r="O153" s="17" t="str">
        <x:f>IF(K153&gt;MAX(L153,S153),"קואליציית ההקמה 2022",IF(L153&gt;MAX(K153,S153),"אופוזיציה רחבה 2022","רשימות אחרות"))</x:f>
        <x:v>אופוזיציה רחבה 2022</x:v>
      </x:c>
      <x:c r="P153" s="17" t="str">
        <x:f>IF(AND(H153&lt;50%,N153&gt;50%),"כן","לא")</x:f>
        <x:v>לא</x:v>
      </x:c>
      <x:c r="Q153" s="18" t="n">
        <x:f>SUM(AV153,AJ153,AL153,T153,AN153)</x:f>
        <x:v>189</x:v>
      </x:c>
      <x:c r="R153" s="18" t="n">
        <x:f>SUM(Y153,AU153,X153)</x:f>
        <x:v>21</x:v>
      </x:c>
      <x:c r="S153" s="18" t="n">
        <x:f>J153-K153-L153</x:f>
        <x:v>9</x:v>
      </x:c>
      <x:c r="T153" s="18" t="n">
        <x:v>14</x:v>
      </x:c>
      <x:c r="U153" s="18" t="n">
        <x:v>3</x:v>
      </x:c>
      <x:c r="V153" s="18" t="n">
        <x:v>1</x:v>
      </x:c>
      <x:c r="W153" s="18" t="n">
        <x:v>0</x:v>
      </x:c>
      <x:c r="X153" s="18" t="n">
        <x:v>4</x:v>
      </x:c>
      <x:c r="Y153" s="18" t="n">
        <x:v>15</x:v>
      </x:c>
      <x:c r="Z153" s="18" t="n">
        <x:v>0</x:v>
      </x:c>
      <x:c r="AA153" s="18" t="n">
        <x:v>0</x:v>
      </x:c>
      <x:c r="AB153" s="18" t="n">
        <x:v>0</x:v>
      </x:c>
      <x:c r="AC153" s="18" t="n">
        <x:v>1</x:v>
      </x:c>
      <x:c r="AD153" s="18" t="n">
        <x:v>22</x:v>
      </x:c>
      <x:c r="AE153" s="18" t="n">
        <x:v>0</x:v>
      </x:c>
      <x:c r="AF153" s="18" t="n">
        <x:v>2</x:v>
      </x:c>
      <x:c r="AG153" s="18" t="n">
        <x:v>0</x:v>
      </x:c>
      <x:c r="AH153" s="18" t="n">
        <x:v>0</x:v>
      </x:c>
      <x:c r="AI153" s="18" t="n">
        <x:v>0</x:v>
      </x:c>
      <x:c r="AJ153" s="18" t="n">
        <x:v>44</x:v>
      </x:c>
      <x:c r="AK153" s="18" t="n">
        <x:v>0</x:v>
      </x:c>
      <x:c r="AL153" s="18" t="n">
        <x:v>27</x:v>
      </x:c>
      <x:c r="AM153" s="18" t="n">
        <x:v>112</x:v>
      </x:c>
      <x:c r="AN153" s="18" t="n">
        <x:v>16</x:v>
      </x:c>
      <x:c r="AO153" s="18" t="n">
        <x:v>0</x:v>
      </x:c>
      <x:c r="AP153" s="18" t="n">
        <x:v>0</x:v>
      </x:c>
      <x:c r="AQ153" s="18" t="n">
        <x:v>0</x:v>
      </x:c>
      <x:c r="AR153" s="18" t="n">
        <x:v>0</x:v>
      </x:c>
      <x:c r="AS153" s="18" t="n">
        <x:v>0</x:v>
      </x:c>
      <x:c r="AT153" s="18" t="n">
        <x:v>0</x:v>
      </x:c>
      <x:c r="AU153" s="18" t="n">
        <x:v>2</x:v>
      </x:c>
      <x:c r="AV153" s="18" t="n">
        <x:v>88</x:v>
      </x:c>
      <x:c r="AW153" s="18" t="n">
        <x:v>0</x:v>
      </x:c>
      <x:c r="AX153" s="18" t="n">
        <x:v>0</x:v>
      </x:c>
      <x:c r="AY153" s="18" t="n">
        <x:v>0</x:v>
      </x:c>
      <x:c r="AZ153" s="18" t="n">
        <x:v>0</x:v>
      </x:c>
      <x:c r="BA153" s="18" t="n">
        <x:v>0</x:v>
      </x:c>
      <x:c r="BB153" s="18" t="n">
        <x:v>1</x:v>
      </x:c>
      <x:c r="BC153" s="18" t="n">
        <x:v>0</x:v>
      </x:c>
      <x:c r="BD153" s="18" t="n">
        <x:v>1</x:v>
      </x:c>
      <x:c r="BE153" s="18" t="n">
        <x:v>0</x:v>
      </x:c>
      <x:c r="BF153" s="18" t="n">
        <x:v>8</x:v>
      </x:c>
      <x:c r="BG153" s="18" t="n">
        <x:v>0</x:v>
      </x:c>
    </x:row>
    <x:row r="154">
      <x:c r="A154" s="29" t="str">
        <x:v>231.2</x:v>
      </x:c>
      <x:c r="B154" s="17" t="n">
        <x:v>2956</x:v>
      </x:c>
      <x:c r="C154" s="17" t="str">
        <x:v>בי"ס ליאו בק + מתנ"ס</x:v>
      </x:c>
      <x:c r="D154" s="17" t="str">
        <x:v>טשרניחובסקי 71</x:v>
      </x:c>
      <x:c r="E154" s="17" t="str">
        <x:v>גבוה מאוד</x:v>
      </x:c>
      <x:c r="F154" s="18" t="n">
        <x:v>583</x:v>
      </x:c>
      <x:c r="G154" s="18" t="n">
        <x:v>360</x:v>
      </x:c>
      <x:c r="H154" s="19" t="n">
        <x:f>IFERROR(G154/F154,0)</x:f>
        <x:v>0.6174957118353345</x:v>
      </x:c>
      <x:c r="I154" s="18" t="n">
        <x:v>0</x:v>
      </x:c>
      <x:c r="J154" s="18" t="n">
        <x:v>360</x:v>
      </x:c>
      <x:c r="K154" s="18" t="n">
        <x:f>SUM(AM154,BF154,W154,AD154)</x:f>
        <x:v>134</x:v>
      </x:c>
      <x:c r="L154" s="18" t="n">
        <x:f>Q154+R154</x:f>
        <x:v>222</x:v>
      </x:c>
      <x:c r="M154" s="19" t="n">
        <x:f>IFERROR(K154/J154,0)</x:f>
        <x:v>0.37222222222222223</x:v>
      </x:c>
      <x:c r="N154" s="19" t="n">
        <x:f>IFERROR(L154/J154,0)</x:f>
        <x:v>0.6166666666666667</x:v>
      </x:c>
      <x:c r="O154" s="17" t="str">
        <x:f>IF(K154&gt;MAX(L154,S154),"קואליציית ההקמה 2022",IF(L154&gt;MAX(K154,S154),"אופוזיציה רחבה 2022","רשימות אחרות"))</x:f>
        <x:v>אופוזיציה רחבה 2022</x:v>
      </x:c>
      <x:c r="P154" s="17" t="str">
        <x:f>IF(AND(H154&lt;50%,N154&gt;50%),"כן","לא")</x:f>
        <x:v>לא</x:v>
      </x:c>
      <x:c r="Q154" s="18" t="n">
        <x:f>SUM(AV154,AJ154,AL154,T154,AN154)</x:f>
        <x:v>185</x:v>
      </x:c>
      <x:c r="R154" s="18" t="n">
        <x:f>SUM(Y154,AU154,X154)</x:f>
        <x:v>37</x:v>
      </x:c>
      <x:c r="S154" s="18" t="n">
        <x:f>J154-K154-L154</x:f>
        <x:v>4</x:v>
      </x:c>
      <x:c r="T154" s="18" t="n">
        <x:v>20</x:v>
      </x:c>
      <x:c r="U154" s="18" t="n">
        <x:v>0</x:v>
      </x:c>
      <x:c r="V154" s="18" t="n">
        <x:v>1</x:v>
      </x:c>
      <x:c r="W154" s="18" t="n">
        <x:v>1</x:v>
      </x:c>
      <x:c r="X154" s="18" t="n">
        <x:v>9</x:v>
      </x:c>
      <x:c r="Y154" s="18" t="n">
        <x:v>24</x:v>
      </x:c>
      <x:c r="Z154" s="18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23</x:v>
      </x:c>
      <x:c r="AE154" s="18" t="n">
        <x:v>0</x:v>
      </x:c>
      <x:c r="AF154" s="18" t="n">
        <x:v>1</x:v>
      </x:c>
      <x:c r="AG154" s="18" t="n">
        <x:v>0</x:v>
      </x:c>
      <x:c r="AH154" s="18" t="n">
        <x:v>0</x:v>
      </x:c>
      <x:c r="AI154" s="18" t="n">
        <x:v>0</x:v>
      </x:c>
      <x:c r="AJ154" s="18" t="n">
        <x:v>43</x:v>
      </x:c>
      <x:c r="AK154" s="18" t="n">
        <x:v>0</x:v>
      </x:c>
      <x:c r="AL154" s="18" t="n">
        <x:v>15</x:v>
      </x:c>
      <x:c r="AM154" s="18" t="n">
        <x:v>108</x:v>
      </x:c>
      <x:c r="AN154" s="18" t="n">
        <x:v>17</x:v>
      </x:c>
      <x:c r="AO154" s="18" t="n">
        <x:v>0</x:v>
      </x:c>
      <x:c r="AP154" s="18" t="n">
        <x:v>0</x:v>
      </x:c>
      <x:c r="AQ154" s="18" t="n">
        <x:v>0</x:v>
      </x:c>
      <x:c r="AR154" s="18" t="n">
        <x:v>0</x:v>
      </x:c>
      <x:c r="AS154" s="18" t="n">
        <x:v>0</x:v>
      </x:c>
      <x:c r="AT154" s="18" t="n">
        <x:v>0</x:v>
      </x:c>
      <x:c r="AU154" s="18" t="n">
        <x:v>4</x:v>
      </x:c>
      <x:c r="AV154" s="18" t="n">
        <x:v>90</x:v>
      </x:c>
      <x:c r="AW154" s="18" t="n">
        <x:v>0</x:v>
      </x:c>
      <x:c r="AX154" s="18" t="n">
        <x:v>0</x:v>
      </x:c>
      <x:c r="AY154" s="18" t="n">
        <x:v>0</x:v>
      </x:c>
      <x:c r="AZ154" s="18" t="n">
        <x:v>0</x:v>
      </x:c>
      <x:c r="BA154" s="18" t="n">
        <x:v>0</x:v>
      </x:c>
      <x:c r="BB154" s="18" t="n">
        <x:v>0</x:v>
      </x:c>
      <x:c r="BC154" s="18" t="n">
        <x:v>0</x:v>
      </x:c>
      <x:c r="BD154" s="18" t="n">
        <x:v>1</x:v>
      </x:c>
      <x:c r="BE154" s="18" t="n">
        <x:v>1</x:v>
      </x:c>
      <x:c r="BF154" s="18" t="n">
        <x:v>2</x:v>
      </x:c>
      <x:c r="BG154" s="18" t="n">
        <x:v>0</x:v>
      </x:c>
    </x:row>
    <x:row r="155">
      <x:c r="A155" s="29" t="str">
        <x:v>231.3</x:v>
      </x:c>
      <x:c r="B155" s="17" t="n">
        <x:v>2957</x:v>
      </x:c>
      <x:c r="C155" s="17" t="str">
        <x:v>בי"ס ליאו בק + מתנ"ס</x:v>
      </x:c>
      <x:c r="D155" s="17" t="str">
        <x:v>טשרניחובסקי 71</x:v>
      </x:c>
      <x:c r="E155" s="17" t="str">
        <x:v>גבוה מאוד</x:v>
      </x:c>
      <x:c r="F155" s="18" t="n">
        <x:v>583</x:v>
      </x:c>
      <x:c r="G155" s="18" t="n">
        <x:v>363</x:v>
      </x:c>
      <x:c r="H155" s="19" t="n">
        <x:f>IFERROR(G155/F155,0)</x:f>
        <x:v>0.6226415094339622</x:v>
      </x:c>
      <x:c r="I155" s="18" t="n">
        <x:v>3</x:v>
      </x:c>
      <x:c r="J155" s="18" t="n">
        <x:v>360</x:v>
      </x:c>
      <x:c r="K155" s="18" t="n">
        <x:f>SUM(AM155,BF155,W155,AD155)</x:f>
        <x:v>101</x:v>
      </x:c>
      <x:c r="L155" s="18" t="n">
        <x:f>Q155+R155</x:f>
        <x:v>252</x:v>
      </x:c>
      <x:c r="M155" s="19" t="n">
        <x:f>IFERROR(K155/J155,0)</x:f>
        <x:v>0.28055555555555556</x:v>
      </x:c>
      <x:c r="N155" s="19" t="n">
        <x:f>IFERROR(L155/J155,0)</x:f>
        <x:v>0.7</x:v>
      </x:c>
      <x:c r="O155" s="17" t="str">
        <x:f>IF(K155&gt;MAX(L155,S155),"קואליציית ההקמה 2022",IF(L155&gt;MAX(K155,S155),"אופוזיציה רחבה 2022","רשימות אחרות"))</x:f>
        <x:v>אופוזיציה רחבה 2022</x:v>
      </x:c>
      <x:c r="P155" s="17" t="str">
        <x:f>IF(AND(H155&lt;50%,N155&gt;50%),"כן","לא")</x:f>
        <x:v>לא</x:v>
      </x:c>
      <x:c r="Q155" s="18" t="n">
        <x:f>SUM(AV155,AJ155,AL155,T155,AN155)</x:f>
        <x:v>210</x:v>
      </x:c>
      <x:c r="R155" s="18" t="n">
        <x:f>SUM(Y155,AU155,X155)</x:f>
        <x:v>42</x:v>
      </x:c>
      <x:c r="S155" s="18" t="n">
        <x:f>J155-K155-L155</x:f>
        <x:v>7</x:v>
      </x:c>
      <x:c r="T155" s="18" t="n">
        <x:v>18</x:v>
      </x:c>
      <x:c r="U155" s="18" t="n">
        <x:v>0</x:v>
      </x:c>
      <x:c r="V155" s="18" t="n">
        <x:v>3</x:v>
      </x:c>
      <x:c r="W155" s="18" t="n">
        <x:v>3</x:v>
      </x:c>
      <x:c r="X155" s="18" t="n">
        <x:v>15</x:v>
      </x:c>
      <x:c r="Y155" s="18" t="n">
        <x:v>25</x:v>
      </x:c>
      <x:c r="Z155" s="18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15</x:v>
      </x:c>
      <x:c r="AE155" s="18" t="n">
        <x:v>0</x:v>
      </x:c>
      <x:c r="AF155" s="18" t="n">
        <x:v>1</x:v>
      </x:c>
      <x:c r="AG155" s="18" t="n">
        <x:v>0</x:v>
      </x:c>
      <x:c r="AH155" s="18" t="n">
        <x:v>0</x:v>
      </x:c>
      <x:c r="AI155" s="18" t="n">
        <x:v>0</x:v>
      </x:c>
      <x:c r="AJ155" s="18" t="n">
        <x:v>36</x:v>
      </x:c>
      <x:c r="AK155" s="18" t="n">
        <x:v>0</x:v>
      </x:c>
      <x:c r="AL155" s="18" t="n">
        <x:v>19</x:v>
      </x:c>
      <x:c r="AM155" s="18" t="n">
        <x:v>82</x:v>
      </x:c>
      <x:c r="AN155" s="18" t="n">
        <x:v>17</x:v>
      </x:c>
      <x:c r="AO155" s="18" t="n">
        <x:v>0</x:v>
      </x:c>
      <x:c r="AP155" s="18" t="n">
        <x:v>1</x:v>
      </x:c>
      <x:c r="AQ155" s="18" t="n">
        <x:v>0</x:v>
      </x:c>
      <x:c r="AR155" s="18" t="n">
        <x:v>0</x:v>
      </x:c>
      <x:c r="AS155" s="18" t="n">
        <x:v>0</x:v>
      </x:c>
      <x:c r="AT155" s="18" t="n">
        <x:v>0</x:v>
      </x:c>
      <x:c r="AU155" s="18" t="n">
        <x:v>2</x:v>
      </x:c>
      <x:c r="AV155" s="18" t="n">
        <x:v>120</x:v>
      </x:c>
      <x:c r="AW155" s="18" t="n">
        <x:v>0</x:v>
      </x:c>
      <x:c r="AX155" s="18" t="n">
        <x:v>1</x:v>
      </x:c>
      <x:c r="AY155" s="18" t="n">
        <x:v>0</x:v>
      </x:c>
      <x:c r="AZ155" s="18" t="n">
        <x:v>0</x:v>
      </x:c>
      <x:c r="BA155" s="18" t="n">
        <x:v>0</x:v>
      </x:c>
      <x:c r="BB155" s="18" t="n">
        <x:v>0</x:v>
      </x:c>
      <x:c r="BC155" s="18" t="n">
        <x:v>0</x:v>
      </x:c>
      <x:c r="BD155" s="18" t="n">
        <x:v>1</x:v>
      </x:c>
      <x:c r="BE155" s="18" t="n">
        <x:v>0</x:v>
      </x:c>
      <x:c r="BF155" s="18" t="n">
        <x:v>1</x:v>
      </x:c>
      <x:c r="BG155" s="18" t="n">
        <x:v>0</x:v>
      </x:c>
    </x:row>
    <x:row r="156">
      <x:c r="A156" s="29" t="str">
        <x:v>232</x:v>
      </x:c>
      <x:c r="B156" s="17" t="n">
        <x:v>2958</x:v>
      </x:c>
      <x:c r="C156" s="17" t="str">
        <x:v>מרכז קריגר</x:v>
      </x:c>
      <x:c r="D156" s="17" t="str">
        <x:v>חכים אליהו 6</x:v>
      </x:c>
      <x:c r="E156" s="17" t="str">
        <x:v>גבוה מאוד</x:v>
      </x:c>
      <x:c r="F156" s="18" t="n">
        <x:v>630</x:v>
      </x:c>
      <x:c r="G156" s="18" t="n">
        <x:v>409</x:v>
      </x:c>
      <x:c r="H156" s="19" t="n">
        <x:f>IFERROR(G156/F156,0)</x:f>
        <x:v>0.6492063492063492</x:v>
      </x:c>
      <x:c r="I156" s="18" t="n">
        <x:v>2</x:v>
      </x:c>
      <x:c r="J156" s="18" t="n">
        <x:v>407</x:v>
      </x:c>
      <x:c r="K156" s="18" t="n">
        <x:f>SUM(AM156,BF156,W156,AD156)</x:f>
        <x:v>115</x:v>
      </x:c>
      <x:c r="L156" s="18" t="n">
        <x:f>Q156+R156</x:f>
        <x:v>278</x:v>
      </x:c>
      <x:c r="M156" s="19" t="n">
        <x:f>IFERROR(K156/J156,0)</x:f>
        <x:v>0.28255528255528256</x:v>
      </x:c>
      <x:c r="N156" s="19" t="n">
        <x:f>IFERROR(L156/J156,0)</x:f>
        <x:v>0.683046683046683</x:v>
      </x:c>
      <x:c r="O156" s="17" t="str">
        <x:f>IF(K156&gt;MAX(L156,S156),"קואליציית ההקמה 2022",IF(L156&gt;MAX(K156,S156),"אופוזיציה רחבה 2022","רשימות אחרות"))</x:f>
        <x:v>אופוזיציה רחבה 2022</x:v>
      </x:c>
      <x:c r="P156" s="17" t="str">
        <x:f>IF(AND(H156&lt;50%,N156&gt;50%),"כן","לא")</x:f>
        <x:v>לא</x:v>
      </x:c>
      <x:c r="Q156" s="18" t="n">
        <x:f>SUM(AV156,AJ156,AL156,T156,AN156)</x:f>
        <x:v>254</x:v>
      </x:c>
      <x:c r="R156" s="18" t="n">
        <x:f>SUM(Y156,AU156,X156)</x:f>
        <x:v>24</x:v>
      </x:c>
      <x:c r="S156" s="18" t="n">
        <x:f>J156-K156-L156</x:f>
        <x:v>14</x:v>
      </x:c>
      <x:c r="T156" s="18" t="n">
        <x:v>19</x:v>
      </x:c>
      <x:c r="U156" s="18" t="n">
        <x:v>8</x:v>
      </x:c>
      <x:c r="V156" s="18" t="n">
        <x:v>3</x:v>
      </x:c>
      <x:c r="W156" s="18" t="n">
        <x:v>1</x:v>
      </x:c>
      <x:c r="X156" s="18" t="n">
        <x:v>9</x:v>
      </x:c>
      <x:c r="Y156" s="18" t="n">
        <x:v>14</x:v>
      </x:c>
      <x:c r="Z156" s="18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22</x:v>
      </x:c>
      <x:c r="AE156" s="18" t="n">
        <x:v>0</x:v>
      </x:c>
      <x:c r="AF156" s="18" t="n">
        <x:v>1</x:v>
      </x:c>
      <x:c r="AG156" s="18" t="n">
        <x:v>0</x:v>
      </x:c>
      <x:c r="AH156" s="18" t="n">
        <x:v>0</x:v>
      </x:c>
      <x:c r="AI156" s="18" t="n">
        <x:v>0</x:v>
      </x:c>
      <x:c r="AJ156" s="18" t="n">
        <x:v>51</x:v>
      </x:c>
      <x:c r="AK156" s="18" t="n">
        <x:v>1</x:v>
      </x:c>
      <x:c r="AL156" s="18" t="n">
        <x:v>14</x:v>
      </x:c>
      <x:c r="AM156" s="18" t="n">
        <x:v>88</x:v>
      </x:c>
      <x:c r="AN156" s="18" t="n">
        <x:v>21</x:v>
      </x:c>
      <x:c r="AO156" s="18" t="n">
        <x:v>0</x:v>
      </x:c>
      <x:c r="AP156" s="18" t="n">
        <x:v>0</x:v>
      </x:c>
      <x:c r="AQ156" s="18" t="n">
        <x:v>0</x:v>
      </x:c>
      <x:c r="AR156" s="18" t="n">
        <x:v>0</x:v>
      </x:c>
      <x:c r="AS156" s="18" t="n">
        <x:v>0</x:v>
      </x:c>
      <x:c r="AT156" s="18" t="n">
        <x:v>0</x:v>
      </x:c>
      <x:c r="AU156" s="18" t="n">
        <x:v>1</x:v>
      </x:c>
      <x:c r="AV156" s="18" t="n">
        <x:v>149</x:v>
      </x:c>
      <x:c r="AW156" s="18" t="n">
        <x:v>0</x:v>
      </x:c>
      <x:c r="AX156" s="18" t="n">
        <x:v>0</x:v>
      </x:c>
      <x:c r="AY156" s="18" t="n">
        <x:v>0</x:v>
      </x:c>
      <x:c r="AZ156" s="18" t="n">
        <x:v>0</x:v>
      </x:c>
      <x:c r="BA156" s="18" t="n">
        <x:v>0</x:v>
      </x:c>
      <x:c r="BB156" s="18" t="n">
        <x:v>1</x:v>
      </x:c>
      <x:c r="BC156" s="18" t="n">
        <x:v>0</x:v>
      </x:c>
      <x:c r="BD156" s="18" t="n">
        <x:v>0</x:v>
      </x:c>
      <x:c r="BE156" s="18" t="n">
        <x:v>0</x:v>
      </x:c>
      <x:c r="BF156" s="18" t="n">
        <x:v>4</x:v>
      </x:c>
      <x:c r="BG156" s="18" t="n">
        <x:v>0</x:v>
      </x:c>
    </x:row>
    <x:row r="157">
      <x:c r="A157" s="29" t="str">
        <x:v>235</x:v>
      </x:c>
      <x:c r="B157" s="17" t="n">
        <x:v>2959</x:v>
      </x:c>
      <x:c r="C157" s="17" t="str">
        <x:v>מתחם גני ילדים</x:v>
      </x:c>
      <x:c r="D157" s="17" t="str">
        <x:v>הרקפות 11</x:v>
      </x:c>
      <x:c r="E157" s="17" t="str">
        <x:v>גבוה מאוד</x:v>
      </x:c>
      <x:c r="F157" s="18" t="n">
        <x:v>537</x:v>
      </x:c>
      <x:c r="G157" s="18" t="n">
        <x:v>346</x:v>
      </x:c>
      <x:c r="H157" s="19" t="n">
        <x:f>IFERROR(G157/F157,0)</x:f>
        <x:v>0.6443202979515829</x:v>
      </x:c>
      <x:c r="I157" s="18" t="n">
        <x:v>1</x:v>
      </x:c>
      <x:c r="J157" s="18" t="n">
        <x:v>345</x:v>
      </x:c>
      <x:c r="K157" s="18" t="n">
        <x:f>SUM(AM157,BF157,W157,AD157)</x:f>
        <x:v>96</x:v>
      </x:c>
      <x:c r="L157" s="18" t="n">
        <x:f>Q157+R157</x:f>
        <x:v>244</x:v>
      </x:c>
      <x:c r="M157" s="19" t="n">
        <x:f>IFERROR(K157/J157,0)</x:f>
        <x:v>0.2782608695652174</x:v>
      </x:c>
      <x:c r="N157" s="19" t="n">
        <x:f>IFERROR(L157/J157,0)</x:f>
        <x:v>0.7072463768115942</x:v>
      </x:c>
      <x:c r="O157" s="17" t="str">
        <x:f>IF(K157&gt;MAX(L157,S157),"קואליציית ההקמה 2022",IF(L157&gt;MAX(K157,S157),"אופוזיציה רחבה 2022","רשימות אחרות"))</x:f>
        <x:v>אופוזיציה רחבה 2022</x:v>
      </x:c>
      <x:c r="P157" s="17" t="str">
        <x:f>IF(AND(H157&lt;50%,N157&gt;50%),"כן","לא")</x:f>
        <x:v>לא</x:v>
      </x:c>
      <x:c r="Q157" s="18" t="n">
        <x:f>SUM(AV157,AJ157,AL157,T157,AN157)</x:f>
        <x:v>242</x:v>
      </x:c>
      <x:c r="R157" s="18" t="n">
        <x:f>SUM(Y157,AU157,X157)</x:f>
        <x:v>2</x:v>
      </x:c>
      <x:c r="S157" s="18" t="n">
        <x:f>J157-K157-L157</x:f>
        <x:v>5</x:v>
      </x:c>
      <x:c r="T157" s="18" t="n">
        <x:v>14</x:v>
      </x:c>
      <x:c r="U157" s="18" t="n">
        <x:v>1</x:v>
      </x:c>
      <x:c r="V157" s="18" t="n">
        <x:v>1</x:v>
      </x:c>
      <x:c r="W157" s="18" t="n">
        <x:v>5</x:v>
      </x:c>
      <x:c r="X157" s="18" t="n">
        <x:v>0</x:v>
      </x:c>
      <x:c r="Y157" s="18" t="n">
        <x:v>2</x:v>
      </x:c>
      <x:c r="Z157" s="18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14</x:v>
      </x:c>
      <x:c r="AE157" s="18" t="n">
        <x:v>0</x:v>
      </x:c>
      <x:c r="AF157" s="18" t="n">
        <x:v>1</x:v>
      </x:c>
      <x:c r="AG157" s="18" t="n">
        <x:v>0</x:v>
      </x:c>
      <x:c r="AH157" s="18" t="n">
        <x:v>0</x:v>
      </x:c>
      <x:c r="AI157" s="18" t="n">
        <x:v>0</x:v>
      </x:c>
      <x:c r="AJ157" s="18" t="n">
        <x:v>52</x:v>
      </x:c>
      <x:c r="AK157" s="18" t="n">
        <x:v>0</x:v>
      </x:c>
      <x:c r="AL157" s="18" t="n">
        <x:v>14</x:v>
      </x:c>
      <x:c r="AM157" s="18" t="n">
        <x:v>70</x:v>
      </x:c>
      <x:c r="AN157" s="18" t="n">
        <x:v>19</x:v>
      </x:c>
      <x:c r="AO157" s="18" t="n">
        <x:v>0</x:v>
      </x:c>
      <x:c r="AP157" s="18" t="n">
        <x:v>0</x:v>
      </x:c>
      <x:c r="AQ157" s="18" t="n">
        <x:v>0</x:v>
      </x:c>
      <x:c r="AR157" s="18" t="n">
        <x:v>0</x:v>
      </x:c>
      <x:c r="AS157" s="18" t="n">
        <x:v>0</x:v>
      </x:c>
      <x:c r="AT157" s="18" t="n">
        <x:v>0</x:v>
      </x:c>
      <x:c r="AU157" s="18" t="n">
        <x:v>0</x:v>
      </x:c>
      <x:c r="AV157" s="18" t="n">
        <x:v>143</x:v>
      </x:c>
      <x:c r="AW157" s="18" t="n">
        <x:v>1</x:v>
      </x:c>
      <x:c r="AX157" s="18" t="n">
        <x:v>0</x:v>
      </x:c>
      <x:c r="AY157" s="18" t="n">
        <x:v>0</x:v>
      </x:c>
      <x:c r="AZ157" s="18" t="n">
        <x:v>0</x:v>
      </x:c>
      <x:c r="BA157" s="18" t="n">
        <x:v>0</x:v>
      </x:c>
      <x:c r="BB157" s="18" t="n">
        <x:v>0</x:v>
      </x:c>
      <x:c r="BC157" s="18" t="n">
        <x:v>0</x:v>
      </x:c>
      <x:c r="BD157" s="18" t="n">
        <x:v>1</x:v>
      </x:c>
      <x:c r="BE157" s="18" t="n">
        <x:v>0</x:v>
      </x:c>
      <x:c r="BF157" s="18" t="n">
        <x:v>7</x:v>
      </x:c>
      <x:c r="BG157" s="18" t="n">
        <x:v>0</x:v>
      </x:c>
    </x:row>
    <x:row r="158">
      <x:c r="A158" s="29" t="str">
        <x:v>236.1</x:v>
      </x:c>
      <x:c r="B158" s="17" t="n">
        <x:v>2960</x:v>
      </x:c>
      <x:c r="C158" s="17" t="str">
        <x:v>בי"ס גיל</x:v>
      </x:c>
      <x:c r="D158" s="17" t="str">
        <x:v>התשבי 34</x:v>
      </x:c>
      <x:c r="E158" s="17" t="str">
        <x:v>גבוה מאוד</x:v>
      </x:c>
      <x:c r="F158" s="18" t="n">
        <x:v>685</x:v>
      </x:c>
      <x:c r="G158" s="18" t="n">
        <x:v>434</x:v>
      </x:c>
      <x:c r="H158" s="19" t="n">
        <x:f>IFERROR(G158/F158,0)</x:f>
        <x:v>0.6335766423357664</x:v>
      </x:c>
      <x:c r="I158" s="18" t="n">
        <x:v>0</x:v>
      </x:c>
      <x:c r="J158" s="18" t="n">
        <x:v>434</x:v>
      </x:c>
      <x:c r="K158" s="18" t="n">
        <x:f>SUM(AM158,BF158,W158,AD158)</x:f>
        <x:v>89</x:v>
      </x:c>
      <x:c r="L158" s="18" t="n">
        <x:f>Q158+R158</x:f>
        <x:v>329</x:v>
      </x:c>
      <x:c r="M158" s="19" t="n">
        <x:f>IFERROR(K158/J158,0)</x:f>
        <x:v>0.20506912442396313</x:v>
      </x:c>
      <x:c r="N158" s="19" t="n">
        <x:f>IFERROR(L158/J158,0)</x:f>
        <x:v>0.7580645161290323</x:v>
      </x:c>
      <x:c r="O158" s="17" t="str">
        <x:f>IF(K158&gt;MAX(L158,S158),"קואליציית ההקמה 2022",IF(L158&gt;MAX(K158,S158),"אופוזיציה רחבה 2022","רשימות אחרות"))</x:f>
        <x:v>אופוזיציה רחבה 2022</x:v>
      </x:c>
      <x:c r="P158" s="17" t="str">
        <x:f>IF(AND(H158&lt;50%,N158&gt;50%),"כן","לא")</x:f>
        <x:v>לא</x:v>
      </x:c>
      <x:c r="Q158" s="18" t="n">
        <x:f>SUM(AV158,AJ158,AL158,T158,AN158)</x:f>
        <x:v>277</x:v>
      </x:c>
      <x:c r="R158" s="18" t="n">
        <x:f>SUM(Y158,AU158,X158)</x:f>
        <x:v>52</x:v>
      </x:c>
      <x:c r="S158" s="18" t="n">
        <x:f>J158-K158-L158</x:f>
        <x:v>16</x:v>
      </x:c>
      <x:c r="T158" s="18" t="n">
        <x:v>31</x:v>
      </x:c>
      <x:c r="U158" s="18" t="n">
        <x:v>1</x:v>
      </x:c>
      <x:c r="V158" s="18" t="n">
        <x:v>2</x:v>
      </x:c>
      <x:c r="W158" s="18" t="n">
        <x:v>3</x:v>
      </x:c>
      <x:c r="X158" s="18" t="n">
        <x:v>13</x:v>
      </x:c>
      <x:c r="Y158" s="18" t="n">
        <x:v>29</x:v>
      </x:c>
      <x:c r="Z158" s="18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25</x:v>
      </x:c>
      <x:c r="AE158" s="18" t="n">
        <x:v>0</x:v>
      </x:c>
      <x:c r="AF158" s="18" t="n">
        <x:v>0</x:v>
      </x:c>
      <x:c r="AG158" s="18" t="n">
        <x:v>1</x:v>
      </x:c>
      <x:c r="AH158" s="18" t="n">
        <x:v>0</x:v>
      </x:c>
      <x:c r="AI158" s="18" t="n">
        <x:v>0</x:v>
      </x:c>
      <x:c r="AJ158" s="18" t="n">
        <x:v>44</x:v>
      </x:c>
      <x:c r="AK158" s="18" t="n">
        <x:v>0</x:v>
      </x:c>
      <x:c r="AL158" s="18" t="n">
        <x:v>18</x:v>
      </x:c>
      <x:c r="AM158" s="18" t="n">
        <x:v>57</x:v>
      </x:c>
      <x:c r="AN158" s="18" t="n">
        <x:v>39</x:v>
      </x:c>
      <x:c r="AO158" s="18" t="n">
        <x:v>0</x:v>
      </x:c>
      <x:c r="AP158" s="18" t="n">
        <x:v>0</x:v>
      </x:c>
      <x:c r="AQ158" s="18" t="n">
        <x:v>0</x:v>
      </x:c>
      <x:c r="AR158" s="18" t="n">
        <x:v>0</x:v>
      </x:c>
      <x:c r="AS158" s="18" t="n">
        <x:v>1</x:v>
      </x:c>
      <x:c r="AT158" s="18" t="n">
        <x:v>0</x:v>
      </x:c>
      <x:c r="AU158" s="18" t="n">
        <x:v>10</x:v>
      </x:c>
      <x:c r="AV158" s="18" t="n">
        <x:v>145</x:v>
      </x:c>
      <x:c r="AW158" s="18" t="n">
        <x:v>0</x:v>
      </x:c>
      <x:c r="AX158" s="18" t="n">
        <x:v>0</x:v>
      </x:c>
      <x:c r="AY158" s="18" t="n">
        <x:v>0</x:v>
      </x:c>
      <x:c r="AZ158" s="18" t="n">
        <x:v>1</x:v>
      </x:c>
      <x:c r="BA158" s="18" t="n">
        <x:v>0</x:v>
      </x:c>
      <x:c r="BB158" s="18" t="n">
        <x:v>0</x:v>
      </x:c>
      <x:c r="BC158" s="18" t="n">
        <x:v>0</x:v>
      </x:c>
      <x:c r="BD158" s="18" t="n">
        <x:v>10</x:v>
      </x:c>
      <x:c r="BE158" s="18" t="n">
        <x:v>0</x:v>
      </x:c>
      <x:c r="BF158" s="18" t="n">
        <x:v>4</x:v>
      </x:c>
      <x:c r="BG158" s="18" t="n">
        <x:v>0</x:v>
      </x:c>
    </x:row>
    <x:row r="159">
      <x:c r="A159" s="29" t="str">
        <x:v>236.2</x:v>
      </x:c>
      <x:c r="B159" s="17" t="n">
        <x:v>2961</x:v>
      </x:c>
      <x:c r="C159" s="17" t="str">
        <x:v>בי"ס גיל</x:v>
      </x:c>
      <x:c r="D159" s="17" t="str">
        <x:v>התשבי 34</x:v>
      </x:c>
      <x:c r="E159" s="17" t="str">
        <x:v>גבוה מאוד</x:v>
      </x:c>
      <x:c r="F159" s="18" t="n">
        <x:v>685</x:v>
      </x:c>
      <x:c r="G159" s="18" t="n">
        <x:v>371</x:v>
      </x:c>
      <x:c r="H159" s="19" t="n">
        <x:f>IFERROR(G159/F159,0)</x:f>
        <x:v>0.5416058394160584</x:v>
      </x:c>
      <x:c r="I159" s="18" t="n">
        <x:v>0</x:v>
      </x:c>
      <x:c r="J159" s="18" t="n">
        <x:v>371</x:v>
      </x:c>
      <x:c r="K159" s="18" t="n">
        <x:f>SUM(AM159,BF159,W159,AD159)</x:f>
        <x:v>56</x:v>
      </x:c>
      <x:c r="L159" s="18" t="n">
        <x:f>Q159+R159</x:f>
        <x:v>307</x:v>
      </x:c>
      <x:c r="M159" s="19" t="n">
        <x:f>IFERROR(K159/J159,0)</x:f>
        <x:v>0.1509433962264151</x:v>
      </x:c>
      <x:c r="N159" s="19" t="n">
        <x:f>IFERROR(L159/J159,0)</x:f>
        <x:v>0.8274932614555256</x:v>
      </x:c>
      <x:c r="O159" s="17" t="str">
        <x:f>IF(K159&gt;MAX(L159,S159),"קואליציית ההקמה 2022",IF(L159&gt;MAX(K159,S159),"אופוזיציה רחבה 2022","רשימות אחרות"))</x:f>
        <x:v>אופוזיציה רחבה 2022</x:v>
      </x:c>
      <x:c r="P159" s="17" t="str">
        <x:f>IF(AND(H159&lt;50%,N159&gt;50%),"כן","לא")</x:f>
        <x:v>לא</x:v>
      </x:c>
      <x:c r="Q159" s="18" t="n">
        <x:f>SUM(AV159,AJ159,AL159,T159,AN159)</x:f>
        <x:v>271</x:v>
      </x:c>
      <x:c r="R159" s="18" t="n">
        <x:f>SUM(Y159,AU159,X159)</x:f>
        <x:v>36</x:v>
      </x:c>
      <x:c r="S159" s="18" t="n">
        <x:f>J159-K159-L159</x:f>
        <x:v>8</x:v>
      </x:c>
      <x:c r="T159" s="18" t="n">
        <x:v>27</x:v>
      </x:c>
      <x:c r="U159" s="18" t="n">
        <x:v>0</x:v>
      </x:c>
      <x:c r="V159" s="18" t="n">
        <x:v>5</x:v>
      </x:c>
      <x:c r="W159" s="18" t="n">
        <x:v>1</x:v>
      </x:c>
      <x:c r="X159" s="18" t="n">
        <x:v>8</x:v>
      </x:c>
      <x:c r="Y159" s="18" t="n">
        <x:v>27</x:v>
      </x:c>
      <x:c r="Z159" s="18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10</x:v>
      </x:c>
      <x:c r="AE159" s="18" t="n">
        <x:v>0</x:v>
      </x:c>
      <x:c r="AF159" s="18" t="n">
        <x:v>0</x:v>
      </x:c>
      <x:c r="AG159" s="18" t="n">
        <x:v>0</x:v>
      </x:c>
      <x:c r="AH159" s="18" t="n">
        <x:v>0</x:v>
      </x:c>
      <x:c r="AI159" s="18" t="n">
        <x:v>0</x:v>
      </x:c>
      <x:c r="AJ159" s="18" t="n">
        <x:v>50</x:v>
      </x:c>
      <x:c r="AK159" s="18" t="n">
        <x:v>0</x:v>
      </x:c>
      <x:c r="AL159" s="18" t="n">
        <x:v>18</x:v>
      </x:c>
      <x:c r="AM159" s="18" t="n">
        <x:v>45</x:v>
      </x:c>
      <x:c r="AN159" s="18" t="n">
        <x:v>41</x:v>
      </x:c>
      <x:c r="AO159" s="18" t="n">
        <x:v>0</x:v>
      </x:c>
      <x:c r="AP159" s="18" t="n">
        <x:v>0</x:v>
      </x:c>
      <x:c r="AQ159" s="18" t="n">
        <x:v>0</x:v>
      </x:c>
      <x:c r="AR159" s="18" t="n">
        <x:v>0</x:v>
      </x:c>
      <x:c r="AS159" s="18" t="n">
        <x:v>0</x:v>
      </x:c>
      <x:c r="AT159" s="18" t="n">
        <x:v>0</x:v>
      </x:c>
      <x:c r="AU159" s="18" t="n">
        <x:v>1</x:v>
      </x:c>
      <x:c r="AV159" s="18" t="n">
        <x:v>135</x:v>
      </x:c>
      <x:c r="AW159" s="18" t="n">
        <x:v>0</x:v>
      </x:c>
      <x:c r="AX159" s="18" t="n">
        <x:v>0</x:v>
      </x:c>
      <x:c r="AY159" s="18" t="n">
        <x:v>0</x:v>
      </x:c>
      <x:c r="AZ159" s="18" t="n">
        <x:v>0</x:v>
      </x:c>
      <x:c r="BA159" s="18" t="n">
        <x:v>0</x:v>
      </x:c>
      <x:c r="BB159" s="18" t="n">
        <x:v>0</x:v>
      </x:c>
      <x:c r="BC159" s="18" t="n">
        <x:v>0</x:v>
      </x:c>
      <x:c r="BD159" s="18" t="n">
        <x:v>3</x:v>
      </x:c>
      <x:c r="BE159" s="18" t="n">
        <x:v>0</x:v>
      </x:c>
      <x:c r="BF159" s="18" t="n">
        <x:v>0</x:v>
      </x:c>
      <x:c r="BG159" s="18" t="n">
        <x:v>0</x:v>
      </x:c>
    </x:row>
    <x:row r="160">
      <x:c r="A160" s="29" t="str">
        <x:v>236.3</x:v>
      </x:c>
      <x:c r="B160" s="17" t="n">
        <x:v>2962</x:v>
      </x:c>
      <x:c r="C160" s="17" t="str">
        <x:v>בי"ס גיל</x:v>
      </x:c>
      <x:c r="D160" s="17" t="str">
        <x:v>התשבי 34</x:v>
      </x:c>
      <x:c r="E160" s="17" t="str">
        <x:v>גבוה מאוד</x:v>
      </x:c>
      <x:c r="F160" s="18" t="n">
        <x:v>685</x:v>
      </x:c>
      <x:c r="G160" s="18" t="n">
        <x:v>435</x:v>
      </x:c>
      <x:c r="H160" s="19" t="n">
        <x:f>IFERROR(G160/F160,0)</x:f>
        <x:v>0.635036496350365</x:v>
      </x:c>
      <x:c r="I160" s="18" t="n">
        <x:v>0</x:v>
      </x:c>
      <x:c r="J160" s="18" t="n">
        <x:v>435</x:v>
      </x:c>
      <x:c r="K160" s="18" t="n">
        <x:f>SUM(AM160,BF160,W160,AD160)</x:f>
        <x:v>81</x:v>
      </x:c>
      <x:c r="L160" s="18" t="n">
        <x:f>Q160+R160</x:f>
        <x:v>348</x:v>
      </x:c>
      <x:c r="M160" s="19" t="n">
        <x:f>IFERROR(K160/J160,0)</x:f>
        <x:v>0.18620689655172415</x:v>
      </x:c>
      <x:c r="N160" s="19" t="n">
        <x:f>IFERROR(L160/J160,0)</x:f>
        <x:v>0.8</x:v>
      </x:c>
      <x:c r="O160" s="17" t="str">
        <x:f>IF(K160&gt;MAX(L160,S160),"קואליציית ההקמה 2022",IF(L160&gt;MAX(K160,S160),"אופוזיציה רחבה 2022","רשימות אחרות"))</x:f>
        <x:v>אופוזיציה רחבה 2022</x:v>
      </x:c>
      <x:c r="P160" s="17" t="str">
        <x:f>IF(AND(H160&lt;50%,N160&gt;50%),"כן","לא")</x:f>
        <x:v>לא</x:v>
      </x:c>
      <x:c r="Q160" s="18" t="n">
        <x:f>SUM(AV160,AJ160,AL160,T160,AN160)</x:f>
        <x:v>274</x:v>
      </x:c>
      <x:c r="R160" s="18" t="n">
        <x:f>SUM(Y160,AU160,X160)</x:f>
        <x:v>74</x:v>
      </x:c>
      <x:c r="S160" s="18" t="n">
        <x:f>J160-K160-L160</x:f>
        <x:v>6</x:v>
      </x:c>
      <x:c r="T160" s="18" t="n">
        <x:v>27</x:v>
      </x:c>
      <x:c r="U160" s="18" t="n">
        <x:v>1</x:v>
      </x:c>
      <x:c r="V160" s="18" t="n">
        <x:v>1</x:v>
      </x:c>
      <x:c r="W160" s="18" t="n">
        <x:v>2</x:v>
      </x:c>
      <x:c r="X160" s="18" t="n">
        <x:v>20</x:v>
      </x:c>
      <x:c r="Y160" s="18" t="n">
        <x:v>52</x:v>
      </x:c>
      <x:c r="Z160" s="18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10</x:v>
      </x:c>
      <x:c r="AE160" s="18" t="n">
        <x:v>0</x:v>
      </x:c>
      <x:c r="AF160" s="18" t="n">
        <x:v>1</x:v>
      </x:c>
      <x:c r="AG160" s="18" t="n">
        <x:v>0</x:v>
      </x:c>
      <x:c r="AH160" s="18" t="n">
        <x:v>0</x:v>
      </x:c>
      <x:c r="AI160" s="18" t="n">
        <x:v>0</x:v>
      </x:c>
      <x:c r="AJ160" s="18" t="n">
        <x:v>51</x:v>
      </x:c>
      <x:c r="AK160" s="18" t="n">
        <x:v>0</x:v>
      </x:c>
      <x:c r="AL160" s="18" t="n">
        <x:v>23</x:v>
      </x:c>
      <x:c r="AM160" s="18" t="n">
        <x:v>66</x:v>
      </x:c>
      <x:c r="AN160" s="18" t="n">
        <x:v>40</x:v>
      </x:c>
      <x:c r="AO160" s="18" t="n">
        <x:v>0</x:v>
      </x:c>
      <x:c r="AP160" s="18" t="n">
        <x:v>0</x:v>
      </x:c>
      <x:c r="AQ160" s="18" t="n">
        <x:v>0</x:v>
      </x:c>
      <x:c r="AR160" s="18" t="n">
        <x:v>0</x:v>
      </x:c>
      <x:c r="AS160" s="18" t="n">
        <x:v>0</x:v>
      </x:c>
      <x:c r="AT160" s="18" t="n">
        <x:v>0</x:v>
      </x:c>
      <x:c r="AU160" s="18" t="n">
        <x:v>2</x:v>
      </x:c>
      <x:c r="AV160" s="18" t="n">
        <x:v>133</x:v>
      </x:c>
      <x:c r="AW160" s="18" t="n">
        <x:v>1</x:v>
      </x:c>
      <x:c r="AX160" s="18" t="n">
        <x:v>0</x:v>
      </x:c>
      <x:c r="AY160" s="18" t="n">
        <x:v>0</x:v>
      </x:c>
      <x:c r="AZ160" s="18" t="n">
        <x:v>0</x:v>
      </x:c>
      <x:c r="BA160" s="18" t="n">
        <x:v>0</x:v>
      </x:c>
      <x:c r="BB160" s="18" t="n">
        <x:v>0</x:v>
      </x:c>
      <x:c r="BC160" s="18" t="n">
        <x:v>0</x:v>
      </x:c>
      <x:c r="BD160" s="18" t="n">
        <x:v>2</x:v>
      </x:c>
      <x:c r="BE160" s="18" t="n">
        <x:v>0</x:v>
      </x:c>
      <x:c r="BF160" s="18" t="n">
        <x:v>3</x:v>
      </x:c>
      <x:c r="BG160" s="18" t="n">
        <x:v>0</x:v>
      </x:c>
    </x:row>
    <x:row r="161">
      <x:c r="A161" s="29" t="str">
        <x:v>236.4</x:v>
      </x:c>
      <x:c r="B161" s="17" t="n">
        <x:v>2963</x:v>
      </x:c>
      <x:c r="C161" s="17" t="str">
        <x:v>בי"ס גיל</x:v>
      </x:c>
      <x:c r="D161" s="17" t="str">
        <x:v>התשבי 34</x:v>
      </x:c>
      <x:c r="E161" s="17" t="str">
        <x:v>גבוה מאוד</x:v>
      </x:c>
      <x:c r="F161" s="18" t="n">
        <x:v>685</x:v>
      </x:c>
      <x:c r="G161" s="18" t="n">
        <x:v>410</x:v>
      </x:c>
      <x:c r="H161" s="19" t="n">
        <x:f>IFERROR(G161/F161,0)</x:f>
        <x:v>0.5985401459854015</x:v>
      </x:c>
      <x:c r="I161" s="18" t="n">
        <x:v>1</x:v>
      </x:c>
      <x:c r="J161" s="18" t="n">
        <x:v>409</x:v>
      </x:c>
      <x:c r="K161" s="18" t="n">
        <x:f>SUM(AM161,BF161,W161,AD161)</x:f>
        <x:v>74</x:v>
      </x:c>
      <x:c r="L161" s="18" t="n">
        <x:f>Q161+R161</x:f>
        <x:v>327</x:v>
      </x:c>
      <x:c r="M161" s="19" t="n">
        <x:f>IFERROR(K161/J161,0)</x:f>
        <x:v>0.18092909535452323</x:v>
      </x:c>
      <x:c r="N161" s="19" t="n">
        <x:f>IFERROR(L161/J161,0)</x:f>
        <x:v>0.7995110024449877</x:v>
      </x:c>
      <x:c r="O161" s="17" t="str">
        <x:f>IF(K161&gt;MAX(L161,S161),"קואליציית ההקמה 2022",IF(L161&gt;MAX(K161,S161),"אופוזיציה רחבה 2022","רשימות אחרות"))</x:f>
        <x:v>אופוזיציה רחבה 2022</x:v>
      </x:c>
      <x:c r="P161" s="17" t="str">
        <x:f>IF(AND(H161&lt;50%,N161&gt;50%),"כן","לא")</x:f>
        <x:v>לא</x:v>
      </x:c>
      <x:c r="Q161" s="18" t="n">
        <x:f>SUM(AV161,AJ161,AL161,T161,AN161)</x:f>
        <x:v>259</x:v>
      </x:c>
      <x:c r="R161" s="18" t="n">
        <x:f>SUM(Y161,AU161,X161)</x:f>
        <x:v>68</x:v>
      </x:c>
      <x:c r="S161" s="18" t="n">
        <x:f>J161-K161-L161</x:f>
        <x:v>8</x:v>
      </x:c>
      <x:c r="T161" s="18" t="n">
        <x:v>34</x:v>
      </x:c>
      <x:c r="U161" s="18" t="n">
        <x:v>0</x:v>
      </x:c>
      <x:c r="V161" s="18" t="n">
        <x:v>3</x:v>
      </x:c>
      <x:c r="W161" s="18" t="n">
        <x:v>1</x:v>
      </x:c>
      <x:c r="X161" s="18" t="n">
        <x:v>18</x:v>
      </x:c>
      <x:c r="Y161" s="18" t="n">
        <x:v>48</x:v>
      </x:c>
      <x:c r="Z161" s="18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7</x:v>
      </x:c>
      <x:c r="AE161" s="18" t="n">
        <x:v>0</x:v>
      </x:c>
      <x:c r="AF161" s="18" t="n">
        <x:v>1</x:v>
      </x:c>
      <x:c r="AG161" s="18" t="n">
        <x:v>0</x:v>
      </x:c>
      <x:c r="AH161" s="18" t="n">
        <x:v>0</x:v>
      </x:c>
      <x:c r="AI161" s="18" t="n">
        <x:v>0</x:v>
      </x:c>
      <x:c r="AJ161" s="18" t="n">
        <x:v>51</x:v>
      </x:c>
      <x:c r="AK161" s="18" t="n">
        <x:v>1</x:v>
      </x:c>
      <x:c r="AL161" s="18" t="n">
        <x:v>18</x:v>
      </x:c>
      <x:c r="AM161" s="18" t="n">
        <x:v>63</x:v>
      </x:c>
      <x:c r="AN161" s="18" t="n">
        <x:v>36</x:v>
      </x:c>
      <x:c r="AO161" s="18" t="n">
        <x:v>0</x:v>
      </x:c>
      <x:c r="AP161" s="18" t="n">
        <x:v>0</x:v>
      </x:c>
      <x:c r="AQ161" s="18" t="n">
        <x:v>0</x:v>
      </x:c>
      <x:c r="AR161" s="18" t="n">
        <x:v>0</x:v>
      </x:c>
      <x:c r="AS161" s="18" t="n">
        <x:v>1</x:v>
      </x:c>
      <x:c r="AT161" s="18" t="n">
        <x:v>0</x:v>
      </x:c>
      <x:c r="AU161" s="18" t="n">
        <x:v>2</x:v>
      </x:c>
      <x:c r="AV161" s="18" t="n">
        <x:v>120</x:v>
      </x:c>
      <x:c r="AW161" s="18" t="n">
        <x:v>1</x:v>
      </x:c>
      <x:c r="AX161" s="18" t="n">
        <x:v>0</x:v>
      </x:c>
      <x:c r="AY161" s="18" t="n">
        <x:v>0</x:v>
      </x:c>
      <x:c r="AZ161" s="18" t="n">
        <x:v>0</x:v>
      </x:c>
      <x:c r="BA161" s="18" t="n">
        <x:v>0</x:v>
      </x:c>
      <x:c r="BB161" s="18" t="n">
        <x:v>0</x:v>
      </x:c>
      <x:c r="BC161" s="18" t="n">
        <x:v>0</x:v>
      </x:c>
      <x:c r="BD161" s="18" t="n">
        <x:v>1</x:v>
      </x:c>
      <x:c r="BE161" s="18" t="n">
        <x:v>0</x:v>
      </x:c>
      <x:c r="BF161" s="18" t="n">
        <x:v>3</x:v>
      </x:c>
      <x:c r="BG161" s="18" t="n">
        <x:v>0</x:v>
      </x:c>
    </x:row>
    <x:row r="162">
      <x:c r="A162" s="29" t="str">
        <x:v>236.5</x:v>
      </x:c>
      <x:c r="B162" s="17" t="n">
        <x:v>2964</x:v>
      </x:c>
      <x:c r="C162" s="17" t="str">
        <x:v>בי"ס גיל</x:v>
      </x:c>
      <x:c r="D162" s="17" t="str">
        <x:v>התשבי 34</x:v>
      </x:c>
      <x:c r="E162" s="17" t="str">
        <x:v>גבוה מאוד</x:v>
      </x:c>
      <x:c r="F162" s="18" t="n">
        <x:v>684</x:v>
      </x:c>
      <x:c r="G162" s="18" t="n">
        <x:v>396</x:v>
      </x:c>
      <x:c r="H162" s="19" t="n">
        <x:f>IFERROR(G162/F162,0)</x:f>
        <x:v>0.5789473684210527</x:v>
      </x:c>
      <x:c r="I162" s="18" t="n">
        <x:v>2</x:v>
      </x:c>
      <x:c r="J162" s="18" t="n">
        <x:v>394</x:v>
      </x:c>
      <x:c r="K162" s="18" t="n">
        <x:f>SUM(AM162,BF162,W162,AD162)</x:f>
        <x:v>81</x:v>
      </x:c>
      <x:c r="L162" s="18" t="n">
        <x:f>Q162+R162</x:f>
        <x:v>308</x:v>
      </x:c>
      <x:c r="M162" s="19" t="n">
        <x:f>IFERROR(K162/J162,0)</x:f>
        <x:v>0.20558375634517767</x:v>
      </x:c>
      <x:c r="N162" s="19" t="n">
        <x:f>IFERROR(L162/J162,0)</x:f>
        <x:v>0.7817258883248731</x:v>
      </x:c>
      <x:c r="O162" s="17" t="str">
        <x:f>IF(K162&gt;MAX(L162,S162),"קואליציית ההקמה 2022",IF(L162&gt;MAX(K162,S162),"אופוזיציה רחבה 2022","רשימות אחרות"))</x:f>
        <x:v>אופוזיציה רחבה 2022</x:v>
      </x:c>
      <x:c r="P162" s="17" t="str">
        <x:f>IF(AND(H162&lt;50%,N162&gt;50%),"כן","לא")</x:f>
        <x:v>לא</x:v>
      </x:c>
      <x:c r="Q162" s="18" t="n">
        <x:f>SUM(AV162,AJ162,AL162,T162,AN162)</x:f>
        <x:v>277</x:v>
      </x:c>
      <x:c r="R162" s="18" t="n">
        <x:f>SUM(Y162,AU162,X162)</x:f>
        <x:v>31</x:v>
      </x:c>
      <x:c r="S162" s="18" t="n">
        <x:f>J162-K162-L162</x:f>
        <x:v>5</x:v>
      </x:c>
      <x:c r="T162" s="18" t="n">
        <x:v>35</x:v>
      </x:c>
      <x:c r="U162" s="18" t="n">
        <x:v>1</x:v>
      </x:c>
      <x:c r="V162" s="18" t="n">
        <x:v>2</x:v>
      </x:c>
      <x:c r="W162" s="18" t="n">
        <x:v>5</x:v>
      </x:c>
      <x:c r="X162" s="18" t="n">
        <x:v>6</x:v>
      </x:c>
      <x:c r="Y162" s="18" t="n">
        <x:v>23</x:v>
      </x:c>
      <x:c r="Z162" s="18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19</x:v>
      </x:c>
      <x:c r="AE162" s="18" t="n">
        <x:v>0</x:v>
      </x:c>
      <x:c r="AF162" s="18" t="n">
        <x:v>0</x:v>
      </x:c>
      <x:c r="AG162" s="18" t="n">
        <x:v>1</x:v>
      </x:c>
      <x:c r="AH162" s="18" t="n">
        <x:v>0</x:v>
      </x:c>
      <x:c r="AI162" s="18" t="n">
        <x:v>0</x:v>
      </x:c>
      <x:c r="AJ162" s="18" t="n">
        <x:v>57</x:v>
      </x:c>
      <x:c r="AK162" s="18" t="n">
        <x:v>0</x:v>
      </x:c>
      <x:c r="AL162" s="18" t="n">
        <x:v>12</x:v>
      </x:c>
      <x:c r="AM162" s="18" t="n">
        <x:v>57</x:v>
      </x:c>
      <x:c r="AN162" s="18" t="n">
        <x:v>42</x:v>
      </x:c>
      <x:c r="AO162" s="18" t="n">
        <x:v>0</x:v>
      </x:c>
      <x:c r="AP162" s="18" t="n">
        <x:v>0</x:v>
      </x:c>
      <x:c r="AQ162" s="18" t="n">
        <x:v>0</x:v>
      </x:c>
      <x:c r="AR162" s="18" t="n">
        <x:v>0</x:v>
      </x:c>
      <x:c r="AS162" s="18" t="n">
        <x:v>0</x:v>
      </x:c>
      <x:c r="AT162" s="18" t="n">
        <x:v>0</x:v>
      </x:c>
      <x:c r="AU162" s="18" t="n">
        <x:v>2</x:v>
      </x:c>
      <x:c r="AV162" s="18" t="n">
        <x:v>131</x:v>
      </x:c>
      <x:c r="AW162" s="18" t="n">
        <x:v>0</x:v>
      </x:c>
      <x:c r="AX162" s="18" t="n">
        <x:v>0</x:v>
      </x:c>
      <x:c r="AY162" s="18" t="n">
        <x:v>0</x:v>
      </x:c>
      <x:c r="AZ162" s="18" t="n">
        <x:v>1</x:v>
      </x:c>
      <x:c r="BA162" s="18" t="n">
        <x:v>0</x:v>
      </x:c>
      <x:c r="BB162" s="18" t="n">
        <x:v>0</x:v>
      </x:c>
      <x:c r="BC162" s="18" t="n">
        <x:v>0</x:v>
      </x:c>
      <x:c r="BD162" s="18" t="n">
        <x:v>0</x:v>
      </x:c>
      <x:c r="BE162" s="18" t="n">
        <x:v>0</x:v>
      </x:c>
      <x:c r="BF162" s="18" t="n">
        <x:v>0</x:v>
      </x:c>
      <x:c r="BG162" s="18" t="n">
        <x:v>0</x:v>
      </x:c>
    </x:row>
    <x:row r="163">
      <x:c r="A163" s="29" t="str">
        <x:v>241</x:v>
      </x:c>
      <x:c r="B163" s="17" t="n">
        <x:v>3022</x:v>
      </x:c>
      <x:c r="C163" s="17" t="str">
        <x:v>גן מעין</x:v>
      </x:c>
      <x:c r="D163" s="17" t="str">
        <x:v>לאה 11</x:v>
      </x:c>
      <x:c r="E163" s="17" t="str">
        <x:v>גבוה מאוד</x:v>
      </x:c>
      <x:c r="F163" s="18" t="n">
        <x:v>669</x:v>
      </x:c>
      <x:c r="G163" s="18" t="n">
        <x:v>471</x:v>
      </x:c>
      <x:c r="H163" s="19" t="n">
        <x:f>IFERROR(G163/F163,0)</x:f>
        <x:v>0.7040358744394619</x:v>
      </x:c>
      <x:c r="I163" s="18" t="n">
        <x:v>0</x:v>
      </x:c>
      <x:c r="J163" s="18" t="n">
        <x:v>471</x:v>
      </x:c>
      <x:c r="K163" s="18" t="n">
        <x:f>SUM(AM163,BF163,W163,AD163)</x:f>
        <x:v>68</x:v>
      </x:c>
      <x:c r="L163" s="18" t="n">
        <x:f>Q163+R163</x:f>
        <x:v>374</x:v>
      </x:c>
      <x:c r="M163" s="19" t="n">
        <x:f>IFERROR(K163/J163,0)</x:f>
        <x:v>0.14437367303609341</x:v>
      </x:c>
      <x:c r="N163" s="19" t="n">
        <x:f>IFERROR(L163/J163,0)</x:f>
        <x:v>0.7940552016985138</x:v>
      </x:c>
      <x:c r="O163" s="17" t="str">
        <x:f>IF(K163&gt;MAX(L163,S163),"קואליציית ההקמה 2022",IF(L163&gt;MAX(K163,S163),"אופוזיציה רחבה 2022","רשימות אחרות"))</x:f>
        <x:v>אופוזיציה רחבה 2022</x:v>
      </x:c>
      <x:c r="P163" s="17" t="str">
        <x:f>IF(AND(H163&lt;50%,N163&gt;50%),"כן","לא")</x:f>
        <x:v>לא</x:v>
      </x:c>
      <x:c r="Q163" s="18" t="n">
        <x:f>SUM(AV163,AJ163,AL163,T163,AN163)</x:f>
        <x:v>368</x:v>
      </x:c>
      <x:c r="R163" s="18" t="n">
        <x:f>SUM(Y163,AU163,X163)</x:f>
        <x:v>6</x:v>
      </x:c>
      <x:c r="S163" s="18" t="n">
        <x:f>J163-K163-L163</x:f>
        <x:v>29</x:v>
      </x:c>
      <x:c r="T163" s="18" t="n">
        <x:v>48</x:v>
      </x:c>
      <x:c r="U163" s="18" t="n">
        <x:v>2</x:v>
      </x:c>
      <x:c r="V163" s="18" t="n">
        <x:v>17</x:v>
      </x:c>
      <x:c r="W163" s="18" t="n">
        <x:v>0</x:v>
      </x:c>
      <x:c r="X163" s="18" t="n">
        <x:v>4</x:v>
      </x:c>
      <x:c r="Y163" s="18" t="n">
        <x:v>2</x:v>
      </x:c>
      <x:c r="Z163" s="18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12</x:v>
      </x:c>
      <x:c r="AE163" s="18" t="n">
        <x:v>0</x:v>
      </x:c>
      <x:c r="AF163" s="18" t="n">
        <x:v>0</x:v>
      </x:c>
      <x:c r="AG163" s="18" t="n">
        <x:v>0</x:v>
      </x:c>
      <x:c r="AH163" s="18" t="n">
        <x:v>0</x:v>
      </x:c>
      <x:c r="AI163" s="18" t="n">
        <x:v>0</x:v>
      </x:c>
      <x:c r="AJ163" s="18" t="n">
        <x:v>54</x:v>
      </x:c>
      <x:c r="AK163" s="18" t="n">
        <x:v>0</x:v>
      </x:c>
      <x:c r="AL163" s="18" t="n">
        <x:v>17</x:v>
      </x:c>
      <x:c r="AM163" s="18" t="n">
        <x:v>54</x:v>
      </x:c>
      <x:c r="AN163" s="18" t="n">
        <x:v>43</x:v>
      </x:c>
      <x:c r="AO163" s="18" t="n">
        <x:v>0</x:v>
      </x:c>
      <x:c r="AP163" s="18" t="n">
        <x:v>0</x:v>
      </x:c>
      <x:c r="AQ163" s="18" t="n">
        <x:v>0</x:v>
      </x:c>
      <x:c r="AR163" s="18" t="n">
        <x:v>0</x:v>
      </x:c>
      <x:c r="AS163" s="18" t="n">
        <x:v>0</x:v>
      </x:c>
      <x:c r="AT163" s="18" t="n">
        <x:v>0</x:v>
      </x:c>
      <x:c r="AU163" s="18" t="n">
        <x:v>0</x:v>
      </x:c>
      <x:c r="AV163" s="18" t="n">
        <x:v>206</x:v>
      </x:c>
      <x:c r="AW163" s="18" t="n">
        <x:v>0</x:v>
      </x:c>
      <x:c r="AX163" s="18" t="n">
        <x:v>0</x:v>
      </x:c>
      <x:c r="AY163" s="18" t="n">
        <x:v>0</x:v>
      </x:c>
      <x:c r="AZ163" s="18" t="n">
        <x:v>2</x:v>
      </x:c>
      <x:c r="BA163" s="18" t="n">
        <x:v>0</x:v>
      </x:c>
      <x:c r="BB163" s="18" t="n">
        <x:v>0</x:v>
      </x:c>
      <x:c r="BC163" s="18" t="n">
        <x:v>1</x:v>
      </x:c>
      <x:c r="BD163" s="18" t="n">
        <x:v>7</x:v>
      </x:c>
      <x:c r="BE163" s="18" t="n">
        <x:v>0</x:v>
      </x:c>
      <x:c r="BF163" s="18" t="n">
        <x:v>2</x:v>
      </x:c>
      <x:c r="BG163" s="18" t="n">
        <x:v>0</x:v>
      </x:c>
    </x:row>
    <x:row r="164">
      <x:c r="A164" s="29" t="str">
        <x:v>244</x:v>
      </x:c>
      <x:c r="B164" s="17" t="n">
        <x:v>2965</x:v>
      </x:c>
      <x:c r="C164" s="17" t="str">
        <x:v>בי"ס אבן גבירול</x:v>
      </x:c>
      <x:c r="D164" s="17" t="str">
        <x:v>בודנהיימר מקס ד"ר 7</x:v>
      </x:c>
      <x:c r="E164" s="17" t="str">
        <x:v>גבוה מאוד</x:v>
      </x:c>
      <x:c r="F164" s="18" t="n">
        <x:v>520</x:v>
      </x:c>
      <x:c r="G164" s="18" t="n">
        <x:v>298</x:v>
      </x:c>
      <x:c r="H164" s="19" t="n">
        <x:f>IFERROR(G164/F164,0)</x:f>
        <x:v>0.573076923076923</x:v>
      </x:c>
      <x:c r="I164" s="18" t="n">
        <x:v>2</x:v>
      </x:c>
      <x:c r="J164" s="18" t="n">
        <x:v>296</x:v>
      </x:c>
      <x:c r="K164" s="18" t="n">
        <x:f>SUM(AM164,BF164,W164,AD164)</x:f>
        <x:v>120</x:v>
      </x:c>
      <x:c r="L164" s="18" t="n">
        <x:f>Q164+R164</x:f>
        <x:v>173</x:v>
      </x:c>
      <x:c r="M164" s="19" t="n">
        <x:f>IFERROR(K164/J164,0)</x:f>
        <x:v>0.40540540540540543</x:v>
      </x:c>
      <x:c r="N164" s="19" t="n">
        <x:f>IFERROR(L164/J164,0)</x:f>
        <x:v>0.5844594594594594</x:v>
      </x:c>
      <x:c r="O164" s="17" t="str">
        <x:f>IF(K164&gt;MAX(L164,S164),"קואליציית ההקמה 2022",IF(L164&gt;MAX(K164,S164),"אופוזיציה רחבה 2022","רשימות אחרות"))</x:f>
        <x:v>אופוזיציה רחבה 2022</x:v>
      </x:c>
      <x:c r="P164" s="17" t="str">
        <x:f>IF(AND(H164&lt;50%,N164&gt;50%),"כן","לא")</x:f>
        <x:v>לא</x:v>
      </x:c>
      <x:c r="Q164" s="18" t="n">
        <x:f>SUM(AV164,AJ164,AL164,T164,AN164)</x:f>
        <x:v>162</x:v>
      </x:c>
      <x:c r="R164" s="18" t="n">
        <x:f>SUM(Y164,AU164,X164)</x:f>
        <x:v>11</x:v>
      </x:c>
      <x:c r="S164" s="18" t="n">
        <x:f>J164-K164-L164</x:f>
        <x:v>3</x:v>
      </x:c>
      <x:c r="T164" s="18" t="n">
        <x:v>5</x:v>
      </x:c>
      <x:c r="U164" s="18" t="n">
        <x:v>0</x:v>
      </x:c>
      <x:c r="V164" s="18" t="n">
        <x:v>0</x:v>
      </x:c>
      <x:c r="W164" s="18" t="n">
        <x:v>4</x:v>
      </x:c>
      <x:c r="X164" s="18" t="n">
        <x:v>2</x:v>
      </x:c>
      <x:c r="Y164" s="18" t="n">
        <x:v>9</x:v>
      </x:c>
      <x:c r="Z164" s="18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12</x:v>
      </x:c>
      <x:c r="AE164" s="18" t="n">
        <x:v>0</x:v>
      </x:c>
      <x:c r="AF164" s="18" t="n">
        <x:v>0</x:v>
      </x:c>
      <x:c r="AG164" s="18" t="n">
        <x:v>0</x:v>
      </x:c>
      <x:c r="AH164" s="18" t="n">
        <x:v>0</x:v>
      </x:c>
      <x:c r="AI164" s="18" t="n">
        <x:v>0</x:v>
      </x:c>
      <x:c r="AJ164" s="18" t="n">
        <x:v>25</x:v>
      </x:c>
      <x:c r="AK164" s="18" t="n">
        <x:v>1</x:v>
      </x:c>
      <x:c r="AL164" s="18" t="n">
        <x:v>67</x:v>
      </x:c>
      <x:c r="AM164" s="18" t="n">
        <x:v>97</x:v>
      </x:c>
      <x:c r="AN164" s="18" t="n">
        <x:v>7</x:v>
      </x:c>
      <x:c r="AO164" s="18" t="n">
        <x:v>0</x:v>
      </x:c>
      <x:c r="AP164" s="18" t="n">
        <x:v>1</x:v>
      </x:c>
      <x:c r="AQ164" s="18" t="n">
        <x:v>0</x:v>
      </x:c>
      <x:c r="AR164" s="18" t="n">
        <x:v>0</x:v>
      </x:c>
      <x:c r="AS164" s="18" t="n">
        <x:v>0</x:v>
      </x:c>
      <x:c r="AT164" s="18" t="n">
        <x:v>0</x:v>
      </x:c>
      <x:c r="AU164" s="18" t="n">
        <x:v>0</x:v>
      </x:c>
      <x:c r="AV164" s="18" t="n">
        <x:v>58</x:v>
      </x:c>
      <x:c r="AW164" s="18" t="n">
        <x:v>1</x:v>
      </x:c>
      <x:c r="AX164" s="18" t="n">
        <x:v>0</x:v>
      </x:c>
      <x:c r="AY164" s="18" t="n">
        <x:v>0</x:v>
      </x:c>
      <x:c r="AZ164" s="18" t="n">
        <x:v>0</x:v>
      </x:c>
      <x:c r="BA164" s="18" t="n">
        <x:v>0</x:v>
      </x:c>
      <x:c r="BB164" s="18" t="n">
        <x:v>0</x:v>
      </x:c>
      <x:c r="BC164" s="18" t="n">
        <x:v>0</x:v>
      </x:c>
      <x:c r="BD164" s="18" t="n">
        <x:v>0</x:v>
      </x:c>
      <x:c r="BE164" s="18" t="n">
        <x:v>0</x:v>
      </x:c>
      <x:c r="BF164" s="18" t="n">
        <x:v>7</x:v>
      </x:c>
      <x:c r="BG164" s="18" t="n">
        <x:v>0</x:v>
      </x:c>
    </x:row>
    <x:row r="165">
      <x:c r="A165" s="29" t="str">
        <x:v>245</x:v>
      </x:c>
      <x:c r="B165" s="17" t="n">
        <x:v>3000</x:v>
      </x:c>
      <x:c r="C165" s="17" t="str">
        <x:v>בי"ס חופית</x:v>
      </x:c>
      <x:c r="D165" s="17" t="str">
        <x:v>החיננית 3</x:v>
      </x:c>
      <x:c r="E165" s="17" t="str">
        <x:v>גבוה מאוד</x:v>
      </x:c>
      <x:c r="F165" s="18" t="n">
        <x:v>483</x:v>
      </x:c>
      <x:c r="G165" s="18" t="n">
        <x:v>233</x:v>
      </x:c>
      <x:c r="H165" s="19" t="n">
        <x:f>IFERROR(G165/F165,0)</x:f>
        <x:v>0.4824016563146998</x:v>
      </x:c>
      <x:c r="I165" s="18" t="n">
        <x:v>3</x:v>
      </x:c>
      <x:c r="J165" s="18" t="n">
        <x:v>230</x:v>
      </x:c>
      <x:c r="K165" s="18" t="n">
        <x:f>SUM(AM165,BF165,W165,AD165)</x:f>
        <x:v>109</x:v>
      </x:c>
      <x:c r="L165" s="18" t="n">
        <x:f>Q165+R165</x:f>
        <x:v>113</x:v>
      </x:c>
      <x:c r="M165" s="19" t="n">
        <x:f>IFERROR(K165/J165,0)</x:f>
        <x:v>0.47391304347826085</x:v>
      </x:c>
      <x:c r="N165" s="19" t="n">
        <x:f>IFERROR(L165/J165,0)</x:f>
        <x:v>0.49130434782608695</x:v>
      </x:c>
      <x:c r="O165" s="17" t="str">
        <x:f>IF(K165&gt;MAX(L165,S165),"קואליציית ההקמה 2022",IF(L165&gt;MAX(K165,S165),"אופוזיציה רחבה 2022","רשימות אחרות"))</x:f>
        <x:v>אופוזיציה רחבה 2022</x:v>
      </x:c>
      <x:c r="P165" s="17" t="str">
        <x:f>IF(AND(H165&lt;50%,N165&gt;50%),"כן","לא")</x:f>
        <x:v>לא</x:v>
      </x:c>
      <x:c r="Q165" s="18" t="n">
        <x:f>SUM(AV165,AJ165,AL165,T165,AN165)</x:f>
        <x:v>113</x:v>
      </x:c>
      <x:c r="R165" s="18" t="n">
        <x:f>SUM(Y165,AU165,X165)</x:f>
        <x:v>0</x:v>
      </x:c>
      <x:c r="S165" s="18" t="n">
        <x:f>J165-K165-L165</x:f>
        <x:v>8</x:v>
      </x:c>
      <x:c r="T165" s="18" t="n">
        <x:v>2</x:v>
      </x:c>
      <x:c r="U165" s="18" t="n">
        <x:v>1</x:v>
      </x:c>
      <x:c r="V165" s="18" t="n">
        <x:v>1</x:v>
      </x:c>
      <x:c r="W165" s="18" t="n">
        <x:v>0</x:v>
      </x:c>
      <x:c r="X165" s="18" t="n">
        <x:v>0</x:v>
      </x:c>
      <x:c r="Y165" s="18" t="n">
        <x:v>0</x:v>
      </x:c>
      <x:c r="Z165" s="18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12</x:v>
      </x:c>
      <x:c r="AE165" s="18" t="n">
        <x:v>1</x:v>
      </x:c>
      <x:c r="AF165" s="18" t="n">
        <x:v>1</x:v>
      </x:c>
      <x:c r="AG165" s="18" t="n">
        <x:v>1</x:v>
      </x:c>
      <x:c r="AH165" s="18" t="n">
        <x:v>0</x:v>
      </x:c>
      <x:c r="AI165" s="18" t="n">
        <x:v>0</x:v>
      </x:c>
      <x:c r="AJ165" s="18" t="n">
        <x:v>15</x:v>
      </x:c>
      <x:c r="AK165" s="18" t="n">
        <x:v>0</x:v>
      </x:c>
      <x:c r="AL165" s="18" t="n">
        <x:v>51</x:v>
      </x:c>
      <x:c r="AM165" s="18" t="n">
        <x:v>82</x:v>
      </x:c>
      <x:c r="AN165" s="18" t="n">
        <x:v>5</x:v>
      </x:c>
      <x:c r="AO165" s="18" t="n">
        <x:v>0</x:v>
      </x:c>
      <x:c r="AP165" s="18" t="n">
        <x:v>0</x:v>
      </x:c>
      <x:c r="AQ165" s="18" t="n">
        <x:v>0</x:v>
      </x:c>
      <x:c r="AR165" s="18" t="n">
        <x:v>0</x:v>
      </x:c>
      <x:c r="AS165" s="18" t="n">
        <x:v>0</x:v>
      </x:c>
      <x:c r="AT165" s="18" t="n">
        <x:v>0</x:v>
      </x:c>
      <x:c r="AU165" s="18" t="n">
        <x:v>0</x:v>
      </x:c>
      <x:c r="AV165" s="18" t="n">
        <x:v>40</x:v>
      </x:c>
      <x:c r="AW165" s="18" t="n">
        <x:v>0</x:v>
      </x:c>
      <x:c r="AX165" s="18" t="n">
        <x:v>0</x:v>
      </x:c>
      <x:c r="AY165" s="18" t="n">
        <x:v>0</x:v>
      </x:c>
      <x:c r="AZ165" s="18" t="n">
        <x:v>0</x:v>
      </x:c>
      <x:c r="BA165" s="18" t="n">
        <x:v>0</x:v>
      </x:c>
      <x:c r="BB165" s="18" t="n">
        <x:v>0</x:v>
      </x:c>
      <x:c r="BC165" s="18" t="n">
        <x:v>0</x:v>
      </x:c>
      <x:c r="BD165" s="18" t="n">
        <x:v>2</x:v>
      </x:c>
      <x:c r="BE165" s="18" t="n">
        <x:v>0</x:v>
      </x:c>
      <x:c r="BF165" s="18" t="n">
        <x:v>15</x:v>
      </x:c>
      <x:c r="BG165" s="18" t="n">
        <x:v>1</x:v>
      </x:c>
    </x:row>
    <x:row r="166">
      <x:c r="A166" s="29" t="str">
        <x:v>250.1</x:v>
      </x:c>
      <x:c r="B166" s="17" t="n">
        <x:v>3023</x:v>
      </x:c>
      <x:c r="C166" s="17" t="str">
        <x:v>בי"ס תיכון עירוני ה</x:v>
      </x:c>
      <x:c r="D166" s="17" t="str">
        <x:v>ביכורים 27</x:v>
      </x:c>
      <x:c r="E166" s="17" t="str">
        <x:v>גבוה מאוד</x:v>
      </x:c>
      <x:c r="F166" s="18" t="n">
        <x:v>578</x:v>
      </x:c>
      <x:c r="G166" s="18" t="n">
        <x:v>364</x:v>
      </x:c>
      <x:c r="H166" s="19" t="n">
        <x:f>IFERROR(G166/F166,0)</x:f>
        <x:v>0.629757785467128</x:v>
      </x:c>
      <x:c r="I166" s="18" t="n">
        <x:v>2</x:v>
      </x:c>
      <x:c r="J166" s="18" t="n">
        <x:v>362</x:v>
      </x:c>
      <x:c r="K166" s="18" t="n">
        <x:f>SUM(AM166,BF166,W166,AD166)</x:f>
        <x:v>86</x:v>
      </x:c>
      <x:c r="L166" s="18" t="n">
        <x:f>Q166+R166</x:f>
        <x:v>264</x:v>
      </x:c>
      <x:c r="M166" s="19" t="n">
        <x:f>IFERROR(K166/J166,0)</x:f>
        <x:v>0.23756906077348067</x:v>
      </x:c>
      <x:c r="N166" s="19" t="n">
        <x:f>IFERROR(L166/J166,0)</x:f>
        <x:v>0.7292817679558011</x:v>
      </x:c>
      <x:c r="O166" s="17" t="str">
        <x:f>IF(K166&gt;MAX(L166,S166),"קואליציית ההקמה 2022",IF(L166&gt;MAX(K166,S166),"אופוזיציה רחבה 2022","רשימות אחרות"))</x:f>
        <x:v>אופוזיציה רחבה 2022</x:v>
      </x:c>
      <x:c r="P166" s="17" t="str">
        <x:f>IF(AND(H166&lt;50%,N166&gt;50%),"כן","לא")</x:f>
        <x:v>לא</x:v>
      </x:c>
      <x:c r="Q166" s="18" t="n">
        <x:f>SUM(AV166,AJ166,AL166,T166,AN166)</x:f>
        <x:v>258</x:v>
      </x:c>
      <x:c r="R166" s="18" t="n">
        <x:f>SUM(Y166,AU166,X166)</x:f>
        <x:v>6</x:v>
      </x:c>
      <x:c r="S166" s="18" t="n">
        <x:f>J166-K166-L166</x:f>
        <x:v>12</x:v>
      </x:c>
      <x:c r="T166" s="18" t="n">
        <x:v>23</x:v>
      </x:c>
      <x:c r="U166" s="18" t="n">
        <x:v>5</x:v>
      </x:c>
      <x:c r="V166" s="18" t="n">
        <x:v>1</x:v>
      </x:c>
      <x:c r="W166" s="18" t="n">
        <x:v>2</x:v>
      </x:c>
      <x:c r="X166" s="18" t="n">
        <x:v>3</x:v>
      </x:c>
      <x:c r="Y166" s="18" t="n">
        <x:v>3</x:v>
      </x:c>
      <x:c r="Z166" s="18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20</x:v>
      </x:c>
      <x:c r="AE166" s="18" t="n">
        <x:v>0</x:v>
      </x:c>
      <x:c r="AF166" s="18" t="n">
        <x:v>1</x:v>
      </x:c>
      <x:c r="AG166" s="18" t="n">
        <x:v>0</x:v>
      </x:c>
      <x:c r="AH166" s="18" t="n">
        <x:v>0</x:v>
      </x:c>
      <x:c r="AI166" s="18" t="n">
        <x:v>0</x:v>
      </x:c>
      <x:c r="AJ166" s="18" t="n">
        <x:v>55</x:v>
      </x:c>
      <x:c r="AK166" s="18" t="n">
        <x:v>0</x:v>
      </x:c>
      <x:c r="AL166" s="18" t="n">
        <x:v>21</x:v>
      </x:c>
      <x:c r="AM166" s="18" t="n">
        <x:v>58</x:v>
      </x:c>
      <x:c r="AN166" s="18" t="n">
        <x:v>25</x:v>
      </x:c>
      <x:c r="AO166" s="18" t="n">
        <x:v>0</x:v>
      </x:c>
      <x:c r="AP166" s="18" t="n">
        <x:v>0</x:v>
      </x:c>
      <x:c r="AQ166" s="18" t="n">
        <x:v>0</x:v>
      </x:c>
      <x:c r="AR166" s="18" t="n">
        <x:v>0</x:v>
      </x:c>
      <x:c r="AS166" s="18" t="n">
        <x:v>0</x:v>
      </x:c>
      <x:c r="AT166" s="18" t="n">
        <x:v>0</x:v>
      </x:c>
      <x:c r="AU166" s="18" t="n">
        <x:v>0</x:v>
      </x:c>
      <x:c r="AV166" s="18" t="n">
        <x:v>134</x:v>
      </x:c>
      <x:c r="AW166" s="18" t="n">
        <x:v>0</x:v>
      </x:c>
      <x:c r="AX166" s="18" t="n">
        <x:v>0</x:v>
      </x:c>
      <x:c r="AY166" s="18" t="n">
        <x:v>0</x:v>
      </x:c>
      <x:c r="AZ166" s="18" t="n">
        <x:v>0</x:v>
      </x:c>
      <x:c r="BA166" s="18" t="n">
        <x:v>0</x:v>
      </x:c>
      <x:c r="BB166" s="18" t="n">
        <x:v>1</x:v>
      </x:c>
      <x:c r="BC166" s="18" t="n">
        <x:v>0</x:v>
      </x:c>
      <x:c r="BD166" s="18" t="n">
        <x:v>4</x:v>
      </x:c>
      <x:c r="BE166" s="18" t="n">
        <x:v>0</x:v>
      </x:c>
      <x:c r="BF166" s="18" t="n">
        <x:v>6</x:v>
      </x:c>
      <x:c r="BG166" s="18" t="n">
        <x:v>0</x:v>
      </x:c>
    </x:row>
    <x:row r="167">
      <x:c r="A167" s="29" t="str">
        <x:v>250.2</x:v>
      </x:c>
      <x:c r="B167" s="17" t="n">
        <x:v>3024</x:v>
      </x:c>
      <x:c r="C167" s="17" t="str">
        <x:v>בי"ס תיכון עירוני ה</x:v>
      </x:c>
      <x:c r="D167" s="17" t="str">
        <x:v>ביכורים 27</x:v>
      </x:c>
      <x:c r="E167" s="17" t="str">
        <x:v>גבוה מאוד</x:v>
      </x:c>
      <x:c r="F167" s="18" t="n">
        <x:v>578</x:v>
      </x:c>
      <x:c r="G167" s="18" t="n">
        <x:v>356</x:v>
      </x:c>
      <x:c r="H167" s="19" t="n">
        <x:f>IFERROR(G167/F167,0)</x:f>
        <x:v>0.615916955017301</x:v>
      </x:c>
      <x:c r="I167" s="18" t="n">
        <x:v>2</x:v>
      </x:c>
      <x:c r="J167" s="18" t="n">
        <x:v>354</x:v>
      </x:c>
      <x:c r="K167" s="18" t="n">
        <x:f>SUM(AM167,BF167,W167,AD167)</x:f>
        <x:v>78</x:v>
      </x:c>
      <x:c r="L167" s="18" t="n">
        <x:f>Q167+R167</x:f>
        <x:v>264</x:v>
      </x:c>
      <x:c r="M167" s="19" t="n">
        <x:f>IFERROR(K167/J167,0)</x:f>
        <x:v>0.22033898305084745</x:v>
      </x:c>
      <x:c r="N167" s="19" t="n">
        <x:f>IFERROR(L167/J167,0)</x:f>
        <x:v>0.7457627118644068</x:v>
      </x:c>
      <x:c r="O167" s="17" t="str">
        <x:f>IF(K167&gt;MAX(L167,S167),"קואליציית ההקמה 2022",IF(L167&gt;MAX(K167,S167),"אופוזיציה רחבה 2022","רשימות אחרות"))</x:f>
        <x:v>אופוזיציה רחבה 2022</x:v>
      </x:c>
      <x:c r="P167" s="17" t="str">
        <x:f>IF(AND(H167&lt;50%,N167&gt;50%),"כן","לא")</x:f>
        <x:v>לא</x:v>
      </x:c>
      <x:c r="Q167" s="18" t="n">
        <x:f>SUM(AV167,AJ167,AL167,T167,AN167)</x:f>
        <x:v>259</x:v>
      </x:c>
      <x:c r="R167" s="18" t="n">
        <x:f>SUM(Y167,AU167,X167)</x:f>
        <x:v>5</x:v>
      </x:c>
      <x:c r="S167" s="18" t="n">
        <x:f>J167-K167-L167</x:f>
        <x:v>12</x:v>
      </x:c>
      <x:c r="T167" s="18" t="n">
        <x:v>30</x:v>
      </x:c>
      <x:c r="U167" s="18" t="n">
        <x:v>2</x:v>
      </x:c>
      <x:c r="V167" s="18" t="n">
        <x:v>3</x:v>
      </x:c>
      <x:c r="W167" s="18" t="n">
        <x:v>3</x:v>
      </x:c>
      <x:c r="X167" s="18" t="n">
        <x:v>1</x:v>
      </x:c>
      <x:c r="Y167" s="18" t="n">
        <x:v>2</x:v>
      </x:c>
      <x:c r="Z167" s="18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10</x:v>
      </x:c>
      <x:c r="AE167" s="18" t="n">
        <x:v>0</x:v>
      </x:c>
      <x:c r="AF167" s="18" t="n">
        <x:v>0</x:v>
      </x:c>
      <x:c r="AG167" s="18" t="n">
        <x:v>0</x:v>
      </x:c>
      <x:c r="AH167" s="18" t="n">
        <x:v>0</x:v>
      </x:c>
      <x:c r="AI167" s="18" t="n">
        <x:v>1</x:v>
      </x:c>
      <x:c r="AJ167" s="18" t="n">
        <x:v>50</x:v>
      </x:c>
      <x:c r="AK167" s="18" t="n">
        <x:v>0</x:v>
      </x:c>
      <x:c r="AL167" s="18" t="n">
        <x:v>18</x:v>
      </x:c>
      <x:c r="AM167" s="18" t="n">
        <x:v>63</x:v>
      </x:c>
      <x:c r="AN167" s="18" t="n">
        <x:v>31</x:v>
      </x:c>
      <x:c r="AO167" s="18" t="n">
        <x:v>0</x:v>
      </x:c>
      <x:c r="AP167" s="18" t="n">
        <x:v>0</x:v>
      </x:c>
      <x:c r="AQ167" s="18" t="n">
        <x:v>0</x:v>
      </x:c>
      <x:c r="AR167" s="18" t="n">
        <x:v>0</x:v>
      </x:c>
      <x:c r="AS167" s="18" t="n">
        <x:v>0</x:v>
      </x:c>
      <x:c r="AT167" s="18" t="n">
        <x:v>0</x:v>
      </x:c>
      <x:c r="AU167" s="18" t="n">
        <x:v>2</x:v>
      </x:c>
      <x:c r="AV167" s="18" t="n">
        <x:v>130</x:v>
      </x:c>
      <x:c r="AW167" s="18" t="n">
        <x:v>0</x:v>
      </x:c>
      <x:c r="AX167" s="18" t="n">
        <x:v>1</x:v>
      </x:c>
      <x:c r="AY167" s="18" t="n">
        <x:v>0</x:v>
      </x:c>
      <x:c r="AZ167" s="18" t="n">
        <x:v>1</x:v>
      </x:c>
      <x:c r="BA167" s="18" t="n">
        <x:v>0</x:v>
      </x:c>
      <x:c r="BB167" s="18" t="n">
        <x:v>0</x:v>
      </x:c>
      <x:c r="BC167" s="18" t="n">
        <x:v>0</x:v>
      </x:c>
      <x:c r="BD167" s="18" t="n">
        <x:v>4</x:v>
      </x:c>
      <x:c r="BE167" s="18" t="n">
        <x:v>0</x:v>
      </x:c>
      <x:c r="BF167" s="18" t="n">
        <x:v>2</x:v>
      </x:c>
      <x:c r="BG167" s="18" t="n">
        <x:v>0</x:v>
      </x:c>
    </x:row>
    <x:row r="168">
      <x:c r="A168" s="29" t="str">
        <x:v>250.3</x:v>
      </x:c>
      <x:c r="B168" s="17" t="n">
        <x:v>3025</x:v>
      </x:c>
      <x:c r="C168" s="17" t="str">
        <x:v>בי"ס תיכון עירוני ה</x:v>
      </x:c>
      <x:c r="D168" s="17" t="str">
        <x:v>ביכורים 27</x:v>
      </x:c>
      <x:c r="E168" s="17" t="str">
        <x:v>גבוה מאוד</x:v>
      </x:c>
      <x:c r="F168" s="18" t="n">
        <x:v>578</x:v>
      </x:c>
      <x:c r="G168" s="18" t="n">
        <x:v>332</x:v>
      </x:c>
      <x:c r="H168" s="19" t="n">
        <x:f>IFERROR(G168/F168,0)</x:f>
        <x:v>0.5743944636678201</x:v>
      </x:c>
      <x:c r="I168" s="18" t="n">
        <x:v>4</x:v>
      </x:c>
      <x:c r="J168" s="18" t="n">
        <x:v>328</x:v>
      </x:c>
      <x:c r="K168" s="18" t="n">
        <x:f>SUM(AM168,BF168,W168,AD168)</x:f>
        <x:v>78</x:v>
      </x:c>
      <x:c r="L168" s="18" t="n">
        <x:f>Q168+R168</x:f>
        <x:v>237</x:v>
      </x:c>
      <x:c r="M168" s="19" t="n">
        <x:f>IFERROR(K168/J168,0)</x:f>
        <x:v>0.23780487804878048</x:v>
      </x:c>
      <x:c r="N168" s="19" t="n">
        <x:f>IFERROR(L168/J168,0)</x:f>
        <x:v>0.7225609756097561</x:v>
      </x:c>
      <x:c r="O168" s="17" t="str">
        <x:f>IF(K168&gt;MAX(L168,S168),"קואליציית ההקמה 2022",IF(L168&gt;MAX(K168,S168),"אופוזיציה רחבה 2022","רשימות אחרות"))</x:f>
        <x:v>אופוזיציה רחבה 2022</x:v>
      </x:c>
      <x:c r="P168" s="17" t="str">
        <x:f>IF(AND(H168&lt;50%,N168&gt;50%),"כן","לא")</x:f>
        <x:v>לא</x:v>
      </x:c>
      <x:c r="Q168" s="18" t="n">
        <x:f>SUM(AV168,AJ168,AL168,T168,AN168)</x:f>
        <x:v>231</x:v>
      </x:c>
      <x:c r="R168" s="18" t="n">
        <x:f>SUM(Y168,AU168,X168)</x:f>
        <x:v>6</x:v>
      </x:c>
      <x:c r="S168" s="18" t="n">
        <x:f>J168-K168-L168</x:f>
        <x:v>13</x:v>
      </x:c>
      <x:c r="T168" s="18" t="n">
        <x:v>19</x:v>
      </x:c>
      <x:c r="U168" s="18" t="n">
        <x:v>3</x:v>
      </x:c>
      <x:c r="V168" s="18" t="n">
        <x:v>2</x:v>
      </x:c>
      <x:c r="W168" s="18" t="n">
        <x:v>0</x:v>
      </x:c>
      <x:c r="X168" s="18" t="n">
        <x:v>3</x:v>
      </x:c>
      <x:c r="Y168" s="18" t="n">
        <x:v>3</x:v>
      </x:c>
      <x:c r="Z168" s="18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8</x:v>
      </x:c>
      <x:c r="AE168" s="18" t="n">
        <x:v>0</x:v>
      </x:c>
      <x:c r="AF168" s="18" t="n">
        <x:v>2</x:v>
      </x:c>
      <x:c r="AG168" s="18" t="n">
        <x:v>0</x:v>
      </x:c>
      <x:c r="AH168" s="18" t="n">
        <x:v>0</x:v>
      </x:c>
      <x:c r="AI168" s="18" t="n">
        <x:v>0</x:v>
      </x:c>
      <x:c r="AJ168" s="18" t="n">
        <x:v>37</x:v>
      </x:c>
      <x:c r="AK168" s="18" t="n">
        <x:v>0</x:v>
      </x:c>
      <x:c r="AL168" s="18" t="n">
        <x:v>13</x:v>
      </x:c>
      <x:c r="AM168" s="18" t="n">
        <x:v>67</x:v>
      </x:c>
      <x:c r="AN168" s="18" t="n">
        <x:v>24</x:v>
      </x:c>
      <x:c r="AO168" s="18" t="n">
        <x:v>0</x:v>
      </x:c>
      <x:c r="AP168" s="18" t="n">
        <x:v>0</x:v>
      </x:c>
      <x:c r="AQ168" s="18" t="n">
        <x:v>0</x:v>
      </x:c>
      <x:c r="AR168" s="18" t="n">
        <x:v>0</x:v>
      </x:c>
      <x:c r="AS168" s="18" t="n">
        <x:v>0</x:v>
      </x:c>
      <x:c r="AT168" s="18" t="n">
        <x:v>0</x:v>
      </x:c>
      <x:c r="AU168" s="18" t="n">
        <x:v>0</x:v>
      </x:c>
      <x:c r="AV168" s="18" t="n">
        <x:v>138</x:v>
      </x:c>
      <x:c r="AW168" s="18" t="n">
        <x:v>2</x:v>
      </x:c>
      <x:c r="AX168" s="18" t="n">
        <x:v>2</x:v>
      </x:c>
      <x:c r="AY168" s="18" t="n">
        <x:v>0</x:v>
      </x:c>
      <x:c r="AZ168" s="18" t="n">
        <x:v>1</x:v>
      </x:c>
      <x:c r="BA168" s="18" t="n">
        <x:v>0</x:v>
      </x:c>
      <x:c r="BB168" s="18" t="n">
        <x:v>0</x:v>
      </x:c>
      <x:c r="BC168" s="18" t="n">
        <x:v>0</x:v>
      </x:c>
      <x:c r="BD168" s="18" t="n">
        <x:v>1</x:v>
      </x:c>
      <x:c r="BE168" s="18" t="n">
        <x:v>0</x:v>
      </x:c>
      <x:c r="BF168" s="18" t="n">
        <x:v>3</x:v>
      </x:c>
      <x:c r="BG168" s="18" t="n">
        <x:v>0</x:v>
      </x:c>
    </x:row>
    <x:row r="169">
      <x:c r="A169" s="29" t="str">
        <x:v>250.4</x:v>
      </x:c>
      <x:c r="B169" s="17" t="n">
        <x:v>3026</x:v>
      </x:c>
      <x:c r="C169" s="17" t="str">
        <x:v>בי"ס תיכון עירוני ה</x:v>
      </x:c>
      <x:c r="D169" s="17" t="str">
        <x:v>ביכורים 27</x:v>
      </x:c>
      <x:c r="E169" s="17" t="str">
        <x:v>גבוה מאוד</x:v>
      </x:c>
      <x:c r="F169" s="18" t="n">
        <x:v>578</x:v>
      </x:c>
      <x:c r="G169" s="18" t="n">
        <x:v>332</x:v>
      </x:c>
      <x:c r="H169" s="19" t="n">
        <x:f>IFERROR(G169/F169,0)</x:f>
        <x:v>0.5743944636678201</x:v>
      </x:c>
      <x:c r="I169" s="18" t="n">
        <x:v>0</x:v>
      </x:c>
      <x:c r="J169" s="18" t="n">
        <x:v>332</x:v>
      </x:c>
      <x:c r="K169" s="18" t="n">
        <x:f>SUM(AM169,BF169,W169,AD169)</x:f>
        <x:v>68</x:v>
      </x:c>
      <x:c r="L169" s="18" t="n">
        <x:f>Q169+R169</x:f>
        <x:v>248</x:v>
      </x:c>
      <x:c r="M169" s="19" t="n">
        <x:f>IFERROR(K169/J169,0)</x:f>
        <x:v>0.20481927710843373</x:v>
      </x:c>
      <x:c r="N169" s="19" t="n">
        <x:f>IFERROR(L169/J169,0)</x:f>
        <x:v>0.7469879518072289</x:v>
      </x:c>
      <x:c r="O169" s="17" t="str">
        <x:f>IF(K169&gt;MAX(L169,S169),"קואליציית ההקמה 2022",IF(L169&gt;MAX(K169,S169),"אופוזיציה רחבה 2022","רשימות אחרות"))</x:f>
        <x:v>אופוזיציה רחבה 2022</x:v>
      </x:c>
      <x:c r="P169" s="17" t="str">
        <x:f>IF(AND(H169&lt;50%,N169&gt;50%),"כן","לא")</x:f>
        <x:v>לא</x:v>
      </x:c>
      <x:c r="Q169" s="18" t="n">
        <x:f>SUM(AV169,AJ169,AL169,T169,AN169)</x:f>
        <x:v>238</x:v>
      </x:c>
      <x:c r="R169" s="18" t="n">
        <x:f>SUM(Y169,AU169,X169)</x:f>
        <x:v>10</x:v>
      </x:c>
      <x:c r="S169" s="18" t="n">
        <x:f>J169-K169-L169</x:f>
        <x:v>16</x:v>
      </x:c>
      <x:c r="T169" s="18" t="n">
        <x:v>32</x:v>
      </x:c>
      <x:c r="U169" s="18" t="n">
        <x:v>1</x:v>
      </x:c>
      <x:c r="V169" s="18" t="n">
        <x:v>6</x:v>
      </x:c>
      <x:c r="W169" s="18" t="n">
        <x:v>2</x:v>
      </x:c>
      <x:c r="X169" s="18" t="n">
        <x:v>1</x:v>
      </x:c>
      <x:c r="Y169" s="18" t="n">
        <x:v>9</x:v>
      </x:c>
      <x:c r="Z169" s="18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12</x:v>
      </x:c>
      <x:c r="AE169" s="18" t="n">
        <x:v>0</x:v>
      </x:c>
      <x:c r="AF169" s="18" t="n">
        <x:v>1</x:v>
      </x:c>
      <x:c r="AG169" s="18" t="n">
        <x:v>0</x:v>
      </x:c>
      <x:c r="AH169" s="18" t="n">
        <x:v>0</x:v>
      </x:c>
      <x:c r="AI169" s="18" t="n">
        <x:v>0</x:v>
      </x:c>
      <x:c r="AJ169" s="18" t="n">
        <x:v>51</x:v>
      </x:c>
      <x:c r="AK169" s="18" t="n">
        <x:v>0</x:v>
      </x:c>
      <x:c r="AL169" s="18" t="n">
        <x:v>22</x:v>
      </x:c>
      <x:c r="AM169" s="18" t="n">
        <x:v>51</x:v>
      </x:c>
      <x:c r="AN169" s="18" t="n">
        <x:v>32</x:v>
      </x:c>
      <x:c r="AO169" s="18" t="n">
        <x:v>0</x:v>
      </x:c>
      <x:c r="AP169" s="18" t="n">
        <x:v>1</x:v>
      </x:c>
      <x:c r="AQ169" s="18" t="n">
        <x:v>0</x:v>
      </x:c>
      <x:c r="AR169" s="18" t="n">
        <x:v>0</x:v>
      </x:c>
      <x:c r="AS169" s="18" t="n">
        <x:v>0</x:v>
      </x:c>
      <x:c r="AT169" s="18" t="n">
        <x:v>0</x:v>
      </x:c>
      <x:c r="AU169" s="18" t="n">
        <x:v>0</x:v>
      </x:c>
      <x:c r="AV169" s="18" t="n">
        <x:v>101</x:v>
      </x:c>
      <x:c r="AW169" s="18" t="n">
        <x:v>0</x:v>
      </x:c>
      <x:c r="AX169" s="18" t="n">
        <x:v>0</x:v>
      </x:c>
      <x:c r="AY169" s="18" t="n">
        <x:v>0</x:v>
      </x:c>
      <x:c r="AZ169" s="18" t="n">
        <x:v>0</x:v>
      </x:c>
      <x:c r="BA169" s="18" t="n">
        <x:v>0</x:v>
      </x:c>
      <x:c r="BB169" s="18" t="n">
        <x:v>0</x:v>
      </x:c>
      <x:c r="BC169" s="18" t="n">
        <x:v>0</x:v>
      </x:c>
      <x:c r="BD169" s="18" t="n">
        <x:v>5</x:v>
      </x:c>
      <x:c r="BE169" s="18" t="n">
        <x:v>2</x:v>
      </x:c>
      <x:c r="BF169" s="18" t="n">
        <x:v>3</x:v>
      </x:c>
      <x:c r="BG169" s="18" t="n">
        <x:v>0</x:v>
      </x:c>
    </x:row>
    <x:row r="170">
      <x:c r="A170" s="29" t="str">
        <x:v>250.5</x:v>
      </x:c>
      <x:c r="B170" s="17" t="n">
        <x:v>3027</x:v>
      </x:c>
      <x:c r="C170" s="17" t="str">
        <x:v>בי"ס תיכון עירוני ה</x:v>
      </x:c>
      <x:c r="D170" s="17" t="str">
        <x:v>ביכורים 27</x:v>
      </x:c>
      <x:c r="E170" s="17" t="str">
        <x:v>גבוה מאוד</x:v>
      </x:c>
      <x:c r="F170" s="18" t="n">
        <x:v>578</x:v>
      </x:c>
      <x:c r="G170" s="18" t="n">
        <x:v>351</x:v>
      </x:c>
      <x:c r="H170" s="19" t="n">
        <x:f>IFERROR(G170/F170,0)</x:f>
        <x:v>0.6072664359861591</x:v>
      </x:c>
      <x:c r="I170" s="18" t="n">
        <x:v>0</x:v>
      </x:c>
      <x:c r="J170" s="18" t="n">
        <x:v>351</x:v>
      </x:c>
      <x:c r="K170" s="18" t="n">
        <x:f>SUM(AM170,BF170,W170,AD170)</x:f>
        <x:v>73</x:v>
      </x:c>
      <x:c r="L170" s="18" t="n">
        <x:f>Q170+R170</x:f>
        <x:v>270</x:v>
      </x:c>
      <x:c r="M170" s="19" t="n">
        <x:f>IFERROR(K170/J170,0)</x:f>
        <x:v>0.20797720797720798</x:v>
      </x:c>
      <x:c r="N170" s="19" t="n">
        <x:f>IFERROR(L170/J170,0)</x:f>
        <x:v>0.7692307692307693</x:v>
      </x:c>
      <x:c r="O170" s="17" t="str">
        <x:f>IF(K170&gt;MAX(L170,S170),"קואליציית ההקמה 2022",IF(L170&gt;MAX(K170,S170),"אופוזיציה רחבה 2022","רשימות אחרות"))</x:f>
        <x:v>אופוזיציה רחבה 2022</x:v>
      </x:c>
      <x:c r="P170" s="17" t="str">
        <x:f>IF(AND(H170&lt;50%,N170&gt;50%),"כן","לא")</x:f>
        <x:v>לא</x:v>
      </x:c>
      <x:c r="Q170" s="18" t="n">
        <x:f>SUM(AV170,AJ170,AL170,T170,AN170)</x:f>
        <x:v>262</x:v>
      </x:c>
      <x:c r="R170" s="18" t="n">
        <x:f>SUM(Y170,AU170,X170)</x:f>
        <x:v>8</x:v>
      </x:c>
      <x:c r="S170" s="18" t="n">
        <x:f>J170-K170-L170</x:f>
        <x:v>8</x:v>
      </x:c>
      <x:c r="T170" s="18" t="n">
        <x:v>31</x:v>
      </x:c>
      <x:c r="U170" s="18" t="n">
        <x:v>3</x:v>
      </x:c>
      <x:c r="V170" s="18" t="n">
        <x:v>2</x:v>
      </x:c>
      <x:c r="W170" s="18" t="n">
        <x:v>0</x:v>
      </x:c>
      <x:c r="X170" s="18" t="n">
        <x:v>1</x:v>
      </x:c>
      <x:c r="Y170" s="18" t="n">
        <x:v>7</x:v>
      </x:c>
      <x:c r="Z170" s="18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10</x:v>
      </x:c>
      <x:c r="AE170" s="18" t="n">
        <x:v>0</x:v>
      </x:c>
      <x:c r="AF170" s="18" t="n">
        <x:v>1</x:v>
      </x:c>
      <x:c r="AG170" s="18" t="n">
        <x:v>1</x:v>
      </x:c>
      <x:c r="AH170" s="18" t="n">
        <x:v>0</x:v>
      </x:c>
      <x:c r="AI170" s="18" t="n">
        <x:v>0</x:v>
      </x:c>
      <x:c r="AJ170" s="18" t="n">
        <x:v>38</x:v>
      </x:c>
      <x:c r="AK170" s="18" t="n">
        <x:v>0</x:v>
      </x:c>
      <x:c r="AL170" s="18" t="n">
        <x:v>26</x:v>
      </x:c>
      <x:c r="AM170" s="18" t="n">
        <x:v>62</x:v>
      </x:c>
      <x:c r="AN170" s="18" t="n">
        <x:v>16</x:v>
      </x:c>
      <x:c r="AO170" s="18" t="n">
        <x:v>0</x:v>
      </x:c>
      <x:c r="AP170" s="18" t="n">
        <x:v>0</x:v>
      </x:c>
      <x:c r="AQ170" s="18" t="n">
        <x:v>0</x:v>
      </x:c>
      <x:c r="AR170" s="18" t="n">
        <x:v>0</x:v>
      </x:c>
      <x:c r="AS170" s="18" t="n">
        <x:v>0</x:v>
      </x:c>
      <x:c r="AT170" s="18" t="n">
        <x:v>0</x:v>
      </x:c>
      <x:c r="AU170" s="18" t="n">
        <x:v>0</x:v>
      </x:c>
      <x:c r="AV170" s="18" t="n">
        <x:v>151</x:v>
      </x:c>
      <x:c r="AW170" s="18" t="n">
        <x:v>0</x:v>
      </x:c>
      <x:c r="AX170" s="18" t="n">
        <x:v>0</x:v>
      </x:c>
      <x:c r="AY170" s="18" t="n">
        <x:v>0</x:v>
      </x:c>
      <x:c r="AZ170" s="18" t="n">
        <x:v>0</x:v>
      </x:c>
      <x:c r="BA170" s="18" t="n">
        <x:v>0</x:v>
      </x:c>
      <x:c r="BB170" s="18" t="n">
        <x:v>0</x:v>
      </x:c>
      <x:c r="BC170" s="18" t="n">
        <x:v>0</x:v>
      </x:c>
      <x:c r="BD170" s="18" t="n">
        <x:v>1</x:v>
      </x:c>
      <x:c r="BE170" s="18" t="n">
        <x:v>0</x:v>
      </x:c>
      <x:c r="BF170" s="18" t="n">
        <x:v>1</x:v>
      </x:c>
      <x:c r="BG170" s="18" t="n">
        <x:v>0</x:v>
      </x:c>
    </x:row>
    <x:row r="171">
      <x:c r="A171" s="29" t="str">
        <x:v>254.1</x:v>
      </x:c>
      <x:c r="B171" s="17" t="n">
        <x:v>3028</x:v>
      </x:c>
      <x:c r="C171" s="17" t="str">
        <x:v>גני ילדים</x:v>
      </x:c>
      <x:c r="D171" s="17" t="str">
        <x:v>לאה 39</x:v>
      </x:c>
      <x:c r="E171" s="17" t="str">
        <x:v>גבוה מאוד</x:v>
      </x:c>
      <x:c r="F171" s="18" t="n">
        <x:v>682</x:v>
      </x:c>
      <x:c r="G171" s="18" t="n">
        <x:v>482</x:v>
      </x:c>
      <x:c r="H171" s="19" t="n">
        <x:f>IFERROR(G171/F171,0)</x:f>
        <x:v>0.7067448680351907</x:v>
      </x:c>
      <x:c r="I171" s="18" t="n">
        <x:v>2</x:v>
      </x:c>
      <x:c r="J171" s="18" t="n">
        <x:v>480</x:v>
      </x:c>
      <x:c r="K171" s="18" t="n">
        <x:f>SUM(AM171,BF171,W171,AD171)</x:f>
        <x:v>83</x:v>
      </x:c>
      <x:c r="L171" s="18" t="n">
        <x:f>Q171+R171</x:f>
        <x:v>380</x:v>
      </x:c>
      <x:c r="M171" s="19" t="n">
        <x:f>IFERROR(K171/J171,0)</x:f>
        <x:v>0.17291666666666666</x:v>
      </x:c>
      <x:c r="N171" s="19" t="n">
        <x:f>IFERROR(L171/J171,0)</x:f>
        <x:v>0.7916666666666666</x:v>
      </x:c>
      <x:c r="O171" s="17" t="str">
        <x:f>IF(K171&gt;MAX(L171,S171),"קואליציית ההקמה 2022",IF(L171&gt;MAX(K171,S171),"אופוזיציה רחבה 2022","רשימות אחרות"))</x:f>
        <x:v>אופוזיציה רחבה 2022</x:v>
      </x:c>
      <x:c r="P171" s="17" t="str">
        <x:f>IF(AND(H171&lt;50%,N171&gt;50%),"כן","לא")</x:f>
        <x:v>לא</x:v>
      </x:c>
      <x:c r="Q171" s="18" t="n">
        <x:f>SUM(AV171,AJ171,AL171,T171,AN171)</x:f>
        <x:v>376</x:v>
      </x:c>
      <x:c r="R171" s="18" t="n">
        <x:f>SUM(Y171,AU171,X171)</x:f>
        <x:v>4</x:v>
      </x:c>
      <x:c r="S171" s="18" t="n">
        <x:f>J171-K171-L171</x:f>
        <x:v>17</x:v>
      </x:c>
      <x:c r="T171" s="18" t="n">
        <x:v>46</x:v>
      </x:c>
      <x:c r="U171" s="18" t="n">
        <x:v>1</x:v>
      </x:c>
      <x:c r="V171" s="18" t="n">
        <x:v>8</x:v>
      </x:c>
      <x:c r="W171" s="18" t="n">
        <x:v>1</x:v>
      </x:c>
      <x:c r="X171" s="18" t="n">
        <x:v>0</x:v>
      </x:c>
      <x:c r="Y171" s="18" t="n">
        <x:v>3</x:v>
      </x:c>
      <x:c r="Z171" s="18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12</x:v>
      </x:c>
      <x:c r="AE171" s="18" t="n">
        <x:v>2</x:v>
      </x:c>
      <x:c r="AF171" s="18" t="n">
        <x:v>1</x:v>
      </x:c>
      <x:c r="AG171" s="18" t="n">
        <x:v>0</x:v>
      </x:c>
      <x:c r="AH171" s="18" t="n">
        <x:v>0</x:v>
      </x:c>
      <x:c r="AI171" s="18" t="n">
        <x:v>0</x:v>
      </x:c>
      <x:c r="AJ171" s="18" t="n">
        <x:v>65</x:v>
      </x:c>
      <x:c r="AK171" s="18" t="n">
        <x:v>0</x:v>
      </x:c>
      <x:c r="AL171" s="18" t="n">
        <x:v>17</x:v>
      </x:c>
      <x:c r="AM171" s="18" t="n">
        <x:v>68</x:v>
      </x:c>
      <x:c r="AN171" s="18" t="n">
        <x:v>45</x:v>
      </x:c>
      <x:c r="AO171" s="18" t="n">
        <x:v>0</x:v>
      </x:c>
      <x:c r="AP171" s="18" t="n">
        <x:v>0</x:v>
      </x:c>
      <x:c r="AQ171" s="18" t="n">
        <x:v>0</x:v>
      </x:c>
      <x:c r="AR171" s="18" t="n">
        <x:v>0</x:v>
      </x:c>
      <x:c r="AS171" s="18" t="n">
        <x:v>1</x:v>
      </x:c>
      <x:c r="AT171" s="18" t="n">
        <x:v>0</x:v>
      </x:c>
      <x:c r="AU171" s="18" t="n">
        <x:v>1</x:v>
      </x:c>
      <x:c r="AV171" s="18" t="n">
        <x:v>203</x:v>
      </x:c>
      <x:c r="AW171" s="18" t="n">
        <x:v>0</x:v>
      </x:c>
      <x:c r="AX171" s="18" t="n">
        <x:v>0</x:v>
      </x:c>
      <x:c r="AY171" s="18" t="n">
        <x:v>1</x:v>
      </x:c>
      <x:c r="AZ171" s="18" t="n">
        <x:v>0</x:v>
      </x:c>
      <x:c r="BA171" s="18" t="n">
        <x:v>0</x:v>
      </x:c>
      <x:c r="BB171" s="18" t="n">
        <x:v>0</x:v>
      </x:c>
      <x:c r="BC171" s="18" t="n">
        <x:v>0</x:v>
      </x:c>
      <x:c r="BD171" s="18" t="n">
        <x:v>3</x:v>
      </x:c>
      <x:c r="BE171" s="18" t="n">
        <x:v>0</x:v>
      </x:c>
      <x:c r="BF171" s="18" t="n">
        <x:v>2</x:v>
      </x:c>
      <x:c r="BG171" s="18" t="n">
        <x:v>0</x:v>
      </x:c>
    </x:row>
    <x:row r="172">
      <x:c r="A172" s="29" t="str">
        <x:v>254.2</x:v>
      </x:c>
      <x:c r="B172" s="17" t="n">
        <x:v>3029</x:v>
      </x:c>
      <x:c r="C172" s="17" t="str">
        <x:v>גני ילדים</x:v>
      </x:c>
      <x:c r="D172" s="17" t="str">
        <x:v>לאה 39</x:v>
      </x:c>
      <x:c r="E172" s="17" t="str">
        <x:v>גבוה מאוד</x:v>
      </x:c>
      <x:c r="F172" s="18" t="n">
        <x:v>682</x:v>
      </x:c>
      <x:c r="G172" s="18" t="n">
        <x:v>481</x:v>
      </x:c>
      <x:c r="H172" s="19" t="n">
        <x:f>IFERROR(G172/F172,0)</x:f>
        <x:v>0.7052785923753666</x:v>
      </x:c>
      <x:c r="I172" s="18" t="n">
        <x:v>1</x:v>
      </x:c>
      <x:c r="J172" s="18" t="n">
        <x:v>480</x:v>
      </x:c>
      <x:c r="K172" s="18" t="n">
        <x:f>SUM(AM172,BF172,W172,AD172)</x:f>
        <x:v>74</x:v>
      </x:c>
      <x:c r="L172" s="18" t="n">
        <x:f>Q172+R172</x:f>
        <x:v>393</x:v>
      </x:c>
      <x:c r="M172" s="19" t="n">
        <x:f>IFERROR(K172/J172,0)</x:f>
        <x:v>0.15416666666666667</x:v>
      </x:c>
      <x:c r="N172" s="19" t="n">
        <x:f>IFERROR(L172/J172,0)</x:f>
        <x:v>0.81875</x:v>
      </x:c>
      <x:c r="O172" s="17" t="str">
        <x:f>IF(K172&gt;MAX(L172,S172),"קואליציית ההקמה 2022",IF(L172&gt;MAX(K172,S172),"אופוזיציה רחבה 2022","רשימות אחרות"))</x:f>
        <x:v>אופוזיציה רחבה 2022</x:v>
      </x:c>
      <x:c r="P172" s="17" t="str">
        <x:f>IF(AND(H172&lt;50%,N172&gt;50%),"כן","לא")</x:f>
        <x:v>לא</x:v>
      </x:c>
      <x:c r="Q172" s="18" t="n">
        <x:f>SUM(AV172,AJ172,AL172,T172,AN172)</x:f>
        <x:v>387</x:v>
      </x:c>
      <x:c r="R172" s="18" t="n">
        <x:f>SUM(Y172,AU172,X172)</x:f>
        <x:v>6</x:v>
      </x:c>
      <x:c r="S172" s="18" t="n">
        <x:f>J172-K172-L172</x:f>
        <x:v>13</x:v>
      </x:c>
      <x:c r="T172" s="18" t="n">
        <x:v>32</x:v>
      </x:c>
      <x:c r="U172" s="18" t="n">
        <x:v>1</x:v>
      </x:c>
      <x:c r="V172" s="18" t="n">
        <x:v>5</x:v>
      </x:c>
      <x:c r="W172" s="18" t="n">
        <x:v>0</x:v>
      </x:c>
      <x:c r="X172" s="18" t="n">
        <x:v>1</x:v>
      </x:c>
      <x:c r="Y172" s="18" t="n">
        <x:v>3</x:v>
      </x:c>
      <x:c r="Z172" s="18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12</x:v>
      </x:c>
      <x:c r="AE172" s="18" t="n">
        <x:v>0</x:v>
      </x:c>
      <x:c r="AF172" s="18" t="n">
        <x:v>1</x:v>
      </x:c>
      <x:c r="AG172" s="18" t="n">
        <x:v>0</x:v>
      </x:c>
      <x:c r="AH172" s="18" t="n">
        <x:v>1</x:v>
      </x:c>
      <x:c r="AI172" s="18" t="n">
        <x:v>0</x:v>
      </x:c>
      <x:c r="AJ172" s="18" t="n">
        <x:v>93</x:v>
      </x:c>
      <x:c r="AK172" s="18" t="n">
        <x:v>0</x:v>
      </x:c>
      <x:c r="AL172" s="18" t="n">
        <x:v>17</x:v>
      </x:c>
      <x:c r="AM172" s="18" t="n">
        <x:v>58</x:v>
      </x:c>
      <x:c r="AN172" s="18" t="n">
        <x:v>31</x:v>
      </x:c>
      <x:c r="AO172" s="18" t="n">
        <x:v>0</x:v>
      </x:c>
      <x:c r="AP172" s="18" t="n">
        <x:v>0</x:v>
      </x:c>
      <x:c r="AQ172" s="18" t="n">
        <x:v>0</x:v>
      </x:c>
      <x:c r="AR172" s="18" t="n">
        <x:v>0</x:v>
      </x:c>
      <x:c r="AS172" s="18" t="n">
        <x:v>0</x:v>
      </x:c>
      <x:c r="AT172" s="18" t="n">
        <x:v>1</x:v>
      </x:c>
      <x:c r="AU172" s="18" t="n">
        <x:v>2</x:v>
      </x:c>
      <x:c r="AV172" s="18" t="n">
        <x:v>214</x:v>
      </x:c>
      <x:c r="AW172" s="18" t="n">
        <x:v>0</x:v>
      </x:c>
      <x:c r="AX172" s="18" t="n">
        <x:v>1</x:v>
      </x:c>
      <x:c r="AY172" s="18" t="n">
        <x:v>0</x:v>
      </x:c>
      <x:c r="AZ172" s="18" t="n">
        <x:v>0</x:v>
      </x:c>
      <x:c r="BA172" s="18" t="n">
        <x:v>0</x:v>
      </x:c>
      <x:c r="BB172" s="18" t="n">
        <x:v>0</x:v>
      </x:c>
      <x:c r="BC172" s="18" t="n">
        <x:v>0</x:v>
      </x:c>
      <x:c r="BD172" s="18" t="n">
        <x:v>3</x:v>
      </x:c>
      <x:c r="BE172" s="18" t="n">
        <x:v>0</x:v>
      </x:c>
      <x:c r="BF172" s="18" t="n">
        <x:v>4</x:v>
      </x:c>
      <x:c r="BG172" s="18" t="n">
        <x:v>0</x:v>
      </x:c>
    </x:row>
    <x:row r="173">
      <x:c r="A173" s="29" t="str">
        <x:v>254.3</x:v>
      </x:c>
      <x:c r="B173" s="17" t="n">
        <x:v>3030</x:v>
      </x:c>
      <x:c r="C173" s="17" t="str">
        <x:v>גני ילדים</x:v>
      </x:c>
      <x:c r="D173" s="17" t="str">
        <x:v>לאה 39</x:v>
      </x:c>
      <x:c r="E173" s="17" t="str">
        <x:v>גבוה מאוד</x:v>
      </x:c>
      <x:c r="F173" s="18" t="n">
        <x:v>681</x:v>
      </x:c>
      <x:c r="G173" s="18" t="n">
        <x:v>467</x:v>
      </x:c>
      <x:c r="H173" s="19" t="n">
        <x:f>IFERROR(G173/F173,0)</x:f>
        <x:v>0.6857562408223201</x:v>
      </x:c>
      <x:c r="I173" s="18" t="n">
        <x:v>1</x:v>
      </x:c>
      <x:c r="J173" s="18" t="n">
        <x:v>466</x:v>
      </x:c>
      <x:c r="K173" s="18" t="n">
        <x:f>SUM(AM173,BF173,W173,AD173)</x:f>
        <x:v>75</x:v>
      </x:c>
      <x:c r="L173" s="18" t="n">
        <x:f>Q173+R173</x:f>
        <x:v>377</x:v>
      </x:c>
      <x:c r="M173" s="19" t="n">
        <x:f>IFERROR(K173/J173,0)</x:f>
        <x:v>0.1609442060085837</x:v>
      </x:c>
      <x:c r="N173" s="19" t="n">
        <x:f>IFERROR(L173/J173,0)</x:f>
        <x:v>0.8090128755364807</x:v>
      </x:c>
      <x:c r="O173" s="17" t="str">
        <x:f>IF(K173&gt;MAX(L173,S173),"קואליציית ההקמה 2022",IF(L173&gt;MAX(K173,S173),"אופוזיציה רחבה 2022","רשימות אחרות"))</x:f>
        <x:v>אופוזיציה רחבה 2022</x:v>
      </x:c>
      <x:c r="P173" s="17" t="str">
        <x:f>IF(AND(H173&lt;50%,N173&gt;50%),"כן","לא")</x:f>
        <x:v>לא</x:v>
      </x:c>
      <x:c r="Q173" s="18" t="n">
        <x:f>SUM(AV173,AJ173,AL173,T173,AN173)</x:f>
        <x:v>369</x:v>
      </x:c>
      <x:c r="R173" s="18" t="n">
        <x:f>SUM(Y173,AU173,X173)</x:f>
        <x:v>8</x:v>
      </x:c>
      <x:c r="S173" s="18" t="n">
        <x:f>J173-K173-L173</x:f>
        <x:v>14</x:v>
      </x:c>
      <x:c r="T173" s="18" t="n">
        <x:v>28</x:v>
      </x:c>
      <x:c r="U173" s="18" t="n">
        <x:v>3</x:v>
      </x:c>
      <x:c r="V173" s="18" t="n">
        <x:v>2</x:v>
      </x:c>
      <x:c r="W173" s="18" t="n">
        <x:v>2</x:v>
      </x:c>
      <x:c r="X173" s="18" t="n">
        <x:v>4</x:v>
      </x:c>
      <x:c r="Y173" s="18" t="n">
        <x:v>4</x:v>
      </x:c>
      <x:c r="Z173" s="18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10</x:v>
      </x:c>
      <x:c r="AE173" s="18" t="n">
        <x:v>0</x:v>
      </x:c>
      <x:c r="AF173" s="18" t="n">
        <x:v>0</x:v>
      </x:c>
      <x:c r="AG173" s="18" t="n">
        <x:v>0</x:v>
      </x:c>
      <x:c r="AH173" s="18" t="n">
        <x:v>0</x:v>
      </x:c>
      <x:c r="AI173" s="18" t="n">
        <x:v>0</x:v>
      </x:c>
      <x:c r="AJ173" s="18" t="n">
        <x:v>60</x:v>
      </x:c>
      <x:c r="AK173" s="18" t="n">
        <x:v>0</x:v>
      </x:c>
      <x:c r="AL173" s="18" t="n">
        <x:v>19</x:v>
      </x:c>
      <x:c r="AM173" s="18" t="n">
        <x:v>62</x:v>
      </x:c>
      <x:c r="AN173" s="18" t="n">
        <x:v>37</x:v>
      </x:c>
      <x:c r="AO173" s="18" t="n">
        <x:v>0</x:v>
      </x:c>
      <x:c r="AP173" s="18" t="n">
        <x:v>0</x:v>
      </x:c>
      <x:c r="AQ173" s="18" t="n">
        <x:v>0</x:v>
      </x:c>
      <x:c r="AR173" s="18" t="n">
        <x:v>0</x:v>
      </x:c>
      <x:c r="AS173" s="18" t="n">
        <x:v>0</x:v>
      </x:c>
      <x:c r="AT173" s="18" t="n">
        <x:v>0</x:v>
      </x:c>
      <x:c r="AU173" s="18" t="n">
        <x:v>0</x:v>
      </x:c>
      <x:c r="AV173" s="18" t="n">
        <x:v>225</x:v>
      </x:c>
      <x:c r="AW173" s="18" t="n">
        <x:v>0</x:v>
      </x:c>
      <x:c r="AX173" s="18" t="n">
        <x:v>0</x:v>
      </x:c>
      <x:c r="AY173" s="18" t="n">
        <x:v>0</x:v>
      </x:c>
      <x:c r="AZ173" s="18" t="n">
        <x:v>1</x:v>
      </x:c>
      <x:c r="BA173" s="18" t="n">
        <x:v>0</x:v>
      </x:c>
      <x:c r="BB173" s="18" t="n">
        <x:v>1</x:v>
      </x:c>
      <x:c r="BC173" s="18" t="n">
        <x:v>0</x:v>
      </x:c>
      <x:c r="BD173" s="18" t="n">
        <x:v>7</x:v>
      </x:c>
      <x:c r="BE173" s="18" t="n">
        <x:v>0</x:v>
      </x:c>
      <x:c r="BF173" s="18" t="n">
        <x:v>1</x:v>
      </x:c>
      <x:c r="BG173" s="18" t="n">
        <x:v>0</x:v>
      </x:c>
    </x:row>
    <x:row r="174">
      <x:c r="A174" s="29" t="str">
        <x:v>255.1</x:v>
      </x:c>
      <x:c r="B174" s="17" t="n">
        <x:v>3031</x:v>
      </x:c>
      <x:c r="C174" s="17" t="str">
        <x:v>בי"ס אחמדיה</x:v>
      </x:c>
      <x:c r="D174" s="17" t="str">
        <x:v>גלאל אל דין 3</x:v>
      </x:c>
      <x:c r="E174" s="17" t="str">
        <x:v>גבוה מאוד</x:v>
      </x:c>
      <x:c r="F174" s="18" t="n">
        <x:v>589</x:v>
      </x:c>
      <x:c r="G174" s="18" t="n">
        <x:v>354</x:v>
      </x:c>
      <x:c r="H174" s="19" t="n">
        <x:f>IFERROR(G174/F174,0)</x:f>
        <x:v>0.601018675721562</x:v>
      </x:c>
      <x:c r="I174" s="18" t="n">
        <x:v>0</x:v>
      </x:c>
      <x:c r="J174" s="18" t="n">
        <x:v>354</x:v>
      </x:c>
      <x:c r="K174" s="18" t="n">
        <x:f>SUM(AM174,BF174,W174,AD174)</x:f>
        <x:v>38</x:v>
      </x:c>
      <x:c r="L174" s="18" t="n">
        <x:f>Q174+R174</x:f>
        <x:v>311</x:v>
      </x:c>
      <x:c r="M174" s="19" t="n">
        <x:f>IFERROR(K174/J174,0)</x:f>
        <x:v>0.10734463276836158</x:v>
      </x:c>
      <x:c r="N174" s="19" t="n">
        <x:f>IFERROR(L174/J174,0)</x:f>
        <x:v>0.8785310734463276</x:v>
      </x:c>
      <x:c r="O174" s="17" t="str">
        <x:f>IF(K174&gt;MAX(L174,S174),"קואליציית ההקמה 2022",IF(L174&gt;MAX(K174,S174),"אופוזיציה רחבה 2022","רשימות אחרות"))</x:f>
        <x:v>אופוזיציה רחבה 2022</x:v>
      </x:c>
      <x:c r="P174" s="17" t="str">
        <x:f>IF(AND(H174&lt;50%,N174&gt;50%),"כן","לא")</x:f>
        <x:v>לא</x:v>
      </x:c>
      <x:c r="Q174" s="18" t="n">
        <x:f>SUM(AV174,AJ174,AL174,T174,AN174)</x:f>
        <x:v>163</x:v>
      </x:c>
      <x:c r="R174" s="18" t="n">
        <x:f>SUM(Y174,AU174,X174)</x:f>
        <x:v>148</x:v>
      </x:c>
      <x:c r="S174" s="18" t="n">
        <x:f>J174-K174-L174</x:f>
        <x:v>5</x:v>
      </x:c>
      <x:c r="T174" s="18" t="n">
        <x:v>22</x:v>
      </x:c>
      <x:c r="U174" s="18" t="n">
        <x:v>0</x:v>
      </x:c>
      <x:c r="V174" s="18" t="n">
        <x:v>3</x:v>
      </x:c>
      <x:c r="W174" s="18" t="n">
        <x:v>0</x:v>
      </x:c>
      <x:c r="X174" s="18" t="n">
        <x:v>48</x:v>
      </x:c>
      <x:c r="Y174" s="18" t="n">
        <x:v>80</x:v>
      </x:c>
      <x:c r="Z174" s="18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7</x:v>
      </x:c>
      <x:c r="AE174" s="18" t="n">
        <x:v>0</x:v>
      </x:c>
      <x:c r="AF174" s="18" t="n">
        <x:v>0</x:v>
      </x:c>
      <x:c r="AG174" s="18" t="n">
        <x:v>0</x:v>
      </x:c>
      <x:c r="AH174" s="18" t="n">
        <x:v>0</x:v>
      </x:c>
      <x:c r="AI174" s="18" t="n">
        <x:v>0</x:v>
      </x:c>
      <x:c r="AJ174" s="18" t="n">
        <x:v>20</x:v>
      </x:c>
      <x:c r="AK174" s="18" t="n">
        <x:v>0</x:v>
      </x:c>
      <x:c r="AL174" s="18" t="n">
        <x:v>6</x:v>
      </x:c>
      <x:c r="AM174" s="18" t="n">
        <x:v>31</x:v>
      </x:c>
      <x:c r="AN174" s="18" t="n">
        <x:v>32</x:v>
      </x:c>
      <x:c r="AO174" s="18" t="n">
        <x:v>0</x:v>
      </x:c>
      <x:c r="AP174" s="18" t="n">
        <x:v>0</x:v>
      </x:c>
      <x:c r="AQ174" s="18" t="n">
        <x:v>0</x:v>
      </x:c>
      <x:c r="AR174" s="18" t="n">
        <x:v>0</x:v>
      </x:c>
      <x:c r="AS174" s="18" t="n">
        <x:v>0</x:v>
      </x:c>
      <x:c r="AT174" s="18" t="n">
        <x:v>1</x:v>
      </x:c>
      <x:c r="AU174" s="18" t="n">
        <x:v>20</x:v>
      </x:c>
      <x:c r="AV174" s="18" t="n">
        <x:v>83</x:v>
      </x:c>
      <x:c r="AW174" s="18" t="n">
        <x:v>0</x:v>
      </x:c>
      <x:c r="AX174" s="18" t="n">
        <x:v>0</x:v>
      </x:c>
      <x:c r="AY174" s="18" t="n">
        <x:v>0</x:v>
      </x:c>
      <x:c r="AZ174" s="18" t="n">
        <x:v>0</x:v>
      </x:c>
      <x:c r="BA174" s="18" t="n">
        <x:v>0</x:v>
      </x:c>
      <x:c r="BB174" s="18" t="n">
        <x:v>0</x:v>
      </x:c>
      <x:c r="BC174" s="18" t="n">
        <x:v>0</x:v>
      </x:c>
      <x:c r="BD174" s="18" t="n">
        <x:v>1</x:v>
      </x:c>
      <x:c r="BE174" s="18" t="n">
        <x:v>0</x:v>
      </x:c>
      <x:c r="BF174" s="18" t="n">
        <x:v>0</x:v>
      </x:c>
      <x:c r="BG174" s="18" t="n">
        <x:v>0</x:v>
      </x:c>
    </x:row>
    <x:row r="175">
      <x:c r="A175" s="29" t="str">
        <x:v>255.2</x:v>
      </x:c>
      <x:c r="B175" s="17" t="n">
        <x:v>3032</x:v>
      </x:c>
      <x:c r="C175" s="17" t="str">
        <x:v>בי"ס אחמדיה</x:v>
      </x:c>
      <x:c r="D175" s="17" t="str">
        <x:v>גלאל אל דין 3</x:v>
      </x:c>
      <x:c r="E175" s="17" t="str">
        <x:v>גבוה מאוד</x:v>
      </x:c>
      <x:c r="F175" s="18" t="n">
        <x:v>589</x:v>
      </x:c>
      <x:c r="G175" s="18" t="n">
        <x:v>356</x:v>
      </x:c>
      <x:c r="H175" s="19" t="n">
        <x:f>IFERROR(G175/F175,0)</x:f>
        <x:v>0.6044142614601019</x:v>
      </x:c>
      <x:c r="I175" s="18" t="n">
        <x:v>2</x:v>
      </x:c>
      <x:c r="J175" s="18" t="n">
        <x:v>354</x:v>
      </x:c>
      <x:c r="K175" s="18" t="n">
        <x:f>SUM(AM175,BF175,W175,AD175)</x:f>
        <x:v>39</x:v>
      </x:c>
      <x:c r="L175" s="18" t="n">
        <x:f>Q175+R175</x:f>
        <x:v>310</x:v>
      </x:c>
      <x:c r="M175" s="19" t="n">
        <x:f>IFERROR(K175/J175,0)</x:f>
        <x:v>0.11016949152542373</x:v>
      </x:c>
      <x:c r="N175" s="19" t="n">
        <x:f>IFERROR(L175/J175,0)</x:f>
        <x:v>0.8757062146892656</x:v>
      </x:c>
      <x:c r="O175" s="17" t="str">
        <x:f>IF(K175&gt;MAX(L175,S175),"קואליציית ההקמה 2022",IF(L175&gt;MAX(K175,S175),"אופוזיציה רחבה 2022","רשימות אחרות"))</x:f>
        <x:v>אופוזיציה רחבה 2022</x:v>
      </x:c>
      <x:c r="P175" s="17" t="str">
        <x:f>IF(AND(H175&lt;50%,N175&gt;50%),"כן","לא")</x:f>
        <x:v>לא</x:v>
      </x:c>
      <x:c r="Q175" s="18" t="n">
        <x:f>SUM(AV175,AJ175,AL175,T175,AN175)</x:f>
        <x:v>153</x:v>
      </x:c>
      <x:c r="R175" s="18" t="n">
        <x:f>SUM(Y175,AU175,X175)</x:f>
        <x:v>157</x:v>
      </x:c>
      <x:c r="S175" s="18" t="n">
        <x:f>J175-K175-L175</x:f>
        <x:v>5</x:v>
      </x:c>
      <x:c r="T175" s="18" t="n">
        <x:v>14</x:v>
      </x:c>
      <x:c r="U175" s="18" t="n">
        <x:v>0</x:v>
      </x:c>
      <x:c r="V175" s="18" t="n">
        <x:v>1</x:v>
      </x:c>
      <x:c r="W175" s="18" t="n">
        <x:v>0</x:v>
      </x:c>
      <x:c r="X175" s="18" t="n">
        <x:v>60</x:v>
      </x:c>
      <x:c r="Y175" s="18" t="n">
        <x:v>83</x:v>
      </x:c>
      <x:c r="Z175" s="18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3</x:v>
      </x:c>
      <x:c r="AE175" s="18" t="n">
        <x:v>0</x:v>
      </x:c>
      <x:c r="AF175" s="18" t="n">
        <x:v>2</x:v>
      </x:c>
      <x:c r="AG175" s="18" t="n">
        <x:v>0</x:v>
      </x:c>
      <x:c r="AH175" s="18" t="n">
        <x:v>0</x:v>
      </x:c>
      <x:c r="AI175" s="18" t="n">
        <x:v>0</x:v>
      </x:c>
      <x:c r="AJ175" s="18" t="n">
        <x:v>23</x:v>
      </x:c>
      <x:c r="AK175" s="18" t="n">
        <x:v>0</x:v>
      </x:c>
      <x:c r="AL175" s="18" t="n">
        <x:v>6</x:v>
      </x:c>
      <x:c r="AM175" s="18" t="n">
        <x:v>36</x:v>
      </x:c>
      <x:c r="AN175" s="18" t="n">
        <x:v>33</x:v>
      </x:c>
      <x:c r="AO175" s="18" t="n">
        <x:v>0</x:v>
      </x:c>
      <x:c r="AP175" s="18" t="n">
        <x:v>0</x:v>
      </x:c>
      <x:c r="AQ175" s="18" t="n">
        <x:v>0</x:v>
      </x:c>
      <x:c r="AR175" s="18" t="n">
        <x:v>0</x:v>
      </x:c>
      <x:c r="AS175" s="18" t="n">
        <x:v>0</x:v>
      </x:c>
      <x:c r="AT175" s="18" t="n">
        <x:v>0</x:v>
      </x:c>
      <x:c r="AU175" s="18" t="n">
        <x:v>14</x:v>
      </x:c>
      <x:c r="AV175" s="18" t="n">
        <x:v>77</x:v>
      </x:c>
      <x:c r="AW175" s="18" t="n">
        <x:v>0</x:v>
      </x:c>
      <x:c r="AX175" s="18" t="n">
        <x:v>0</x:v>
      </x:c>
      <x:c r="AY175" s="18" t="n">
        <x:v>1</x:v>
      </x:c>
      <x:c r="AZ175" s="18" t="n">
        <x:v>0</x:v>
      </x:c>
      <x:c r="BA175" s="18" t="n">
        <x:v>0</x:v>
      </x:c>
      <x:c r="BB175" s="18" t="n">
        <x:v>0</x:v>
      </x:c>
      <x:c r="BC175" s="18" t="n">
        <x:v>0</x:v>
      </x:c>
      <x:c r="BD175" s="18" t="n">
        <x:v>1</x:v>
      </x:c>
      <x:c r="BE175" s="18" t="n">
        <x:v>0</x:v>
      </x:c>
      <x:c r="BF175" s="18" t="n">
        <x:v>0</x:v>
      </x:c>
      <x:c r="BG175" s="18" t="n">
        <x:v>0</x:v>
      </x:c>
    </x:row>
    <x:row r="176">
      <x:c r="A176" s="29" t="str">
        <x:v>255.3</x:v>
      </x:c>
      <x:c r="B176" s="17" t="n">
        <x:v>3033</x:v>
      </x:c>
      <x:c r="C176" s="17" t="str">
        <x:v>בי"ס אחמדיה</x:v>
      </x:c>
      <x:c r="D176" s="17" t="str">
        <x:v>גלאל אל דין 3</x:v>
      </x:c>
      <x:c r="E176" s="17" t="str">
        <x:v>גבוה מאוד</x:v>
      </x:c>
      <x:c r="F176" s="18" t="n">
        <x:v>589</x:v>
      </x:c>
      <x:c r="G176" s="18" t="n">
        <x:v>370</x:v>
      </x:c>
      <x:c r="H176" s="19" t="n">
        <x:f>IFERROR(G176/F176,0)</x:f>
        <x:v>0.6281833616298812</x:v>
      </x:c>
      <x:c r="I176" s="18" t="n">
        <x:v>1</x:v>
      </x:c>
      <x:c r="J176" s="18" t="n">
        <x:v>369</x:v>
      </x:c>
      <x:c r="K176" s="18" t="n">
        <x:f>SUM(AM176,BF176,W176,AD176)</x:f>
        <x:v>23</x:v>
      </x:c>
      <x:c r="L176" s="18" t="n">
        <x:f>Q176+R176</x:f>
        <x:v>344</x:v>
      </x:c>
      <x:c r="M176" s="19" t="n">
        <x:f>IFERROR(K176/J176,0)</x:f>
        <x:v>0.06233062330623306</x:v>
      </x:c>
      <x:c r="N176" s="19" t="n">
        <x:f>IFERROR(L176/J176,0)</x:f>
        <x:v>0.9322493224932249</x:v>
      </x:c>
      <x:c r="O176" s="17" t="str">
        <x:f>IF(K176&gt;MAX(L176,S176),"קואליציית ההקמה 2022",IF(L176&gt;MAX(K176,S176),"אופוזיציה רחבה 2022","רשימות אחרות"))</x:f>
        <x:v>אופוזיציה רחבה 2022</x:v>
      </x:c>
      <x:c r="P176" s="17" t="str">
        <x:f>IF(AND(H176&lt;50%,N176&gt;50%),"כן","לא")</x:f>
        <x:v>לא</x:v>
      </x:c>
      <x:c r="Q176" s="18" t="n">
        <x:f>SUM(AV176,AJ176,AL176,T176,AN176)</x:f>
        <x:v>102</x:v>
      </x:c>
      <x:c r="R176" s="18" t="n">
        <x:f>SUM(Y176,AU176,X176)</x:f>
        <x:v>242</x:v>
      </x:c>
      <x:c r="S176" s="18" t="n">
        <x:f>J176-K176-L176</x:f>
        <x:v>2</x:v>
      </x:c>
      <x:c r="T176" s="18" t="n">
        <x:v>12</x:v>
      </x:c>
      <x:c r="U176" s="18" t="n">
        <x:v>0</x:v>
      </x:c>
      <x:c r="V176" s="18" t="n">
        <x:v>0</x:v>
      </x:c>
      <x:c r="W176" s="18" t="n">
        <x:v>0</x:v>
      </x:c>
      <x:c r="X176" s="18" t="n">
        <x:v>77</x:v>
      </x:c>
      <x:c r="Y176" s="18" t="n">
        <x:v>137</x:v>
      </x:c>
      <x:c r="Z176" s="18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2</x:v>
      </x:c>
      <x:c r="AE176" s="18" t="n">
        <x:v>0</x:v>
      </x:c>
      <x:c r="AF176" s="18" t="n">
        <x:v>0</x:v>
      </x:c>
      <x:c r="AG176" s="18" t="n">
        <x:v>0</x:v>
      </x:c>
      <x:c r="AH176" s="18" t="n">
        <x:v>0</x:v>
      </x:c>
      <x:c r="AI176" s="18" t="n">
        <x:v>0</x:v>
      </x:c>
      <x:c r="AJ176" s="18" t="n">
        <x:v>11</x:v>
      </x:c>
      <x:c r="AK176" s="18" t="n">
        <x:v>0</x:v>
      </x:c>
      <x:c r="AL176" s="18" t="n">
        <x:v>5</x:v>
      </x:c>
      <x:c r="AM176" s="18" t="n">
        <x:v>19</x:v>
      </x:c>
      <x:c r="AN176" s="18" t="n">
        <x:v>21</x:v>
      </x:c>
      <x:c r="AO176" s="18" t="n">
        <x:v>0</x:v>
      </x:c>
      <x:c r="AP176" s="18" t="n">
        <x:v>0</x:v>
      </x:c>
      <x:c r="AQ176" s="18" t="n">
        <x:v>0</x:v>
      </x:c>
      <x:c r="AR176" s="18" t="n">
        <x:v>0</x:v>
      </x:c>
      <x:c r="AS176" s="18" t="n">
        <x:v>0</x:v>
      </x:c>
      <x:c r="AT176" s="18" t="n">
        <x:v>0</x:v>
      </x:c>
      <x:c r="AU176" s="18" t="n">
        <x:v>28</x:v>
      </x:c>
      <x:c r="AV176" s="18" t="n">
        <x:v>53</x:v>
      </x:c>
      <x:c r="AW176" s="18" t="n">
        <x:v>0</x:v>
      </x:c>
      <x:c r="AX176" s="18" t="n">
        <x:v>0</x:v>
      </x:c>
      <x:c r="AY176" s="18" t="n">
        <x:v>1</x:v>
      </x:c>
      <x:c r="AZ176" s="18" t="n">
        <x:v>0</x:v>
      </x:c>
      <x:c r="BA176" s="18" t="n">
        <x:v>0</x:v>
      </x:c>
      <x:c r="BB176" s="18" t="n">
        <x:v>0</x:v>
      </x:c>
      <x:c r="BC176" s="18" t="n">
        <x:v>0</x:v>
      </x:c>
      <x:c r="BD176" s="18" t="n">
        <x:v>1</x:v>
      </x:c>
      <x:c r="BE176" s="18" t="n">
        <x:v>0</x:v>
      </x:c>
      <x:c r="BF176" s="18" t="n">
        <x:v>2</x:v>
      </x:c>
      <x:c r="BG176" s="18" t="n">
        <x:v>0</x:v>
      </x:c>
    </x:row>
    <x:row r="177">
      <x:c r="A177" s="29" t="str">
        <x:v>255.4</x:v>
      </x:c>
      <x:c r="B177" s="17" t="n">
        <x:v>3034</x:v>
      </x:c>
      <x:c r="C177" s="17" t="str">
        <x:v>בי"ס אחמדיה</x:v>
      </x:c>
      <x:c r="D177" s="17" t="str">
        <x:v>גלאל אל דין 3</x:v>
      </x:c>
      <x:c r="E177" s="17" t="str">
        <x:v>גבוה מאוד</x:v>
      </x:c>
      <x:c r="F177" s="18" t="n">
        <x:v>589</x:v>
      </x:c>
      <x:c r="G177" s="18" t="n">
        <x:v>412</x:v>
      </x:c>
      <x:c r="H177" s="19" t="n">
        <x:f>IFERROR(G177/F177,0)</x:f>
        <x:v>0.6994906621392191</x:v>
      </x:c>
      <x:c r="I177" s="18" t="n">
        <x:v>7</x:v>
      </x:c>
      <x:c r="J177" s="18" t="n">
        <x:v>405</x:v>
      </x:c>
      <x:c r="K177" s="18" t="n">
        <x:f>SUM(AM177,BF177,W177,AD177)</x:f>
        <x:v>7</x:v>
      </x:c>
      <x:c r="L177" s="18" t="n">
        <x:f>Q177+R177</x:f>
        <x:v>396</x:v>
      </x:c>
      <x:c r="M177" s="19" t="n">
        <x:f>IFERROR(K177/J177,0)</x:f>
        <x:v>0.01728395061728395</x:v>
      </x:c>
      <x:c r="N177" s="19" t="n">
        <x:f>IFERROR(L177/J177,0)</x:f>
        <x:v>0.9777777777777777</x:v>
      </x:c>
      <x:c r="O177" s="17" t="str">
        <x:f>IF(K177&gt;MAX(L177,S177),"קואליציית ההקמה 2022",IF(L177&gt;MAX(K177,S177),"אופוזיציה רחבה 2022","רשימות אחרות"))</x:f>
        <x:v>אופוזיציה רחבה 2022</x:v>
      </x:c>
      <x:c r="P177" s="17" t="str">
        <x:f>IF(AND(H177&lt;50%,N177&gt;50%),"כן","לא")</x:f>
        <x:v>לא</x:v>
      </x:c>
      <x:c r="Q177" s="18" t="n">
        <x:f>SUM(AV177,AJ177,AL177,T177,AN177)</x:f>
        <x:v>28</x:v>
      </x:c>
      <x:c r="R177" s="18" t="n">
        <x:f>SUM(Y177,AU177,X177)</x:f>
        <x:v>368</x:v>
      </x:c>
      <x:c r="S177" s="18" t="n">
        <x:f>J177-K177-L177</x:f>
        <x:v>2</x:v>
      </x:c>
      <x:c r="T177" s="18" t="n">
        <x:v>5</x:v>
      </x:c>
      <x:c r="U177" s="18" t="n">
        <x:v>0</x:v>
      </x:c>
      <x:c r="V177" s="18" t="n">
        <x:v>0</x:v>
      </x:c>
      <x:c r="W177" s="18" t="n">
        <x:v>0</x:v>
      </x:c>
      <x:c r="X177" s="18" t="n">
        <x:v>72</x:v>
      </x:c>
      <x:c r="Y177" s="18" t="n">
        <x:v>277</x:v>
      </x:c>
      <x:c r="Z177" s="18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2</x:v>
      </x:c>
      <x:c r="AE177" s="18" t="n">
        <x:v>0</x:v>
      </x:c>
      <x:c r="AF177" s="18" t="n">
        <x:v>0</x:v>
      </x:c>
      <x:c r="AG177" s="18" t="n">
        <x:v>0</x:v>
      </x:c>
      <x:c r="AH177" s="18" t="n">
        <x:v>0</x:v>
      </x:c>
      <x:c r="AI177" s="18" t="n">
        <x:v>0</x:v>
      </x:c>
      <x:c r="AJ177" s="18" t="n">
        <x:v>4</x:v>
      </x:c>
      <x:c r="AK177" s="18" t="n">
        <x:v>0</x:v>
      </x:c>
      <x:c r="AL177" s="18" t="n">
        <x:v>0</x:v>
      </x:c>
      <x:c r="AM177" s="18" t="n">
        <x:v>5</x:v>
      </x:c>
      <x:c r="AN177" s="18" t="n">
        <x:v>10</x:v>
      </x:c>
      <x:c r="AO177" s="18" t="n">
        <x:v>0</x:v>
      </x:c>
      <x:c r="AP177" s="18" t="n">
        <x:v>1</x:v>
      </x:c>
      <x:c r="AQ177" s="18" t="n">
        <x:v>0</x:v>
      </x:c>
      <x:c r="AR177" s="18" t="n">
        <x:v>0</x:v>
      </x:c>
      <x:c r="AS177" s="18" t="n">
        <x:v>0</x:v>
      </x:c>
      <x:c r="AT177" s="18" t="n">
        <x:v>0</x:v>
      </x:c>
      <x:c r="AU177" s="18" t="n">
        <x:v>19</x:v>
      </x:c>
      <x:c r="AV177" s="18" t="n">
        <x:v>9</x:v>
      </x:c>
      <x:c r="AW177" s="18" t="n">
        <x:v>0</x:v>
      </x:c>
      <x:c r="AX177" s="18" t="n">
        <x:v>0</x:v>
      </x:c>
      <x:c r="AY177" s="18" t="n">
        <x:v>1</x:v>
      </x:c>
      <x:c r="AZ177" s="18" t="n">
        <x:v>0</x:v>
      </x:c>
      <x:c r="BA177" s="18" t="n">
        <x:v>0</x:v>
      </x:c>
      <x:c r="BB177" s="18" t="n">
        <x:v>0</x:v>
      </x:c>
      <x:c r="BC177" s="18" t="n">
        <x:v>0</x:v>
      </x:c>
      <x:c r="BD177" s="18" t="n">
        <x:v>0</x:v>
      </x:c>
      <x:c r="BE177" s="18" t="n">
        <x:v>0</x:v>
      </x:c>
      <x:c r="BF177" s="18" t="n">
        <x:v>0</x:v>
      </x:c>
      <x:c r="BG177" s="18" t="n">
        <x:v>0</x:v>
      </x:c>
    </x:row>
    <x:row r="178">
      <x:c r="A178" s="29" t="str">
        <x:v>255.5</x:v>
      </x:c>
      <x:c r="B178" s="17" t="n">
        <x:v>3035</x:v>
      </x:c>
      <x:c r="C178" s="17" t="str">
        <x:v>בי"ס אחמדיה</x:v>
      </x:c>
      <x:c r="D178" s="17" t="str">
        <x:v>גלאל אל דין 3</x:v>
      </x:c>
      <x:c r="E178" s="17" t="str">
        <x:v>גבוה מאוד</x:v>
      </x:c>
      <x:c r="F178" s="18" t="n">
        <x:v>588</x:v>
      </x:c>
      <x:c r="G178" s="18" t="n">
        <x:v>368</x:v>
      </x:c>
      <x:c r="H178" s="19" t="n">
        <x:f>IFERROR(G178/F178,0)</x:f>
        <x:v>0.6258503401360545</x:v>
      </x:c>
      <x:c r="I178" s="18" t="n">
        <x:v>6</x:v>
      </x:c>
      <x:c r="J178" s="18" t="n">
        <x:v>362</x:v>
      </x:c>
      <x:c r="K178" s="18" t="n">
        <x:f>SUM(AM178,BF178,W178,AD178)</x:f>
        <x:v>33</x:v>
      </x:c>
      <x:c r="L178" s="18" t="n">
        <x:f>Q178+R178</x:f>
        <x:v>324</x:v>
      </x:c>
      <x:c r="M178" s="19" t="n">
        <x:f>IFERROR(K178/J178,0)</x:f>
        <x:v>0.09116022099447514</x:v>
      </x:c>
      <x:c r="N178" s="19" t="n">
        <x:f>IFERROR(L178/J178,0)</x:f>
        <x:v>0.8950276243093923</x:v>
      </x:c>
      <x:c r="O178" s="17" t="str">
        <x:f>IF(K178&gt;MAX(L178,S178),"קואליציית ההקמה 2022",IF(L178&gt;MAX(K178,S178),"אופוזיציה רחבה 2022","רשימות אחרות"))</x:f>
        <x:v>אופוזיציה רחבה 2022</x:v>
      </x:c>
      <x:c r="P178" s="17" t="str">
        <x:f>IF(AND(H178&lt;50%,N178&gt;50%),"כן","לא")</x:f>
        <x:v>לא</x:v>
      </x:c>
      <x:c r="Q178" s="18" t="n">
        <x:f>SUM(AV178,AJ178,AL178,T178,AN178)</x:f>
        <x:v>161</x:v>
      </x:c>
      <x:c r="R178" s="18" t="n">
        <x:f>SUM(Y178,AU178,X178)</x:f>
        <x:v>163</x:v>
      </x:c>
      <x:c r="S178" s="18" t="n">
        <x:f>J178-K178-L178</x:f>
        <x:v>5</x:v>
      </x:c>
      <x:c r="T178" s="18" t="n">
        <x:v>21</x:v>
      </x:c>
      <x:c r="U178" s="18" t="n">
        <x:v>1</x:v>
      </x:c>
      <x:c r="V178" s="18" t="n">
        <x:v>1</x:v>
      </x:c>
      <x:c r="W178" s="18" t="n">
        <x:v>0</x:v>
      </x:c>
      <x:c r="X178" s="18" t="n">
        <x:v>40</x:v>
      </x:c>
      <x:c r="Y178" s="18" t="n">
        <x:v>104</x:v>
      </x:c>
      <x:c r="Z178" s="18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5</x:v>
      </x:c>
      <x:c r="AE178" s="18" t="n">
        <x:v>0</x:v>
      </x:c>
      <x:c r="AF178" s="18" t="n">
        <x:v>2</x:v>
      </x:c>
      <x:c r="AG178" s="18" t="n">
        <x:v>0</x:v>
      </x:c>
      <x:c r="AH178" s="18" t="n">
        <x:v>0</x:v>
      </x:c>
      <x:c r="AI178" s="18" t="n">
        <x:v>0</x:v>
      </x:c>
      <x:c r="AJ178" s="18" t="n">
        <x:v>27</x:v>
      </x:c>
      <x:c r="AK178" s="18" t="n">
        <x:v>0</x:v>
      </x:c>
      <x:c r="AL178" s="18" t="n">
        <x:v>9</x:v>
      </x:c>
      <x:c r="AM178" s="18" t="n">
        <x:v>28</x:v>
      </x:c>
      <x:c r="AN178" s="18" t="n">
        <x:v>37</x:v>
      </x:c>
      <x:c r="AO178" s="18" t="n">
        <x:v>0</x:v>
      </x:c>
      <x:c r="AP178" s="18" t="n">
        <x:v>0</x:v>
      </x:c>
      <x:c r="AQ178" s="18" t="n">
        <x:v>0</x:v>
      </x:c>
      <x:c r="AR178" s="18" t="n">
        <x:v>0</x:v>
      </x:c>
      <x:c r="AS178" s="18" t="n">
        <x:v>0</x:v>
      </x:c>
      <x:c r="AT178" s="18" t="n">
        <x:v>0</x:v>
      </x:c>
      <x:c r="AU178" s="18" t="n">
        <x:v>19</x:v>
      </x:c>
      <x:c r="AV178" s="18" t="n">
        <x:v>67</x:v>
      </x:c>
      <x:c r="AW178" s="18" t="n">
        <x:v>0</x:v>
      </x:c>
      <x:c r="AX178" s="18" t="n">
        <x:v>0</x:v>
      </x:c>
      <x:c r="AY178" s="18" t="n">
        <x:v>0</x:v>
      </x:c>
      <x:c r="AZ178" s="18" t="n">
        <x:v>0</x:v>
      </x:c>
      <x:c r="BA178" s="18" t="n">
        <x:v>0</x:v>
      </x:c>
      <x:c r="BB178" s="18" t="n">
        <x:v>0</x:v>
      </x:c>
      <x:c r="BC178" s="18" t="n">
        <x:v>0</x:v>
      </x:c>
      <x:c r="BD178" s="18" t="n">
        <x:v>0</x:v>
      </x:c>
      <x:c r="BE178" s="18" t="n">
        <x:v>1</x:v>
      </x:c>
      <x:c r="BF178" s="18" t="n">
        <x:v>0</x:v>
      </x:c>
      <x:c r="BG178" s="18" t="n">
        <x:v>0</x:v>
      </x:c>
    </x:row>
    <x:row r="179">
      <x:c r="A179" s="29" t="str">
        <x:v>256</x:v>
      </x:c>
      <x:c r="B179" s="17" t="n">
        <x:v>3036</x:v>
      </x:c>
      <x:c r="C179" s="17" t="str">
        <x:v>בי"ס הרצל</x:v>
      </x:c>
      <x:c r="D179" s="17" t="str">
        <x:v>צדקיהו 6</x:v>
      </x:c>
      <x:c r="E179" s="17" t="str">
        <x:v>גבוה מאוד</x:v>
      </x:c>
      <x:c r="F179" s="18" t="n">
        <x:v>670</x:v>
      </x:c>
      <x:c r="G179" s="18" t="n">
        <x:v>432</x:v>
      </x:c>
      <x:c r="H179" s="19" t="n">
        <x:f>IFERROR(G179/F179,0)</x:f>
        <x:v>0.6447761194029851</x:v>
      </x:c>
      <x:c r="I179" s="18" t="n">
        <x:v>0</x:v>
      </x:c>
      <x:c r="J179" s="18" t="n">
        <x:v>432</x:v>
      </x:c>
      <x:c r="K179" s="18" t="n">
        <x:f>SUM(AM179,BF179,W179,AD179)</x:f>
        <x:v>65</x:v>
      </x:c>
      <x:c r="L179" s="18" t="n">
        <x:f>Q179+R179</x:f>
        <x:v>354</x:v>
      </x:c>
      <x:c r="M179" s="19" t="n">
        <x:f>IFERROR(K179/J179,0)</x:f>
        <x:v>0.15046296296296297</x:v>
      </x:c>
      <x:c r="N179" s="19" t="n">
        <x:f>IFERROR(L179/J179,0)</x:f>
        <x:v>0.8194444444444444</x:v>
      </x:c>
      <x:c r="O179" s="17" t="str">
        <x:f>IF(K179&gt;MAX(L179,S179),"קואליציית ההקמה 2022",IF(L179&gt;MAX(K179,S179),"אופוזיציה רחבה 2022","רשימות אחרות"))</x:f>
        <x:v>אופוזיציה רחבה 2022</x:v>
      </x:c>
      <x:c r="P179" s="17" t="str">
        <x:f>IF(AND(H179&lt;50%,N179&gt;50%),"כן","לא")</x:f>
        <x:v>לא</x:v>
      </x:c>
      <x:c r="Q179" s="18" t="n">
        <x:f>SUM(AV179,AJ179,AL179,T179,AN179)</x:f>
        <x:v>353</x:v>
      </x:c>
      <x:c r="R179" s="18" t="n">
        <x:f>SUM(Y179,AU179,X179)</x:f>
        <x:v>1</x:v>
      </x:c>
      <x:c r="S179" s="18" t="n">
        <x:f>J179-K179-L179</x:f>
        <x:v>13</x:v>
      </x:c>
      <x:c r="T179" s="18" t="n">
        <x:v>35</x:v>
      </x:c>
      <x:c r="U179" s="18" t="n">
        <x:v>2</x:v>
      </x:c>
      <x:c r="V179" s="18" t="n">
        <x:v>6</x:v>
      </x:c>
      <x:c r="W179" s="18" t="n">
        <x:v>0</x:v>
      </x:c>
      <x:c r="X179" s="18" t="n">
        <x:v>0</x:v>
      </x:c>
      <x:c r="Y179" s="18" t="n">
        <x:v>1</x:v>
      </x:c>
      <x:c r="Z179" s="18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9</x:v>
      </x:c>
      <x:c r="AE179" s="18" t="n">
        <x:v>1</x:v>
      </x:c>
      <x:c r="AF179" s="18" t="n">
        <x:v>1</x:v>
      </x:c>
      <x:c r="AG179" s="18" t="n">
        <x:v>0</x:v>
      </x:c>
      <x:c r="AH179" s="18" t="n">
        <x:v>0</x:v>
      </x:c>
      <x:c r="AI179" s="18" t="n">
        <x:v>0</x:v>
      </x:c>
      <x:c r="AJ179" s="18" t="n">
        <x:v>68</x:v>
      </x:c>
      <x:c r="AK179" s="18" t="n">
        <x:v>0</x:v>
      </x:c>
      <x:c r="AL179" s="18" t="n">
        <x:v>19</x:v>
      </x:c>
      <x:c r="AM179" s="18" t="n">
        <x:v>54</x:v>
      </x:c>
      <x:c r="AN179" s="18" t="n">
        <x:v>37</x:v>
      </x:c>
      <x:c r="AO179" s="18" t="n">
        <x:v>0</x:v>
      </x:c>
      <x:c r="AP179" s="18" t="n">
        <x:v>0</x:v>
      </x:c>
      <x:c r="AQ179" s="18" t="n">
        <x:v>0</x:v>
      </x:c>
      <x:c r="AR179" s="18" t="n">
        <x:v>0</x:v>
      </x:c>
      <x:c r="AS179" s="18" t="n">
        <x:v>0</x:v>
      </x:c>
      <x:c r="AT179" s="18" t="n">
        <x:v>0</x:v>
      </x:c>
      <x:c r="AU179" s="18" t="n">
        <x:v>0</x:v>
      </x:c>
      <x:c r="AV179" s="18" t="n">
        <x:v>194</x:v>
      </x:c>
      <x:c r="AW179" s="18" t="n">
        <x:v>1</x:v>
      </x:c>
      <x:c r="AX179" s="18" t="n">
        <x:v>0</x:v>
      </x:c>
      <x:c r="AY179" s="18" t="n">
        <x:v>0</x:v>
      </x:c>
      <x:c r="AZ179" s="18" t="n">
        <x:v>0</x:v>
      </x:c>
      <x:c r="BA179" s="18" t="n">
        <x:v>0</x:v>
      </x:c>
      <x:c r="BB179" s="18" t="n">
        <x:v>0</x:v>
      </x:c>
      <x:c r="BC179" s="18" t="n">
        <x:v>0</x:v>
      </x:c>
      <x:c r="BD179" s="18" t="n">
        <x:v>2</x:v>
      </x:c>
      <x:c r="BE179" s="18" t="n">
        <x:v>0</x:v>
      </x:c>
      <x:c r="BF179" s="18" t="n">
        <x:v>2</x:v>
      </x:c>
      <x:c r="BG179" s="18" t="n">
        <x:v>0</x:v>
      </x:c>
    </x:row>
    <x:row r="180">
      <x:c r="A180" s="29" t="str">
        <x:v>257</x:v>
      </x:c>
      <x:c r="B180" s="17" t="n">
        <x:v>2966</x:v>
      </x:c>
      <x:c r="C180" s="17" t="str">
        <x:v>מתחם גני ילדים</x:v>
      </x:c>
      <x:c r="D180" s="17" t="str">
        <x:v>הרקפות 11</x:v>
      </x:c>
      <x:c r="E180" s="17" t="str">
        <x:v>גבוה מאוד</x:v>
      </x:c>
      <x:c r="F180" s="18" t="n">
        <x:v>638</x:v>
      </x:c>
      <x:c r="G180" s="18" t="n">
        <x:v>391</x:v>
      </x:c>
      <x:c r="H180" s="19" t="n">
        <x:f>IFERROR(G180/F180,0)</x:f>
        <x:v>0.6128526645768025</x:v>
      </x:c>
      <x:c r="I180" s="18" t="n">
        <x:v>2</x:v>
      </x:c>
      <x:c r="J180" s="18" t="n">
        <x:v>389</x:v>
      </x:c>
      <x:c r="K180" s="18" t="n">
        <x:f>SUM(AM180,BF180,W180,AD180)</x:f>
        <x:v>71</x:v>
      </x:c>
      <x:c r="L180" s="18" t="n">
        <x:f>Q180+R180</x:f>
        <x:v>305</x:v>
      </x:c>
      <x:c r="M180" s="19" t="n">
        <x:f>IFERROR(K180/J180,0)</x:f>
        <x:v>0.18251928020565553</x:v>
      </x:c>
      <x:c r="N180" s="19" t="n">
        <x:f>IFERROR(L180/J180,0)</x:f>
        <x:v>0.7840616966580977</x:v>
      </x:c>
      <x:c r="O180" s="17" t="str">
        <x:f>IF(K180&gt;MAX(L180,S180),"קואליציית ההקמה 2022",IF(L180&gt;MAX(K180,S180),"אופוזיציה רחבה 2022","רשימות אחרות"))</x:f>
        <x:v>אופוזיציה רחבה 2022</x:v>
      </x:c>
      <x:c r="P180" s="17" t="str">
        <x:f>IF(AND(H180&lt;50%,N180&gt;50%),"כן","לא")</x:f>
        <x:v>לא</x:v>
      </x:c>
      <x:c r="Q180" s="18" t="n">
        <x:f>SUM(AV180,AJ180,AL180,T180,AN180)</x:f>
        <x:v>292</x:v>
      </x:c>
      <x:c r="R180" s="18" t="n">
        <x:f>SUM(Y180,AU180,X180)</x:f>
        <x:v>13</x:v>
      </x:c>
      <x:c r="S180" s="18" t="n">
        <x:f>J180-K180-L180</x:f>
        <x:v>13</x:v>
      </x:c>
      <x:c r="T180" s="18" t="n">
        <x:v>29</x:v>
      </x:c>
      <x:c r="U180" s="18" t="n">
        <x:v>1</x:v>
      </x:c>
      <x:c r="V180" s="18" t="n">
        <x:v>4</x:v>
      </x:c>
      <x:c r="W180" s="18" t="n">
        <x:v>1</x:v>
      </x:c>
      <x:c r="X180" s="18" t="n">
        <x:v>1</x:v>
      </x:c>
      <x:c r="Y180" s="18" t="n">
        <x:v>9</x:v>
      </x:c>
      <x:c r="Z180" s="18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10</x:v>
      </x:c>
      <x:c r="AE180" s="18" t="n">
        <x:v>0</x:v>
      </x:c>
      <x:c r="AF180" s="18" t="n">
        <x:v>3</x:v>
      </x:c>
      <x:c r="AG180" s="18" t="n">
        <x:v>0</x:v>
      </x:c>
      <x:c r="AH180" s="18" t="n">
        <x:v>0</x:v>
      </x:c>
      <x:c r="AI180" s="18" t="n">
        <x:v>0</x:v>
      </x:c>
      <x:c r="AJ180" s="18" t="n">
        <x:v>71</x:v>
      </x:c>
      <x:c r="AK180" s="18" t="n">
        <x:v>0</x:v>
      </x:c>
      <x:c r="AL180" s="18" t="n">
        <x:v>24</x:v>
      </x:c>
      <x:c r="AM180" s="18" t="n">
        <x:v>57</x:v>
      </x:c>
      <x:c r="AN180" s="18" t="n">
        <x:v>37</x:v>
      </x:c>
      <x:c r="AO180" s="18" t="n">
        <x:v>0</x:v>
      </x:c>
      <x:c r="AP180" s="18" t="n">
        <x:v>0</x:v>
      </x:c>
      <x:c r="AQ180" s="18" t="n">
        <x:v>1</x:v>
      </x:c>
      <x:c r="AR180" s="18" t="n">
        <x:v>0</x:v>
      </x:c>
      <x:c r="AS180" s="18" t="n">
        <x:v>0</x:v>
      </x:c>
      <x:c r="AT180" s="18" t="n">
        <x:v>0</x:v>
      </x:c>
      <x:c r="AU180" s="18" t="n">
        <x:v>3</x:v>
      </x:c>
      <x:c r="AV180" s="18" t="n">
        <x:v>131</x:v>
      </x:c>
      <x:c r="AW180" s="18" t="n">
        <x:v>0</x:v>
      </x:c>
      <x:c r="AX180" s="18" t="n">
        <x:v>0</x:v>
      </x:c>
      <x:c r="AY180" s="18" t="n">
        <x:v>0</x:v>
      </x:c>
      <x:c r="AZ180" s="18" t="n">
        <x:v>0</x:v>
      </x:c>
      <x:c r="BA180" s="18" t="n">
        <x:v>0</x:v>
      </x:c>
      <x:c r="BB180" s="18" t="n">
        <x:v>0</x:v>
      </x:c>
      <x:c r="BC180" s="18" t="n">
        <x:v>0</x:v>
      </x:c>
      <x:c r="BD180" s="18" t="n">
        <x:v>4</x:v>
      </x:c>
      <x:c r="BE180" s="18" t="n">
        <x:v>0</x:v>
      </x:c>
      <x:c r="BF180" s="18" t="n">
        <x:v>3</x:v>
      </x:c>
      <x:c r="BG180" s="18" t="n">
        <x:v>0</x:v>
      </x:c>
    </x:row>
    <x:row r="181">
      <x:c r="A181" s="29" t="str">
        <x:v>259.1</x:v>
      </x:c>
      <x:c r="B181" s="17" t="n">
        <x:v>3037</x:v>
      </x:c>
      <x:c r="C181" s="17" t="str">
        <x:v>בית הכט</x:v>
      </x:c>
      <x:c r="D181" s="17" t="str">
        <x:v>שד הנשיא 142</x:v>
      </x:c>
      <x:c r="E181" s="17" t="str">
        <x:v>גבוה מאוד</x:v>
      </x:c>
      <x:c r="F181" s="18" t="n">
        <x:v>699</x:v>
      </x:c>
      <x:c r="G181" s="18" t="n">
        <x:v>399</x:v>
      </x:c>
      <x:c r="H181" s="19" t="n">
        <x:f>IFERROR(G181/F181,0)</x:f>
        <x:v>0.5708154506437768</x:v>
      </x:c>
      <x:c r="I181" s="18" t="n">
        <x:v>1</x:v>
      </x:c>
      <x:c r="J181" s="18" t="n">
        <x:v>398</x:v>
      </x:c>
      <x:c r="K181" s="18" t="n">
        <x:f>SUM(AM181,BF181,W181,AD181)</x:f>
        <x:v>67</x:v>
      </x:c>
      <x:c r="L181" s="18" t="n">
        <x:f>Q181+R181</x:f>
        <x:v>322</x:v>
      </x:c>
      <x:c r="M181" s="19" t="n">
        <x:f>IFERROR(K181/J181,0)</x:f>
        <x:v>0.16834170854271358</x:v>
      </x:c>
      <x:c r="N181" s="19" t="n">
        <x:f>IFERROR(L181/J181,0)</x:f>
        <x:v>0.8090452261306532</x:v>
      </x:c>
      <x:c r="O181" s="17" t="str">
        <x:f>IF(K181&gt;MAX(L181,S181),"קואליציית ההקמה 2022",IF(L181&gt;MAX(K181,S181),"אופוזיציה רחבה 2022","רשימות אחרות"))</x:f>
        <x:v>אופוזיציה רחבה 2022</x:v>
      </x:c>
      <x:c r="P181" s="17" t="str">
        <x:f>IF(AND(H181&lt;50%,N181&gt;50%),"כן","לא")</x:f>
        <x:v>לא</x:v>
      </x:c>
      <x:c r="Q181" s="18" t="n">
        <x:f>SUM(AV181,AJ181,AL181,T181,AN181)</x:f>
        <x:v>313</x:v>
      </x:c>
      <x:c r="R181" s="18" t="n">
        <x:f>SUM(Y181,AU181,X181)</x:f>
        <x:v>9</x:v>
      </x:c>
      <x:c r="S181" s="18" t="n">
        <x:f>J181-K181-L181</x:f>
        <x:v>9</x:v>
      </x:c>
      <x:c r="T181" s="18" t="n">
        <x:v>34</x:v>
      </x:c>
      <x:c r="U181" s="18" t="n">
        <x:v>1</x:v>
      </x:c>
      <x:c r="V181" s="18" t="n">
        <x:v>5</x:v>
      </x:c>
      <x:c r="W181" s="18" t="n">
        <x:v>3</x:v>
      </x:c>
      <x:c r="X181" s="18" t="n">
        <x:v>0</x:v>
      </x:c>
      <x:c r="Y181" s="18" t="n">
        <x:v>8</x:v>
      </x:c>
      <x:c r="Z181" s="18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15</x:v>
      </x:c>
      <x:c r="AE181" s="18" t="n">
        <x:v>0</x:v>
      </x:c>
      <x:c r="AF181" s="18" t="n">
        <x:v>1</x:v>
      </x:c>
      <x:c r="AG181" s="18" t="n">
        <x:v>0</x:v>
      </x:c>
      <x:c r="AH181" s="18" t="n">
        <x:v>0</x:v>
      </x:c>
      <x:c r="AI181" s="18" t="n">
        <x:v>0</x:v>
      </x:c>
      <x:c r="AJ181" s="18" t="n">
        <x:v>58</x:v>
      </x:c>
      <x:c r="AK181" s="18" t="n">
        <x:v>0</x:v>
      </x:c>
      <x:c r="AL181" s="18" t="n">
        <x:v>24</x:v>
      </x:c>
      <x:c r="AM181" s="18" t="n">
        <x:v>46</x:v>
      </x:c>
      <x:c r="AN181" s="18" t="n">
        <x:v>41</x:v>
      </x:c>
      <x:c r="AO181" s="18" t="n">
        <x:v>0</x:v>
      </x:c>
      <x:c r="AP181" s="18" t="n">
        <x:v>1</x:v>
      </x:c>
      <x:c r="AQ181" s="18" t="n">
        <x:v>0</x:v>
      </x:c>
      <x:c r="AR181" s="18" t="n">
        <x:v>0</x:v>
      </x:c>
      <x:c r="AS181" s="18" t="n">
        <x:v>0</x:v>
      </x:c>
      <x:c r="AT181" s="18" t="n">
        <x:v>0</x:v>
      </x:c>
      <x:c r="AU181" s="18" t="n">
        <x:v>1</x:v>
      </x:c>
      <x:c r="AV181" s="18" t="n">
        <x:v>156</x:v>
      </x:c>
      <x:c r="AW181" s="18" t="n">
        <x:v>0</x:v>
      </x:c>
      <x:c r="AX181" s="18" t="n">
        <x:v>0</x:v>
      </x:c>
      <x:c r="AY181" s="18" t="n">
        <x:v>0</x:v>
      </x:c>
      <x:c r="AZ181" s="18" t="n">
        <x:v>0</x:v>
      </x:c>
      <x:c r="BA181" s="18" t="n">
        <x:v>0</x:v>
      </x:c>
      <x:c r="BB181" s="18" t="n">
        <x:v>0</x:v>
      </x:c>
      <x:c r="BC181" s="18" t="n">
        <x:v>1</x:v>
      </x:c>
      <x:c r="BD181" s="18" t="n">
        <x:v>0</x:v>
      </x:c>
      <x:c r="BE181" s="18" t="n">
        <x:v>0</x:v>
      </x:c>
      <x:c r="BF181" s="18" t="n">
        <x:v>3</x:v>
      </x:c>
      <x:c r="BG181" s="18" t="n">
        <x:v>0</x:v>
      </x:c>
    </x:row>
    <x:row r="182">
      <x:c r="A182" s="29" t="str">
        <x:v>259.2</x:v>
      </x:c>
      <x:c r="B182" s="17" t="n">
        <x:v>3038</x:v>
      </x:c>
      <x:c r="C182" s="17" t="str">
        <x:v>בית הכט</x:v>
      </x:c>
      <x:c r="D182" s="17" t="str">
        <x:v>שד הנשיא 142</x:v>
      </x:c>
      <x:c r="E182" s="17" t="str">
        <x:v>גבוה מאוד</x:v>
      </x:c>
      <x:c r="F182" s="18" t="n">
        <x:v>699</x:v>
      </x:c>
      <x:c r="G182" s="18" t="n">
        <x:v>409</x:v>
      </x:c>
      <x:c r="H182" s="19" t="n">
        <x:f>IFERROR(G182/F182,0)</x:f>
        <x:v>0.5851216022889842</x:v>
      </x:c>
      <x:c r="I182" s="18" t="n">
        <x:v>1</x:v>
      </x:c>
      <x:c r="J182" s="18" t="n">
        <x:v>408</x:v>
      </x:c>
      <x:c r="K182" s="18" t="n">
        <x:f>SUM(AM182,BF182,W182,AD182)</x:f>
        <x:v>64</x:v>
      </x:c>
      <x:c r="L182" s="18" t="n">
        <x:f>Q182+R182</x:f>
        <x:v>329</x:v>
      </x:c>
      <x:c r="M182" s="19" t="n">
        <x:f>IFERROR(K182/J182,0)</x:f>
        <x:v>0.1568627450980392</x:v>
      </x:c>
      <x:c r="N182" s="19" t="n">
        <x:f>IFERROR(L182/J182,0)</x:f>
        <x:v>0.8063725490196079</x:v>
      </x:c>
      <x:c r="O182" s="17" t="str">
        <x:f>IF(K182&gt;MAX(L182,S182),"קואליציית ההקמה 2022",IF(L182&gt;MAX(K182,S182),"אופוזיציה רחבה 2022","רשימות אחרות"))</x:f>
        <x:v>אופוזיציה רחבה 2022</x:v>
      </x:c>
      <x:c r="P182" s="17" t="str">
        <x:f>IF(AND(H182&lt;50%,N182&gt;50%),"כן","לא")</x:f>
        <x:v>לא</x:v>
      </x:c>
      <x:c r="Q182" s="18" t="n">
        <x:f>SUM(AV182,AJ182,AL182,T182,AN182)</x:f>
        <x:v>319</x:v>
      </x:c>
      <x:c r="R182" s="18" t="n">
        <x:f>SUM(Y182,AU182,X182)</x:f>
        <x:v>10</x:v>
      </x:c>
      <x:c r="S182" s="18" t="n">
        <x:f>J182-K182-L182</x:f>
        <x:v>15</x:v>
      </x:c>
      <x:c r="T182" s="18" t="n">
        <x:v>40</x:v>
      </x:c>
      <x:c r="U182" s="18" t="n">
        <x:v>4</x:v>
      </x:c>
      <x:c r="V182" s="18" t="n">
        <x:v>2</x:v>
      </x:c>
      <x:c r="W182" s="18" t="n">
        <x:v>0</x:v>
      </x:c>
      <x:c r="X182" s="18" t="n">
        <x:v>3</x:v>
      </x:c>
      <x:c r="Y182" s="18" t="n">
        <x:v>7</x:v>
      </x:c>
      <x:c r="Z182" s="18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9</x:v>
      </x:c>
      <x:c r="AE182" s="18" t="n">
        <x:v>0</x:v>
      </x:c>
      <x:c r="AF182" s="18" t="n">
        <x:v>3</x:v>
      </x:c>
      <x:c r="AG182" s="18" t="n">
        <x:v>0</x:v>
      </x:c>
      <x:c r="AH182" s="18" t="n">
        <x:v>0</x:v>
      </x:c>
      <x:c r="AI182" s="18" t="n">
        <x:v>0</x:v>
      </x:c>
      <x:c r="AJ182" s="18" t="n">
        <x:v>52</x:v>
      </x:c>
      <x:c r="AK182" s="18" t="n">
        <x:v>0</x:v>
      </x:c>
      <x:c r="AL182" s="18" t="n">
        <x:v>16</x:v>
      </x:c>
      <x:c r="AM182" s="18" t="n">
        <x:v>52</x:v>
      </x:c>
      <x:c r="AN182" s="18" t="n">
        <x:v>49</x:v>
      </x:c>
      <x:c r="AO182" s="18" t="n">
        <x:v>0</x:v>
      </x:c>
      <x:c r="AP182" s="18" t="n">
        <x:v>0</x:v>
      </x:c>
      <x:c r="AQ182" s="18" t="n">
        <x:v>0</x:v>
      </x:c>
      <x:c r="AR182" s="18" t="n">
        <x:v>0</x:v>
      </x:c>
      <x:c r="AS182" s="18" t="n">
        <x:v>0</x:v>
      </x:c>
      <x:c r="AT182" s="18" t="n">
        <x:v>0</x:v>
      </x:c>
      <x:c r="AU182" s="18" t="n">
        <x:v>0</x:v>
      </x:c>
      <x:c r="AV182" s="18" t="n">
        <x:v>162</x:v>
      </x:c>
      <x:c r="AW182" s="18" t="n">
        <x:v>0</x:v>
      </x:c>
      <x:c r="AX182" s="18" t="n">
        <x:v>1</x:v>
      </x:c>
      <x:c r="AY182" s="18" t="n">
        <x:v>0</x:v>
      </x:c>
      <x:c r="AZ182" s="18" t="n">
        <x:v>0</x:v>
      </x:c>
      <x:c r="BA182" s="18" t="n">
        <x:v>0</x:v>
      </x:c>
      <x:c r="BB182" s="18" t="n">
        <x:v>0</x:v>
      </x:c>
      <x:c r="BC182" s="18" t="n">
        <x:v>0</x:v>
      </x:c>
      <x:c r="BD182" s="18" t="n">
        <x:v>5</x:v>
      </x:c>
      <x:c r="BE182" s="18" t="n">
        <x:v>0</x:v>
      </x:c>
      <x:c r="BF182" s="18" t="n">
        <x:v>3</x:v>
      </x:c>
      <x:c r="BG182" s="18" t="n">
        <x:v>0</x:v>
      </x:c>
    </x:row>
    <x:row r="183">
      <x:c r="A183" s="29" t="str">
        <x:v>259.3</x:v>
      </x:c>
      <x:c r="B183" s="17" t="n">
        <x:v>3039</x:v>
      </x:c>
      <x:c r="C183" s="17" t="str">
        <x:v>בית הכט</x:v>
      </x:c>
      <x:c r="D183" s="17" t="str">
        <x:v>שד הנשיא 142</x:v>
      </x:c>
      <x:c r="E183" s="17" t="str">
        <x:v>גבוה מאוד</x:v>
      </x:c>
      <x:c r="F183" s="18" t="n">
        <x:v>699</x:v>
      </x:c>
      <x:c r="G183" s="18" t="n">
        <x:v>404</x:v>
      </x:c>
      <x:c r="H183" s="19" t="n">
        <x:f>IFERROR(G183/F183,0)</x:f>
        <x:v>0.5779685264663805</x:v>
      </x:c>
      <x:c r="I183" s="18" t="n">
        <x:v>2</x:v>
      </x:c>
      <x:c r="J183" s="18" t="n">
        <x:v>402</x:v>
      </x:c>
      <x:c r="K183" s="18" t="n">
        <x:f>SUM(AM183,BF183,W183,AD183)</x:f>
        <x:v>64</x:v>
      </x:c>
      <x:c r="L183" s="18" t="n">
        <x:f>Q183+R183</x:f>
        <x:v>326</x:v>
      </x:c>
      <x:c r="M183" s="19" t="n">
        <x:f>IFERROR(K183/J183,0)</x:f>
        <x:v>0.15920398009950248</x:v>
      </x:c>
      <x:c r="N183" s="19" t="n">
        <x:f>IFERROR(L183/J183,0)</x:f>
        <x:v>0.8109452736318408</x:v>
      </x:c>
      <x:c r="O183" s="17" t="str">
        <x:f>IF(K183&gt;MAX(L183,S183),"קואליציית ההקמה 2022",IF(L183&gt;MAX(K183,S183),"אופוזיציה רחבה 2022","רשימות אחרות"))</x:f>
        <x:v>אופוזיציה רחבה 2022</x:v>
      </x:c>
      <x:c r="P183" s="17" t="str">
        <x:f>IF(AND(H183&lt;50%,N183&gt;50%),"כן","לא")</x:f>
        <x:v>לא</x:v>
      </x:c>
      <x:c r="Q183" s="18" t="n">
        <x:f>SUM(AV183,AJ183,AL183,T183,AN183)</x:f>
        <x:v>304</x:v>
      </x:c>
      <x:c r="R183" s="18" t="n">
        <x:f>SUM(Y183,AU183,X183)</x:f>
        <x:v>22</x:v>
      </x:c>
      <x:c r="S183" s="18" t="n">
        <x:f>J183-K183-L183</x:f>
        <x:v>12</x:v>
      </x:c>
      <x:c r="T183" s="18" t="n">
        <x:v>31</x:v>
      </x:c>
      <x:c r="U183" s="18" t="n">
        <x:v>3</x:v>
      </x:c>
      <x:c r="V183" s="18" t="n">
        <x:v>4</x:v>
      </x:c>
      <x:c r="W183" s="18" t="n">
        <x:v>1</x:v>
      </x:c>
      <x:c r="X183" s="18" t="n">
        <x:v>7</x:v>
      </x:c>
      <x:c r="Y183" s="18" t="n">
        <x:v>13</x:v>
      </x:c>
      <x:c r="Z183" s="18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9</x:v>
      </x:c>
      <x:c r="AE183" s="18" t="n">
        <x:v>0</x:v>
      </x:c>
      <x:c r="AF183" s="18" t="n">
        <x:v>1</x:v>
      </x:c>
      <x:c r="AG183" s="18" t="n">
        <x:v>0</x:v>
      </x:c>
      <x:c r="AH183" s="18" t="n">
        <x:v>0</x:v>
      </x:c>
      <x:c r="AI183" s="18" t="n">
        <x:v>0</x:v>
      </x:c>
      <x:c r="AJ183" s="18" t="n">
        <x:v>41</x:v>
      </x:c>
      <x:c r="AK183" s="18" t="n">
        <x:v>0</x:v>
      </x:c>
      <x:c r="AL183" s="18" t="n">
        <x:v>25</x:v>
      </x:c>
      <x:c r="AM183" s="18" t="n">
        <x:v>54</x:v>
      </x:c>
      <x:c r="AN183" s="18" t="n">
        <x:v>44</x:v>
      </x:c>
      <x:c r="AO183" s="18" t="n">
        <x:v>0</x:v>
      </x:c>
      <x:c r="AP183" s="18" t="n">
        <x:v>0</x:v>
      </x:c>
      <x:c r="AQ183" s="18" t="n">
        <x:v>0</x:v>
      </x:c>
      <x:c r="AR183" s="18" t="n">
        <x:v>0</x:v>
      </x:c>
      <x:c r="AS183" s="18" t="n">
        <x:v>0</x:v>
      </x:c>
      <x:c r="AT183" s="18" t="n">
        <x:v>0</x:v>
      </x:c>
      <x:c r="AU183" s="18" t="n">
        <x:v>2</x:v>
      </x:c>
      <x:c r="AV183" s="18" t="n">
        <x:v>163</x:v>
      </x:c>
      <x:c r="AW183" s="18" t="n">
        <x:v>0</x:v>
      </x:c>
      <x:c r="AX183" s="18" t="n">
        <x:v>0</x:v>
      </x:c>
      <x:c r="AY183" s="18" t="n">
        <x:v>0</x:v>
      </x:c>
      <x:c r="AZ183" s="18" t="n">
        <x:v>0</x:v>
      </x:c>
      <x:c r="BA183" s="18" t="n">
        <x:v>0</x:v>
      </x:c>
      <x:c r="BB183" s="18" t="n">
        <x:v>1</x:v>
      </x:c>
      <x:c r="BC183" s="18" t="n">
        <x:v>0</x:v>
      </x:c>
      <x:c r="BD183" s="18" t="n">
        <x:v>3</x:v>
      </x:c>
      <x:c r="BE183" s="18" t="n">
        <x:v>0</x:v>
      </x:c>
      <x:c r="BF183" s="18" t="n">
        <x:v>0</x:v>
      </x:c>
      <x:c r="BG183" s="18" t="n">
        <x:v>0</x:v>
      </x:c>
    </x:row>
    <x:row r="184">
      <x:c r="A184" s="29" t="str">
        <x:v>259.4</x:v>
      </x:c>
      <x:c r="B184" s="17" t="n">
        <x:v>3040</x:v>
      </x:c>
      <x:c r="C184" s="17" t="str">
        <x:v>בית הכט</x:v>
      </x:c>
      <x:c r="D184" s="17" t="str">
        <x:v>שד הנשיא 142</x:v>
      </x:c>
      <x:c r="E184" s="17" t="str">
        <x:v>גבוה מאוד</x:v>
      </x:c>
      <x:c r="F184" s="18" t="n">
        <x:v>699</x:v>
      </x:c>
      <x:c r="G184" s="18" t="n">
        <x:v>415</x:v>
      </x:c>
      <x:c r="H184" s="19" t="n">
        <x:f>IFERROR(G184/F184,0)</x:f>
        <x:v>0.5937052932761088</x:v>
      </x:c>
      <x:c r="I184" s="18" t="n">
        <x:v>3</x:v>
      </x:c>
      <x:c r="J184" s="18" t="n">
        <x:v>412</x:v>
      </x:c>
      <x:c r="K184" s="18" t="n">
        <x:f>SUM(AM184,BF184,W184,AD184)</x:f>
        <x:v>51</x:v>
      </x:c>
      <x:c r="L184" s="18" t="n">
        <x:f>Q184+R184</x:f>
        <x:v>359</x:v>
      </x:c>
      <x:c r="M184" s="19" t="n">
        <x:f>IFERROR(K184/J184,0)</x:f>
        <x:v>0.12378640776699029</x:v>
      </x:c>
      <x:c r="N184" s="19" t="n">
        <x:f>IFERROR(L184/J184,0)</x:f>
        <x:v>0.8713592233009708</x:v>
      </x:c>
      <x:c r="O184" s="17" t="str">
        <x:f>IF(K184&gt;MAX(L184,S184),"קואליציית ההקמה 2022",IF(L184&gt;MAX(K184,S184),"אופוזיציה רחבה 2022","רשימות אחרות"))</x:f>
        <x:v>אופוזיציה רחבה 2022</x:v>
      </x:c>
      <x:c r="P184" s="17" t="str">
        <x:f>IF(AND(H184&lt;50%,N184&gt;50%),"כן","לא")</x:f>
        <x:v>לא</x:v>
      </x:c>
      <x:c r="Q184" s="18" t="n">
        <x:f>SUM(AV184,AJ184,AL184,T184,AN184)</x:f>
        <x:v>352</x:v>
      </x:c>
      <x:c r="R184" s="18" t="n">
        <x:f>SUM(Y184,AU184,X184)</x:f>
        <x:v>7</x:v>
      </x:c>
      <x:c r="S184" s="18" t="n">
        <x:f>J184-K184-L184</x:f>
        <x:v>2</x:v>
      </x:c>
      <x:c r="T184" s="18" t="n">
        <x:v>39</x:v>
      </x:c>
      <x:c r="U184" s="18" t="n">
        <x:v>0</x:v>
      </x:c>
      <x:c r="V184" s="18" t="n">
        <x:v>0</x:v>
      </x:c>
      <x:c r="W184" s="18" t="n">
        <x:v>0</x:v>
      </x:c>
      <x:c r="X184" s="18" t="n">
        <x:v>2</x:v>
      </x:c>
      <x:c r="Y184" s="18" t="n">
        <x:v>5</x:v>
      </x:c>
      <x:c r="Z184" s="18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6</x:v>
      </x:c>
      <x:c r="AE184" s="18" t="n">
        <x:v>0</x:v>
      </x:c>
      <x:c r="AF184" s="18" t="n">
        <x:v>1</x:v>
      </x:c>
      <x:c r="AG184" s="18" t="n">
        <x:v>0</x:v>
      </x:c>
      <x:c r="AH184" s="18" t="n">
        <x:v>0</x:v>
      </x:c>
      <x:c r="AI184" s="18" t="n">
        <x:v>0</x:v>
      </x:c>
      <x:c r="AJ184" s="18" t="n">
        <x:v>52</x:v>
      </x:c>
      <x:c r="AK184" s="18" t="n">
        <x:v>0</x:v>
      </x:c>
      <x:c r="AL184" s="18" t="n">
        <x:v>20</x:v>
      </x:c>
      <x:c r="AM184" s="18" t="n">
        <x:v>41</x:v>
      </x:c>
      <x:c r="AN184" s="18" t="n">
        <x:v>59</x:v>
      </x:c>
      <x:c r="AO184" s="18" t="n">
        <x:v>0</x:v>
      </x:c>
      <x:c r="AP184" s="18" t="n">
        <x:v>0</x:v>
      </x:c>
      <x:c r="AQ184" s="18" t="n">
        <x:v>0</x:v>
      </x:c>
      <x:c r="AR184" s="18" t="n">
        <x:v>0</x:v>
      </x:c>
      <x:c r="AS184" s="18" t="n">
        <x:v>0</x:v>
      </x:c>
      <x:c r="AT184" s="18" t="n">
        <x:v>0</x:v>
      </x:c>
      <x:c r="AU184" s="18" t="n">
        <x:v>0</x:v>
      </x:c>
      <x:c r="AV184" s="18" t="n">
        <x:v>182</x:v>
      </x:c>
      <x:c r="AW184" s="18" t="n">
        <x:v>0</x:v>
      </x:c>
      <x:c r="AX184" s="18" t="n">
        <x:v>0</x:v>
      </x:c>
      <x:c r="AY184" s="18" t="n">
        <x:v>0</x:v>
      </x:c>
      <x:c r="AZ184" s="18" t="n">
        <x:v>0</x:v>
      </x:c>
      <x:c r="BA184" s="18" t="n">
        <x:v>0</x:v>
      </x:c>
      <x:c r="BB184" s="18" t="n">
        <x:v>0</x:v>
      </x:c>
      <x:c r="BC184" s="18" t="n">
        <x:v>0</x:v>
      </x:c>
      <x:c r="BD184" s="18" t="n">
        <x:v>1</x:v>
      </x:c>
      <x:c r="BE184" s="18" t="n">
        <x:v>0</x:v>
      </x:c>
      <x:c r="BF184" s="18" t="n">
        <x:v>4</x:v>
      </x:c>
      <x:c r="BG184" s="18" t="n">
        <x:v>0</x:v>
      </x:c>
    </x:row>
    <x:row r="185">
      <x:c r="A185" s="29" t="str">
        <x:v>260</x:v>
      </x:c>
      <x:c r="B185" s="17" t="n">
        <x:v>3041</x:v>
      </x:c>
      <x:c r="C185" s="17" t="str">
        <x:v>עירוני ה חטיבת בינים</x:v>
      </x:c>
      <x:c r="D185" s="17" t="str">
        <x:v>הטנא 2</x:v>
      </x:c>
      <x:c r="E185" s="17" t="str">
        <x:v>גבוה מאוד</x:v>
      </x:c>
      <x:c r="F185" s="18" t="n">
        <x:v>588</x:v>
      </x:c>
      <x:c r="G185" s="18" t="n">
        <x:v>267</x:v>
      </x:c>
      <x:c r="H185" s="19" t="n">
        <x:f>IFERROR(G185/F185,0)</x:f>
        <x:v>0.45408163265306123</x:v>
      </x:c>
      <x:c r="I185" s="18" t="n">
        <x:v>0</x:v>
      </x:c>
      <x:c r="J185" s="18" t="n">
        <x:v>267</x:v>
      </x:c>
      <x:c r="K185" s="18" t="n">
        <x:f>SUM(AM185,BF185,W185,AD185)</x:f>
        <x:v>52</x:v>
      </x:c>
      <x:c r="L185" s="18" t="n">
        <x:f>Q185+R185</x:f>
        <x:v>211</x:v>
      </x:c>
      <x:c r="M185" s="19" t="n">
        <x:f>IFERROR(K185/J185,0)</x:f>
        <x:v>0.1947565543071161</x:v>
      </x:c>
      <x:c r="N185" s="19" t="n">
        <x:f>IFERROR(L185/J185,0)</x:f>
        <x:v>0.7902621722846442</x:v>
      </x:c>
      <x:c r="O185" s="17" t="str">
        <x:f>IF(K185&gt;MAX(L185,S185),"קואליציית ההקמה 2022",IF(L185&gt;MAX(K185,S185),"אופוזיציה רחבה 2022","רשימות אחרות"))</x:f>
        <x:v>אופוזיציה רחבה 2022</x:v>
      </x:c>
      <x:c r="P185" s="17" t="str">
        <x:f>IF(AND(H185&lt;50%,N185&gt;50%),"כן","לא")</x:f>
        <x:v>כן</x:v>
      </x:c>
      <x:c r="Q185" s="18" t="n">
        <x:f>SUM(AV185,AJ185,AL185,T185,AN185)</x:f>
        <x:v>204</x:v>
      </x:c>
      <x:c r="R185" s="18" t="n">
        <x:f>SUM(Y185,AU185,X185)</x:f>
        <x:v>7</x:v>
      </x:c>
      <x:c r="S185" s="18" t="n">
        <x:f>J185-K185-L185</x:f>
        <x:v>4</x:v>
      </x:c>
      <x:c r="T185" s="18" t="n">
        <x:v>29</x:v>
      </x:c>
      <x:c r="U185" s="18" t="n">
        <x:v>0</x:v>
      </x:c>
      <x:c r="V185" s="18" t="n">
        <x:v>1</x:v>
      </x:c>
      <x:c r="W185" s="18" t="n">
        <x:v>2</x:v>
      </x:c>
      <x:c r="X185" s="18" t="n">
        <x:v>3</x:v>
      </x:c>
      <x:c r="Y185" s="18" t="n">
        <x:v>4</x:v>
      </x:c>
      <x:c r="Z185" s="18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11</x:v>
      </x:c>
      <x:c r="AE185" s="18" t="n">
        <x:v>0</x:v>
      </x:c>
      <x:c r="AF185" s="18" t="n">
        <x:v>2</x:v>
      </x:c>
      <x:c r="AG185" s="18" t="n">
        <x:v>0</x:v>
      </x:c>
      <x:c r="AH185" s="18" t="n">
        <x:v>0</x:v>
      </x:c>
      <x:c r="AI185" s="18" t="n">
        <x:v>0</x:v>
      </x:c>
      <x:c r="AJ185" s="18" t="n">
        <x:v>28</x:v>
      </x:c>
      <x:c r="AK185" s="18" t="n">
        <x:v>0</x:v>
      </x:c>
      <x:c r="AL185" s="18" t="n">
        <x:v>21</x:v>
      </x:c>
      <x:c r="AM185" s="18" t="n">
        <x:v>37</x:v>
      </x:c>
      <x:c r="AN185" s="18" t="n">
        <x:v>25</x:v>
      </x:c>
      <x:c r="AO185" s="18" t="n">
        <x:v>0</x:v>
      </x:c>
      <x:c r="AP185" s="18" t="n">
        <x:v>0</x:v>
      </x:c>
      <x:c r="AQ185" s="18" t="n">
        <x:v>0</x:v>
      </x:c>
      <x:c r="AR185" s="18" t="n">
        <x:v>0</x:v>
      </x:c>
      <x:c r="AS185" s="18" t="n">
        <x:v>0</x:v>
      </x:c>
      <x:c r="AT185" s="18" t="n">
        <x:v>0</x:v>
      </x:c>
      <x:c r="AU185" s="18" t="n">
        <x:v>0</x:v>
      </x:c>
      <x:c r="AV185" s="18" t="n">
        <x:v>101</x:v>
      </x:c>
      <x:c r="AW185" s="18" t="n">
        <x:v>0</x:v>
      </x:c>
      <x:c r="AX185" s="18" t="n">
        <x:v>0</x:v>
      </x:c>
      <x:c r="AY185" s="18" t="n">
        <x:v>0</x:v>
      </x:c>
      <x:c r="AZ185" s="18" t="n">
        <x:v>0</x:v>
      </x:c>
      <x:c r="BA185" s="18" t="n">
        <x:v>0</x:v>
      </x:c>
      <x:c r="BB185" s="18" t="n">
        <x:v>0</x:v>
      </x:c>
      <x:c r="BC185" s="18" t="n">
        <x:v>0</x:v>
      </x:c>
      <x:c r="BD185" s="18" t="n">
        <x:v>1</x:v>
      </x:c>
      <x:c r="BE185" s="18" t="n">
        <x:v>0</x:v>
      </x:c>
      <x:c r="BF185" s="18" t="n">
        <x:v>2</x:v>
      </x:c>
      <x:c r="BG185" s="18" t="n">
        <x:v>0</x:v>
      </x:c>
    </x:row>
    <x:row r="186">
      <x:c r="A186" s="29" t="str">
        <x:v>261</x:v>
      </x:c>
      <x:c r="B186" s="17" t="n">
        <x:v>2967</x:v>
      </x:c>
      <x:c r="C186" s="17" t="str">
        <x:v>בי"ס אבן גבירול</x:v>
      </x:c>
      <x:c r="D186" s="17" t="str">
        <x:v>בודנהיימר מקס ד"ר 7</x:v>
      </x:c>
      <x:c r="E186" s="17" t="str">
        <x:v>גבוה מאוד</x:v>
      </x:c>
      <x:c r="F186" s="18" t="n">
        <x:v>560</x:v>
      </x:c>
      <x:c r="G186" s="18" t="n">
        <x:v>299</x:v>
      </x:c>
      <x:c r="H186" s="19" t="n">
        <x:f>IFERROR(G186/F186,0)</x:f>
        <x:v>0.5339285714285714</x:v>
      </x:c>
      <x:c r="I186" s="18" t="n">
        <x:v>6</x:v>
      </x:c>
      <x:c r="J186" s="18" t="n">
        <x:v>293</x:v>
      </x:c>
      <x:c r="K186" s="18" t="n">
        <x:f>SUM(AM186,BF186,W186,AD186)</x:f>
        <x:v>117</x:v>
      </x:c>
      <x:c r="L186" s="18" t="n">
        <x:f>Q186+R186</x:f>
        <x:v>169</x:v>
      </x:c>
      <x:c r="M186" s="19" t="n">
        <x:f>IFERROR(K186/J186,0)</x:f>
        <x:v>0.3993174061433447</x:v>
      </x:c>
      <x:c r="N186" s="19" t="n">
        <x:f>IFERROR(L186/J186,0)</x:f>
        <x:v>0.5767918088737202</x:v>
      </x:c>
      <x:c r="O186" s="17" t="str">
        <x:f>IF(K186&gt;MAX(L186,S186),"קואליציית ההקמה 2022",IF(L186&gt;MAX(K186,S186),"אופוזיציה רחבה 2022","רשימות אחרות"))</x:f>
        <x:v>אופוזיציה רחבה 2022</x:v>
      </x:c>
      <x:c r="P186" s="17" t="str">
        <x:f>IF(AND(H186&lt;50%,N186&gt;50%),"כן","לא")</x:f>
        <x:v>לא</x:v>
      </x:c>
      <x:c r="Q186" s="18" t="n">
        <x:f>SUM(AV186,AJ186,AL186,T186,AN186)</x:f>
        <x:v>165</x:v>
      </x:c>
      <x:c r="R186" s="18" t="n">
        <x:f>SUM(Y186,AU186,X186)</x:f>
        <x:v>4</x:v>
      </x:c>
      <x:c r="S186" s="18" t="n">
        <x:f>J186-K186-L186</x:f>
        <x:v>7</x:v>
      </x:c>
      <x:c r="T186" s="18" t="n">
        <x:v>5</x:v>
      </x:c>
      <x:c r="U186" s="18" t="n">
        <x:v>1</x:v>
      </x:c>
      <x:c r="V186" s="18" t="n">
        <x:v>1</x:v>
      </x:c>
      <x:c r="W186" s="18" t="n">
        <x:v>0</x:v>
      </x:c>
      <x:c r="X186" s="18" t="n">
        <x:v>1</x:v>
      </x:c>
      <x:c r="Y186" s="18" t="n">
        <x:v>3</x:v>
      </x:c>
      <x:c r="Z186" s="18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31</x:v>
      </x:c>
      <x:c r="AE186" s="18" t="n">
        <x:v>0</x:v>
      </x:c>
      <x:c r="AF186" s="18" t="n">
        <x:v>1</x:v>
      </x:c>
      <x:c r="AG186" s="18" t="n">
        <x:v>0</x:v>
      </x:c>
      <x:c r="AH186" s="18" t="n">
        <x:v>0</x:v>
      </x:c>
      <x:c r="AI186" s="18" t="n">
        <x:v>0</x:v>
      </x:c>
      <x:c r="AJ186" s="18" t="n">
        <x:v>11</x:v>
      </x:c>
      <x:c r="AK186" s="18" t="n">
        <x:v>0</x:v>
      </x:c>
      <x:c r="AL186" s="18" t="n">
        <x:v>54</x:v>
      </x:c>
      <x:c r="AM186" s="18" t="n">
        <x:v>79</x:v>
      </x:c>
      <x:c r="AN186" s="18" t="n">
        <x:v>6</x:v>
      </x:c>
      <x:c r="AO186" s="18" t="n">
        <x:v>0</x:v>
      </x:c>
      <x:c r="AP186" s="18" t="n">
        <x:v>0</x:v>
      </x:c>
      <x:c r="AQ186" s="18" t="n">
        <x:v>0</x:v>
      </x:c>
      <x:c r="AR186" s="18" t="n">
        <x:v>0</x:v>
      </x:c>
      <x:c r="AS186" s="18" t="n">
        <x:v>0</x:v>
      </x:c>
      <x:c r="AT186" s="18" t="n">
        <x:v>0</x:v>
      </x:c>
      <x:c r="AU186" s="18" t="n">
        <x:v>0</x:v>
      </x:c>
      <x:c r="AV186" s="18" t="n">
        <x:v>89</x:v>
      </x:c>
      <x:c r="AW186" s="18" t="n">
        <x:v>1</x:v>
      </x:c>
      <x:c r="AX186" s="18" t="n">
        <x:v>2</x:v>
      </x:c>
      <x:c r="AY186" s="18" t="n">
        <x:v>0</x:v>
      </x:c>
      <x:c r="AZ186" s="18" t="n">
        <x:v>0</x:v>
      </x:c>
      <x:c r="BA186" s="18" t="n">
        <x:v>0</x:v>
      </x:c>
      <x:c r="BB186" s="18" t="n">
        <x:v>0</x:v>
      </x:c>
      <x:c r="BC186" s="18" t="n">
        <x:v>0</x:v>
      </x:c>
      <x:c r="BD186" s="18" t="n">
        <x:v>1</x:v>
      </x:c>
      <x:c r="BE186" s="18" t="n">
        <x:v>0</x:v>
      </x:c>
      <x:c r="BF186" s="18" t="n">
        <x:v>7</x:v>
      </x:c>
      <x:c r="BG186" s="18" t="n">
        <x:v>0</x:v>
      </x:c>
    </x:row>
    <x:row r="187">
      <x:c r="A187" s="29" t="str">
        <x:v>262</x:v>
      </x:c>
      <x:c r="B187" s="17" t="n">
        <x:v>3053</x:v>
      </x:c>
      <x:c r="C187" s="17" t="str">
        <x:v>בי"ס רוממה</x:v>
      </x:c>
      <x:c r="D187" s="17" t="str">
        <x:v>אורן 27</x:v>
      </x:c>
      <x:c r="E187" s="17" t="str">
        <x:v>גבוה מאוד</x:v>
      </x:c>
      <x:c r="F187" s="18" t="n">
        <x:v>450</x:v>
      </x:c>
      <x:c r="G187" s="18" t="n">
        <x:v>256</x:v>
      </x:c>
      <x:c r="H187" s="19" t="n">
        <x:f>IFERROR(G187/F187,0)</x:f>
        <x:v>0.5688888888888889</x:v>
      </x:c>
      <x:c r="I187" s="18" t="n">
        <x:v>1</x:v>
      </x:c>
      <x:c r="J187" s="18" t="n">
        <x:v>255</x:v>
      </x:c>
      <x:c r="K187" s="18" t="n">
        <x:f>SUM(AM187,BF187,W187,AD187)</x:f>
        <x:v>67</x:v>
      </x:c>
      <x:c r="L187" s="18" t="n">
        <x:f>Q187+R187</x:f>
        <x:v>182</x:v>
      </x:c>
      <x:c r="M187" s="19" t="n">
        <x:f>IFERROR(K187/J187,0)</x:f>
        <x:v>0.2627450980392157</x:v>
      </x:c>
      <x:c r="N187" s="19" t="n">
        <x:f>IFERROR(L187/J187,0)</x:f>
        <x:v>0.7137254901960784</x:v>
      </x:c>
      <x:c r="O187" s="17" t="str">
        <x:f>IF(K187&gt;MAX(L187,S187),"קואליציית ההקמה 2022",IF(L187&gt;MAX(K187,S187),"אופוזיציה רחבה 2022","רשימות אחרות"))</x:f>
        <x:v>אופוזיציה רחבה 2022</x:v>
      </x:c>
      <x:c r="P187" s="17" t="str">
        <x:f>IF(AND(H187&lt;50%,N187&gt;50%),"כן","לא")</x:f>
        <x:v>לא</x:v>
      </x:c>
      <x:c r="Q187" s="18" t="n">
        <x:f>SUM(AV187,AJ187,AL187,T187,AN187)</x:f>
        <x:v>181</x:v>
      </x:c>
      <x:c r="R187" s="18" t="n">
        <x:f>SUM(Y187,AU187,X187)</x:f>
        <x:v>1</x:v>
      </x:c>
      <x:c r="S187" s="18" t="n">
        <x:f>J187-K187-L187</x:f>
        <x:v>6</x:v>
      </x:c>
      <x:c r="T187" s="18" t="n">
        <x:v>17</x:v>
      </x:c>
      <x:c r="U187" s="18" t="n">
        <x:v>1</x:v>
      </x:c>
      <x:c r="V187" s="18" t="n">
        <x:v>0</x:v>
      </x:c>
      <x:c r="W187" s="18" t="n">
        <x:v>0</x:v>
      </x:c>
      <x:c r="X187" s="18" t="n">
        <x:v>1</x:v>
      </x:c>
      <x:c r="Y187" s="18" t="n">
        <x:v>0</x:v>
      </x:c>
      <x:c r="Z187" s="18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6</x:v>
      </x:c>
      <x:c r="AE187" s="18" t="n">
        <x:v>0</x:v>
      </x:c>
      <x:c r="AF187" s="18" t="n">
        <x:v>2</x:v>
      </x:c>
      <x:c r="AG187" s="18" t="n">
        <x:v>0</x:v>
      </x:c>
      <x:c r="AH187" s="18" t="n">
        <x:v>0</x:v>
      </x:c>
      <x:c r="AI187" s="18" t="n">
        <x:v>0</x:v>
      </x:c>
      <x:c r="AJ187" s="18" t="n">
        <x:v>34</x:v>
      </x:c>
      <x:c r="AK187" s="18" t="n">
        <x:v>0</x:v>
      </x:c>
      <x:c r="AL187" s="18" t="n">
        <x:v>26</x:v>
      </x:c>
      <x:c r="AM187" s="18" t="n">
        <x:v>60</x:v>
      </x:c>
      <x:c r="AN187" s="18" t="n">
        <x:v>11</x:v>
      </x:c>
      <x:c r="AO187" s="18" t="n">
        <x:v>0</x:v>
      </x:c>
      <x:c r="AP187" s="18" t="n">
        <x:v>1</x:v>
      </x:c>
      <x:c r="AQ187" s="18" t="n">
        <x:v>0</x:v>
      </x:c>
      <x:c r="AR187" s="18" t="n">
        <x:v>0</x:v>
      </x:c>
      <x:c r="AS187" s="18" t="n">
        <x:v>0</x:v>
      </x:c>
      <x:c r="AT187" s="18" t="n">
        <x:v>0</x:v>
      </x:c>
      <x:c r="AU187" s="18" t="n">
        <x:v>0</x:v>
      </x:c>
      <x:c r="AV187" s="18" t="n">
        <x:v>93</x:v>
      </x:c>
      <x:c r="AW187" s="18" t="n">
        <x:v>0</x:v>
      </x:c>
      <x:c r="AX187" s="18" t="n">
        <x:v>0</x:v>
      </x:c>
      <x:c r="AY187" s="18" t="n">
        <x:v>0</x:v>
      </x:c>
      <x:c r="AZ187" s="18" t="n">
        <x:v>0</x:v>
      </x:c>
      <x:c r="BA187" s="18" t="n">
        <x:v>0</x:v>
      </x:c>
      <x:c r="BB187" s="18" t="n">
        <x:v>1</x:v>
      </x:c>
      <x:c r="BC187" s="18" t="n">
        <x:v>0</x:v>
      </x:c>
      <x:c r="BD187" s="18" t="n">
        <x:v>1</x:v>
      </x:c>
      <x:c r="BE187" s="18" t="n">
        <x:v>0</x:v>
      </x:c>
      <x:c r="BF187" s="18" t="n">
        <x:v>1</x:v>
      </x:c>
      <x:c r="BG187" s="18" t="n">
        <x:v>0</x:v>
      </x:c>
    </x:row>
    <x:row r="188">
      <x:c r="A188" s="29" t="str">
        <x:v>265.1</x:v>
      </x:c>
      <x:c r="B188" s="17" t="n">
        <x:v>2968</x:v>
      </x:c>
      <x:c r="C188" s="17" t="str">
        <x:v>בי"ס טשרניחובסקי</x:v>
      </x:c>
      <x:c r="D188" s="17" t="str">
        <x:v>טשרניחובסקי 34</x:v>
      </x:c>
      <x:c r="E188" s="17" t="str">
        <x:v>גבוה מאוד</x:v>
      </x:c>
      <x:c r="F188" s="18" t="n">
        <x:v>692</x:v>
      </x:c>
      <x:c r="G188" s="18" t="n">
        <x:v>415</x:v>
      </x:c>
      <x:c r="H188" s="19" t="n">
        <x:f>IFERROR(G188/F188,0)</x:f>
        <x:v>0.5997109826589595</x:v>
      </x:c>
      <x:c r="I188" s="18" t="n">
        <x:v>2</x:v>
      </x:c>
      <x:c r="J188" s="18" t="n">
        <x:v>413</x:v>
      </x:c>
      <x:c r="K188" s="18" t="n">
        <x:f>SUM(AM188,BF188,W188,AD188)</x:f>
        <x:v>75</x:v>
      </x:c>
      <x:c r="L188" s="18" t="n">
        <x:f>Q188+R188</x:f>
        <x:v>334</x:v>
      </x:c>
      <x:c r="M188" s="19" t="n">
        <x:f>IFERROR(K188/J188,0)</x:f>
        <x:v>0.18159806295399517</x:v>
      </x:c>
      <x:c r="N188" s="19" t="n">
        <x:f>IFERROR(L188/J188,0)</x:f>
        <x:v>0.8087167070217918</x:v>
      </x:c>
      <x:c r="O188" s="17" t="str">
        <x:f>IF(K188&gt;MAX(L188,S188),"קואליציית ההקמה 2022",IF(L188&gt;MAX(K188,S188),"אופוזיציה רחבה 2022","רשימות אחרות"))</x:f>
        <x:v>אופוזיציה רחבה 2022</x:v>
      </x:c>
      <x:c r="P188" s="17" t="str">
        <x:f>IF(AND(H188&lt;50%,N188&gt;50%),"כן","לא")</x:f>
        <x:v>לא</x:v>
      </x:c>
      <x:c r="Q188" s="18" t="n">
        <x:f>SUM(AV188,AJ188,AL188,T188,AN188)</x:f>
        <x:v>202</x:v>
      </x:c>
      <x:c r="R188" s="18" t="n">
        <x:f>SUM(Y188,AU188,X188)</x:f>
        <x:v>132</x:v>
      </x:c>
      <x:c r="S188" s="18" t="n">
        <x:f>J188-K188-L188</x:f>
        <x:v>4</x:v>
      </x:c>
      <x:c r="T188" s="18" t="n">
        <x:v>24</x:v>
      </x:c>
      <x:c r="U188" s="18" t="n">
        <x:v>1</x:v>
      </x:c>
      <x:c r="V188" s="18" t="n">
        <x:v>3</x:v>
      </x:c>
      <x:c r="W188" s="18" t="n">
        <x:v>0</x:v>
      </x:c>
      <x:c r="X188" s="18" t="n">
        <x:v>48</x:v>
      </x:c>
      <x:c r="Y188" s="18" t="n">
        <x:v>77</x:v>
      </x:c>
      <x:c r="Z188" s="18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15</x:v>
      </x:c>
      <x:c r="AE188" s="18" t="n">
        <x:v>0</x:v>
      </x:c>
      <x:c r="AF188" s="18" t="n">
        <x:v>0</x:v>
      </x:c>
      <x:c r="AG188" s="18" t="n">
        <x:v>0</x:v>
      </x:c>
      <x:c r="AH188" s="18" t="n">
        <x:v>0</x:v>
      </x:c>
      <x:c r="AI188" s="18" t="n">
        <x:v>0</x:v>
      </x:c>
      <x:c r="AJ188" s="18" t="n">
        <x:v>45</x:v>
      </x:c>
      <x:c r="AK188" s="18" t="n">
        <x:v>0</x:v>
      </x:c>
      <x:c r="AL188" s="18" t="n">
        <x:v>18</x:v>
      </x:c>
      <x:c r="AM188" s="18" t="n">
        <x:v>55</x:v>
      </x:c>
      <x:c r="AN188" s="18" t="n">
        <x:v>31</x:v>
      </x:c>
      <x:c r="AO188" s="18" t="n">
        <x:v>0</x:v>
      </x:c>
      <x:c r="AP188" s="18" t="n">
        <x:v>0</x:v>
      </x:c>
      <x:c r="AQ188" s="18" t="n">
        <x:v>0</x:v>
      </x:c>
      <x:c r="AR188" s="18" t="n">
        <x:v>0</x:v>
      </x:c>
      <x:c r="AS188" s="18" t="n">
        <x:v>0</x:v>
      </x:c>
      <x:c r="AT188" s="18" t="n">
        <x:v>0</x:v>
      </x:c>
      <x:c r="AU188" s="18" t="n">
        <x:v>7</x:v>
      </x:c>
      <x:c r="AV188" s="18" t="n">
        <x:v>84</x:v>
      </x:c>
      <x:c r="AW188" s="18" t="n">
        <x:v>0</x:v>
      </x:c>
      <x:c r="AX188" s="18" t="n">
        <x:v>0</x:v>
      </x:c>
      <x:c r="AY188" s="18" t="n">
        <x:v>0</x:v>
      </x:c>
      <x:c r="AZ188" s="18" t="n">
        <x:v>0</x:v>
      </x:c>
      <x:c r="BA188" s="18" t="n">
        <x:v>0</x:v>
      </x:c>
      <x:c r="BB188" s="18" t="n">
        <x:v>0</x:v>
      </x:c>
      <x:c r="BC188" s="18" t="n">
        <x:v>0</x:v>
      </x:c>
      <x:c r="BD188" s="18" t="n">
        <x:v>0</x:v>
      </x:c>
      <x:c r="BE188" s="18" t="n">
        <x:v>0</x:v>
      </x:c>
      <x:c r="BF188" s="18" t="n">
        <x:v>5</x:v>
      </x:c>
      <x:c r="BG188" s="18" t="n">
        <x:v>0</x:v>
      </x:c>
    </x:row>
    <x:row r="189">
      <x:c r="A189" s="29" t="str">
        <x:v>265.2</x:v>
      </x:c>
      <x:c r="B189" s="17" t="n">
        <x:v>2969</x:v>
      </x:c>
      <x:c r="C189" s="17" t="str">
        <x:v>בי"ס טשרניחובסקי</x:v>
      </x:c>
      <x:c r="D189" s="17" t="str">
        <x:v>טשרניחובסקי 34</x:v>
      </x:c>
      <x:c r="E189" s="17" t="str">
        <x:v>גבוה מאוד</x:v>
      </x:c>
      <x:c r="F189" s="18" t="n">
        <x:v>692</x:v>
      </x:c>
      <x:c r="G189" s="18" t="n">
        <x:v>404</x:v>
      </x:c>
      <x:c r="H189" s="19" t="n">
        <x:f>IFERROR(G189/F189,0)</x:f>
        <x:v>0.5838150289017341</x:v>
      </x:c>
      <x:c r="I189" s="18" t="n">
        <x:v>1</x:v>
      </x:c>
      <x:c r="J189" s="18" t="n">
        <x:v>403</x:v>
      </x:c>
      <x:c r="K189" s="18" t="n">
        <x:f>SUM(AM189,BF189,W189,AD189)</x:f>
        <x:v>70</x:v>
      </x:c>
      <x:c r="L189" s="18" t="n">
        <x:f>Q189+R189</x:f>
        <x:v>327</x:v>
      </x:c>
      <x:c r="M189" s="19" t="n">
        <x:f>IFERROR(K189/J189,0)</x:f>
        <x:v>0.17369727047146402</x:v>
      </x:c>
      <x:c r="N189" s="19" t="n">
        <x:f>IFERROR(L189/J189,0)</x:f>
        <x:v>0.8114143920595533</x:v>
      </x:c>
      <x:c r="O189" s="17" t="str">
        <x:f>IF(K189&gt;MAX(L189,S189),"קואליציית ההקמה 2022",IF(L189&gt;MAX(K189,S189),"אופוזיציה רחבה 2022","רשימות אחרות"))</x:f>
        <x:v>אופוזיציה רחבה 2022</x:v>
      </x:c>
      <x:c r="P189" s="17" t="str">
        <x:f>IF(AND(H189&lt;50%,N189&gt;50%),"כן","לא")</x:f>
        <x:v>לא</x:v>
      </x:c>
      <x:c r="Q189" s="18" t="n">
        <x:f>SUM(AV189,AJ189,AL189,T189,AN189)</x:f>
        <x:v>177</x:v>
      </x:c>
      <x:c r="R189" s="18" t="n">
        <x:f>SUM(Y189,AU189,X189)</x:f>
        <x:v>150</x:v>
      </x:c>
      <x:c r="S189" s="18" t="n">
        <x:f>J189-K189-L189</x:f>
        <x:v>6</x:v>
      </x:c>
      <x:c r="T189" s="18" t="n">
        <x:v>18</x:v>
      </x:c>
      <x:c r="U189" s="18" t="n">
        <x:v>1</x:v>
      </x:c>
      <x:c r="V189" s="18" t="n">
        <x:v>1</x:v>
      </x:c>
      <x:c r="W189" s="18" t="n">
        <x:v>1</x:v>
      </x:c>
      <x:c r="X189" s="18" t="n">
        <x:v>66</x:v>
      </x:c>
      <x:c r="Y189" s="18" t="n">
        <x:v>84</x:v>
      </x:c>
      <x:c r="Z189" s="18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15</x:v>
      </x:c>
      <x:c r="AE189" s="18" t="n">
        <x:v>0</x:v>
      </x:c>
      <x:c r="AF189" s="18" t="n">
        <x:v>1</x:v>
      </x:c>
      <x:c r="AG189" s="18" t="n">
        <x:v>0</x:v>
      </x:c>
      <x:c r="AH189" s="18" t="n">
        <x:v>0</x:v>
      </x:c>
      <x:c r="AI189" s="18" t="n">
        <x:v>0</x:v>
      </x:c>
      <x:c r="AJ189" s="18" t="n">
        <x:v>38</x:v>
      </x:c>
      <x:c r="AK189" s="18" t="n">
        <x:v>2</x:v>
      </x:c>
      <x:c r="AL189" s="18" t="n">
        <x:v>16</x:v>
      </x:c>
      <x:c r="AM189" s="18" t="n">
        <x:v>51</x:v>
      </x:c>
      <x:c r="AN189" s="18" t="n">
        <x:v>21</x:v>
      </x:c>
      <x:c r="AO189" s="18" t="n">
        <x:v>0</x:v>
      </x:c>
      <x:c r="AP189" s="18" t="n">
        <x:v>0</x:v>
      </x:c>
      <x:c r="AQ189" s="18" t="n">
        <x:v>0</x:v>
      </x:c>
      <x:c r="AR189" s="18" t="n">
        <x:v>0</x:v>
      </x:c>
      <x:c r="AS189" s="18" t="n">
        <x:v>0</x:v>
      </x:c>
      <x:c r="AT189" s="18" t="n">
        <x:v>0</x:v>
      </x:c>
      <x:c r="AU189" s="18" t="n">
        <x:v>0</x:v>
      </x:c>
      <x:c r="AV189" s="18" t="n">
        <x:v>84</x:v>
      </x:c>
      <x:c r="AW189" s="18" t="n">
        <x:v>0</x:v>
      </x:c>
      <x:c r="AX189" s="18" t="n">
        <x:v>0</x:v>
      </x:c>
      <x:c r="AY189" s="18" t="n">
        <x:v>0</x:v>
      </x:c>
      <x:c r="AZ189" s="18" t="n">
        <x:v>0</x:v>
      </x:c>
      <x:c r="BA189" s="18" t="n">
        <x:v>0</x:v>
      </x:c>
      <x:c r="BB189" s="18" t="n">
        <x:v>0</x:v>
      </x:c>
      <x:c r="BC189" s="18" t="n">
        <x:v>0</x:v>
      </x:c>
      <x:c r="BD189" s="18" t="n">
        <x:v>1</x:v>
      </x:c>
      <x:c r="BE189" s="18" t="n">
        <x:v>0</x:v>
      </x:c>
      <x:c r="BF189" s="18" t="n">
        <x:v>3</x:v>
      </x:c>
      <x:c r="BG189" s="18" t="n">
        <x:v>0</x:v>
      </x:c>
    </x:row>
    <x:row r="190">
      <x:c r="A190" s="29" t="str">
        <x:v>265.3</x:v>
      </x:c>
      <x:c r="B190" s="17" t="n">
        <x:v>2970</x:v>
      </x:c>
      <x:c r="C190" s="17" t="str">
        <x:v>בי"ס טשרניחובסקי</x:v>
      </x:c>
      <x:c r="D190" s="17" t="str">
        <x:v>טשרניחובסקי 34</x:v>
      </x:c>
      <x:c r="E190" s="17" t="str">
        <x:v>גבוה מאוד</x:v>
      </x:c>
      <x:c r="F190" s="18" t="n">
        <x:v>692</x:v>
      </x:c>
      <x:c r="G190" s="18" t="n">
        <x:v>413</x:v>
      </x:c>
      <x:c r="H190" s="19" t="n">
        <x:f>IFERROR(G190/F190,0)</x:f>
        <x:v>0.596820809248555</x:v>
      </x:c>
      <x:c r="I190" s="18" t="n">
        <x:v>1</x:v>
      </x:c>
      <x:c r="J190" s="18" t="n">
        <x:v>412</x:v>
      </x:c>
      <x:c r="K190" s="18" t="n">
        <x:f>SUM(AM190,BF190,W190,AD190)</x:f>
        <x:v>87</x:v>
      </x:c>
      <x:c r="L190" s="18" t="n">
        <x:f>Q190+R190</x:f>
        <x:v>318</x:v>
      </x:c>
      <x:c r="M190" s="19" t="n">
        <x:f>IFERROR(K190/J190,0)</x:f>
        <x:v>0.2111650485436893</x:v>
      </x:c>
      <x:c r="N190" s="19" t="n">
        <x:f>IFERROR(L190/J190,0)</x:f>
        <x:v>0.7718446601941747</x:v>
      </x:c>
      <x:c r="O190" s="17" t="str">
        <x:f>IF(K190&gt;MAX(L190,S190),"קואליציית ההקמה 2022",IF(L190&gt;MAX(K190,S190),"אופוזיציה רחבה 2022","רשימות אחרות"))</x:f>
        <x:v>אופוזיציה רחבה 2022</x:v>
      </x:c>
      <x:c r="P190" s="17" t="str">
        <x:f>IF(AND(H190&lt;50%,N190&gt;50%),"כן","לא")</x:f>
        <x:v>לא</x:v>
      </x:c>
      <x:c r="Q190" s="18" t="n">
        <x:f>SUM(AV190,AJ190,AL190,T190,AN190)</x:f>
        <x:v>170</x:v>
      </x:c>
      <x:c r="R190" s="18" t="n">
        <x:f>SUM(Y190,AU190,X190)</x:f>
        <x:v>148</x:v>
      </x:c>
      <x:c r="S190" s="18" t="n">
        <x:f>J190-K190-L190</x:f>
        <x:v>7</x:v>
      </x:c>
      <x:c r="T190" s="18" t="n">
        <x:v>19</x:v>
      </x:c>
      <x:c r="U190" s="18" t="n">
        <x:v>0</x:v>
      </x:c>
      <x:c r="V190" s="18" t="n">
        <x:v>1</x:v>
      </x:c>
      <x:c r="W190" s="18" t="n">
        <x:v>4</x:v>
      </x:c>
      <x:c r="X190" s="18" t="n">
        <x:v>38</x:v>
      </x:c>
      <x:c r="Y190" s="18" t="n">
        <x:v>104</x:v>
      </x:c>
      <x:c r="Z190" s="18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17</x:v>
      </x:c>
      <x:c r="AE190" s="18" t="n">
        <x:v>0</x:v>
      </x:c>
      <x:c r="AF190" s="18" t="n">
        <x:v>1</x:v>
      </x:c>
      <x:c r="AG190" s="18" t="n">
        <x:v>0</x:v>
      </x:c>
      <x:c r="AH190" s="18" t="n">
        <x:v>0</x:v>
      </x:c>
      <x:c r="AI190" s="18" t="n">
        <x:v>0</x:v>
      </x:c>
      <x:c r="AJ190" s="18" t="n">
        <x:v>31</x:v>
      </x:c>
      <x:c r="AK190" s="18" t="n">
        <x:v>1</x:v>
      </x:c>
      <x:c r="AL190" s="18" t="n">
        <x:v>15</x:v>
      </x:c>
      <x:c r="AM190" s="18" t="n">
        <x:v>64</x:v>
      </x:c>
      <x:c r="AN190" s="18" t="n">
        <x:v>32</x:v>
      </x:c>
      <x:c r="AO190" s="18" t="n">
        <x:v>0</x:v>
      </x:c>
      <x:c r="AP190" s="18" t="n">
        <x:v>1</x:v>
      </x:c>
      <x:c r="AQ190" s="18" t="n">
        <x:v>0</x:v>
      </x:c>
      <x:c r="AR190" s="18" t="n">
        <x:v>0</x:v>
      </x:c>
      <x:c r="AS190" s="18" t="n">
        <x:v>0</x:v>
      </x:c>
      <x:c r="AT190" s="18" t="n">
        <x:v>0</x:v>
      </x:c>
      <x:c r="AU190" s="18" t="n">
        <x:v>6</x:v>
      </x:c>
      <x:c r="AV190" s="18" t="n">
        <x:v>73</x:v>
      </x:c>
      <x:c r="AW190" s="18" t="n">
        <x:v>0</x:v>
      </x:c>
      <x:c r="AX190" s="18" t="n">
        <x:v>0</x:v>
      </x:c>
      <x:c r="AY190" s="18" t="n">
        <x:v>0</x:v>
      </x:c>
      <x:c r="AZ190" s="18" t="n">
        <x:v>1</x:v>
      </x:c>
      <x:c r="BA190" s="18" t="n">
        <x:v>0</x:v>
      </x:c>
      <x:c r="BB190" s="18" t="n">
        <x:v>0</x:v>
      </x:c>
      <x:c r="BC190" s="18" t="n">
        <x:v>0</x:v>
      </x:c>
      <x:c r="BD190" s="18" t="n">
        <x:v>2</x:v>
      </x:c>
      <x:c r="BE190" s="18" t="n">
        <x:v>0</x:v>
      </x:c>
      <x:c r="BF190" s="18" t="n">
        <x:v>2</x:v>
      </x:c>
      <x:c r="BG190" s="18" t="n">
        <x:v>0</x:v>
      </x:c>
    </x:row>
    <x:row r="191">
      <x:c r="A191" s="29" t="str">
        <x:v>265.4</x:v>
      </x:c>
      <x:c r="B191" s="17" t="n">
        <x:v>2971</x:v>
      </x:c>
      <x:c r="C191" s="17" t="str">
        <x:v>בי"ס טשרניחובסקי</x:v>
      </x:c>
      <x:c r="D191" s="17" t="str">
        <x:v>טשרניחובסקי 34</x:v>
      </x:c>
      <x:c r="E191" s="17" t="str">
        <x:v>גבוה מאוד</x:v>
      </x:c>
      <x:c r="F191" s="18" t="n">
        <x:v>691</x:v>
      </x:c>
      <x:c r="G191" s="18" t="n">
        <x:v>368</x:v>
      </x:c>
      <x:c r="H191" s="19" t="n">
        <x:f>IFERROR(G191/F191,0)</x:f>
        <x:v>0.532561505065123</x:v>
      </x:c>
      <x:c r="I191" s="18" t="n">
        <x:v>2</x:v>
      </x:c>
      <x:c r="J191" s="18" t="n">
        <x:v>366</x:v>
      </x:c>
      <x:c r="K191" s="18" t="n">
        <x:f>SUM(AM191,BF191,W191,AD191)</x:f>
        <x:v>75</x:v>
      </x:c>
      <x:c r="L191" s="18" t="n">
        <x:f>Q191+R191</x:f>
        <x:v>286</x:v>
      </x:c>
      <x:c r="M191" s="19" t="n">
        <x:f>IFERROR(K191/J191,0)</x:f>
        <x:v>0.20491803278688525</x:v>
      </x:c>
      <x:c r="N191" s="19" t="n">
        <x:f>IFERROR(L191/J191,0)</x:f>
        <x:v>0.7814207650273224</x:v>
      </x:c>
      <x:c r="O191" s="17" t="str">
        <x:f>IF(K191&gt;MAX(L191,S191),"קואליציית ההקמה 2022",IF(L191&gt;MAX(K191,S191),"אופוזיציה רחבה 2022","רשימות אחרות"))</x:f>
        <x:v>אופוזיציה רחבה 2022</x:v>
      </x:c>
      <x:c r="P191" s="17" t="str">
        <x:f>IF(AND(H191&lt;50%,N191&gt;50%),"כן","לא")</x:f>
        <x:v>לא</x:v>
      </x:c>
      <x:c r="Q191" s="18" t="n">
        <x:f>SUM(AV191,AJ191,AL191,T191,AN191)</x:f>
        <x:v>214</x:v>
      </x:c>
      <x:c r="R191" s="18" t="n">
        <x:f>SUM(Y191,AU191,X191)</x:f>
        <x:v>72</x:v>
      </x:c>
      <x:c r="S191" s="18" t="n">
        <x:f>J191-K191-L191</x:f>
        <x:v>5</x:v>
      </x:c>
      <x:c r="T191" s="18" t="n">
        <x:v>15</x:v>
      </x:c>
      <x:c r="U191" s="18" t="n">
        <x:v>0</x:v>
      </x:c>
      <x:c r="V191" s="18" t="n">
        <x:v>1</x:v>
      </x:c>
      <x:c r="W191" s="18" t="n">
        <x:v>0</x:v>
      </x:c>
      <x:c r="X191" s="18" t="n">
        <x:v>16</x:v>
      </x:c>
      <x:c r="Y191" s="18" t="n">
        <x:v>53</x:v>
      </x:c>
      <x:c r="Z191" s="18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16</x:v>
      </x:c>
      <x:c r="AE191" s="18" t="n">
        <x:v>0</x:v>
      </x:c>
      <x:c r="AF191" s="18" t="n">
        <x:v>1</x:v>
      </x:c>
      <x:c r="AG191" s="18" t="n">
        <x:v>0</x:v>
      </x:c>
      <x:c r="AH191" s="18" t="n">
        <x:v>0</x:v>
      </x:c>
      <x:c r="AI191" s="18" t="n">
        <x:v>0</x:v>
      </x:c>
      <x:c r="AJ191" s="18" t="n">
        <x:v>41</x:v>
      </x:c>
      <x:c r="AK191" s="18" t="n">
        <x:v>0</x:v>
      </x:c>
      <x:c r="AL191" s="18" t="n">
        <x:v>17</x:v>
      </x:c>
      <x:c r="AM191" s="18" t="n">
        <x:v>55</x:v>
      </x:c>
      <x:c r="AN191" s="18" t="n">
        <x:v>27</x:v>
      </x:c>
      <x:c r="AO191" s="18" t="n">
        <x:v>0</x:v>
      </x:c>
      <x:c r="AP191" s="18" t="n">
        <x:v>0</x:v>
      </x:c>
      <x:c r="AQ191" s="18" t="n">
        <x:v>0</x:v>
      </x:c>
      <x:c r="AR191" s="18" t="n">
        <x:v>0</x:v>
      </x:c>
      <x:c r="AS191" s="18" t="n">
        <x:v>0</x:v>
      </x:c>
      <x:c r="AT191" s="18" t="n">
        <x:v>0</x:v>
      </x:c>
      <x:c r="AU191" s="18" t="n">
        <x:v>3</x:v>
      </x:c>
      <x:c r="AV191" s="18" t="n">
        <x:v>114</x:v>
      </x:c>
      <x:c r="AW191" s="18" t="n">
        <x:v>0</x:v>
      </x:c>
      <x:c r="AX191" s="18" t="n">
        <x:v>0</x:v>
      </x:c>
      <x:c r="AY191" s="18" t="n">
        <x:v>0</x:v>
      </x:c>
      <x:c r="AZ191" s="18" t="n">
        <x:v>2</x:v>
      </x:c>
      <x:c r="BA191" s="18" t="n">
        <x:v>0</x:v>
      </x:c>
      <x:c r="BB191" s="18" t="n">
        <x:v>0</x:v>
      </x:c>
      <x:c r="BC191" s="18" t="n">
        <x:v>0</x:v>
      </x:c>
      <x:c r="BD191" s="18" t="n">
        <x:v>1</x:v>
      </x:c>
      <x:c r="BE191" s="18" t="n">
        <x:v>0</x:v>
      </x:c>
      <x:c r="BF191" s="18" t="n">
        <x:v>4</x:v>
      </x:c>
      <x:c r="BG191" s="18" t="n">
        <x:v>0</x:v>
      </x:c>
    </x:row>
    <x:row r="192">
      <x:c r="A192" s="29" t="str">
        <x:v>267</x:v>
      </x:c>
      <x:c r="B192" s="17" t="n">
        <x:v>2884</x:v>
      </x:c>
      <x:c r="C192" s="17" t="str">
        <x:v>בי"ס אורים</x:v>
      </x:c>
      <x:c r="D192" s="17" t="str">
        <x:v>מונטיפיורי 15</x:v>
      </x:c>
      <x:c r="E192" s="17" t="str">
        <x:v>גבוה מאוד</x:v>
      </x:c>
      <x:c r="F192" s="18" t="n">
        <x:v>422</x:v>
      </x:c>
      <x:c r="G192" s="18" t="n">
        <x:v>191</x:v>
      </x:c>
      <x:c r="H192" s="19" t="n">
        <x:f>IFERROR(G192/F192,0)</x:f>
        <x:v>0.45260663507109006</x:v>
      </x:c>
      <x:c r="I192" s="18" t="n">
        <x:v>2</x:v>
      </x:c>
      <x:c r="J192" s="18" t="n">
        <x:v>189</x:v>
      </x:c>
      <x:c r="K192" s="18" t="n">
        <x:f>SUM(AM192,BF192,W192,AD192)</x:f>
        <x:v>52</x:v>
      </x:c>
      <x:c r="L192" s="18" t="n">
        <x:f>Q192+R192</x:f>
        <x:v>133</x:v>
      </x:c>
      <x:c r="M192" s="19" t="n">
        <x:f>IFERROR(K192/J192,0)</x:f>
        <x:v>0.2751322751322751</x:v>
      </x:c>
      <x:c r="N192" s="19" t="n">
        <x:f>IFERROR(L192/J192,0)</x:f>
        <x:v>0.7037037037037037</x:v>
      </x:c>
      <x:c r="O192" s="17" t="str">
        <x:f>IF(K192&gt;MAX(L192,S192),"קואליציית ההקמה 2022",IF(L192&gt;MAX(K192,S192),"אופוזיציה רחבה 2022","רשימות אחרות"))</x:f>
        <x:v>אופוזיציה רחבה 2022</x:v>
      </x:c>
      <x:c r="P192" s="17" t="str">
        <x:f>IF(AND(H192&lt;50%,N192&gt;50%),"כן","לא")</x:f>
        <x:v>כן</x:v>
      </x:c>
      <x:c r="Q192" s="18" t="n">
        <x:f>SUM(AV192,AJ192,AL192,T192,AN192)</x:f>
        <x:v>96</x:v>
      </x:c>
      <x:c r="R192" s="18" t="n">
        <x:f>SUM(Y192,AU192,X192)</x:f>
        <x:v>37</x:v>
      </x:c>
      <x:c r="S192" s="18" t="n">
        <x:f>J192-K192-L192</x:f>
        <x:v>4</x:v>
      </x:c>
      <x:c r="T192" s="18" t="n">
        <x:v>18</x:v>
      </x:c>
      <x:c r="U192" s="18" t="n">
        <x:v>0</x:v>
      </x:c>
      <x:c r="V192" s="18" t="n">
        <x:v>1</x:v>
      </x:c>
      <x:c r="W192" s="18" t="n">
        <x:v>2</x:v>
      </x:c>
      <x:c r="X192" s="18" t="n">
        <x:v>16</x:v>
      </x:c>
      <x:c r="Y192" s="18" t="n">
        <x:v>21</x:v>
      </x:c>
      <x:c r="Z192" s="18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9</x:v>
      </x:c>
      <x:c r="AE192" s="18" t="n">
        <x:v>0</x:v>
      </x:c>
      <x:c r="AF192" s="18" t="n">
        <x:v>0</x:v>
      </x:c>
      <x:c r="AG192" s="18" t="n">
        <x:v>0</x:v>
      </x:c>
      <x:c r="AH192" s="18" t="n">
        <x:v>0</x:v>
      </x:c>
      <x:c r="AI192" s="18" t="n">
        <x:v>0</x:v>
      </x:c>
      <x:c r="AJ192" s="18" t="n">
        <x:v>8</x:v>
      </x:c>
      <x:c r="AK192" s="18" t="n">
        <x:v>0</x:v>
      </x:c>
      <x:c r="AL192" s="18" t="n">
        <x:v>12</x:v>
      </x:c>
      <x:c r="AM192" s="18" t="n">
        <x:v>37</x:v>
      </x:c>
      <x:c r="AN192" s="18" t="n">
        <x:v>20</x:v>
      </x:c>
      <x:c r="AO192" s="18" t="n">
        <x:v>0</x:v>
      </x:c>
      <x:c r="AP192" s="18" t="n">
        <x:v>0</x:v>
      </x:c>
      <x:c r="AQ192" s="18" t="n">
        <x:v>0</x:v>
      </x:c>
      <x:c r="AR192" s="18" t="n">
        <x:v>0</x:v>
      </x:c>
      <x:c r="AS192" s="18" t="n">
        <x:v>1</x:v>
      </x:c>
      <x:c r="AT192" s="18" t="n">
        <x:v>0</x:v>
      </x:c>
      <x:c r="AU192" s="18" t="n">
        <x:v>0</x:v>
      </x:c>
      <x:c r="AV192" s="18" t="n">
        <x:v>38</x:v>
      </x:c>
      <x:c r="AW192" s="18" t="n">
        <x:v>0</x:v>
      </x:c>
      <x:c r="AX192" s="18" t="n">
        <x:v>0</x:v>
      </x:c>
      <x:c r="AY192" s="18" t="n">
        <x:v>0</x:v>
      </x:c>
      <x:c r="AZ192" s="18" t="n">
        <x:v>0</x:v>
      </x:c>
      <x:c r="BA192" s="18" t="n">
        <x:v>0</x:v>
      </x:c>
      <x:c r="BB192" s="18" t="n">
        <x:v>0</x:v>
      </x:c>
      <x:c r="BC192" s="18" t="n">
        <x:v>0</x:v>
      </x:c>
      <x:c r="BD192" s="18" t="n">
        <x:v>2</x:v>
      </x:c>
      <x:c r="BE192" s="18" t="n">
        <x:v>0</x:v>
      </x:c>
      <x:c r="BF192" s="18" t="n">
        <x:v>4</x:v>
      </x:c>
      <x:c r="BG192" s="18" t="n">
        <x:v>0</x:v>
      </x:c>
    </x:row>
    <x:row r="193">
      <x:c r="A193" s="29" t="str">
        <x:v>268</x:v>
      </x:c>
      <x:c r="B193" s="17" t="n">
        <x:v>2885</x:v>
      </x:c>
      <x:c r="C193" s="17" t="str">
        <x:v>תיכון חוגים ע"ש רחל מתוקי</x:v>
      </x:c>
      <x:c r="D193" s="17" t="str">
        <x:v>בלום לאון 9</x:v>
      </x:c>
      <x:c r="E193" s="17" t="str">
        <x:v>גבוה מאוד</x:v>
      </x:c>
      <x:c r="F193" s="18" t="n">
        <x:v>483</x:v>
      </x:c>
      <x:c r="G193" s="18" t="n">
        <x:v>197</x:v>
      </x:c>
      <x:c r="H193" s="19" t="n">
        <x:f>IFERROR(G193/F193,0)</x:f>
        <x:v>0.4078674948240166</x:v>
      </x:c>
      <x:c r="I193" s="18" t="n">
        <x:v>1</x:v>
      </x:c>
      <x:c r="J193" s="18" t="n">
        <x:v>196</x:v>
      </x:c>
      <x:c r="K193" s="18" t="n">
        <x:f>SUM(AM193,BF193,W193,AD193)</x:f>
        <x:v>49</x:v>
      </x:c>
      <x:c r="L193" s="18" t="n">
        <x:f>Q193+R193</x:f>
        <x:v>141</x:v>
      </x:c>
      <x:c r="M193" s="19" t="n">
        <x:f>IFERROR(K193/J193,0)</x:f>
        <x:v>0.25</x:v>
      </x:c>
      <x:c r="N193" s="19" t="n">
        <x:f>IFERROR(L193/J193,0)</x:f>
        <x:v>0.7193877551020408</x:v>
      </x:c>
      <x:c r="O193" s="17" t="str">
        <x:f>IF(K193&gt;MAX(L193,S193),"קואליציית ההקמה 2022",IF(L193&gt;MAX(K193,S193),"אופוזיציה רחבה 2022","רשימות אחרות"))</x:f>
        <x:v>אופוזיציה רחבה 2022</x:v>
      </x:c>
      <x:c r="P193" s="17" t="str">
        <x:f>IF(AND(H193&lt;50%,N193&gt;50%),"כן","לא")</x:f>
        <x:v>כן</x:v>
      </x:c>
      <x:c r="Q193" s="18" t="n">
        <x:f>SUM(AV193,AJ193,AL193,T193,AN193)</x:f>
        <x:v>110</x:v>
      </x:c>
      <x:c r="R193" s="18" t="n">
        <x:f>SUM(Y193,AU193,X193)</x:f>
        <x:v>31</x:v>
      </x:c>
      <x:c r="S193" s="18" t="n">
        <x:f>J193-K193-L193</x:f>
        <x:v>6</x:v>
      </x:c>
      <x:c r="T193" s="18" t="n">
        <x:v>18</x:v>
      </x:c>
      <x:c r="U193" s="18" t="n">
        <x:v>0</x:v>
      </x:c>
      <x:c r="V193" s="18" t="n">
        <x:v>1</x:v>
      </x:c>
      <x:c r="W193" s="18" t="n">
        <x:v>0</x:v>
      </x:c>
      <x:c r="X193" s="18" t="n">
        <x:v>21</x:v>
      </x:c>
      <x:c r="Y193" s="18" t="n">
        <x:v>10</x:v>
      </x:c>
      <x:c r="Z193" s="18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12</x:v>
      </x:c>
      <x:c r="AE193" s="18" t="n">
        <x:v>0</x:v>
      </x:c>
      <x:c r="AF193" s="18" t="n">
        <x:v>1</x:v>
      </x:c>
      <x:c r="AG193" s="18" t="n">
        <x:v>0</x:v>
      </x:c>
      <x:c r="AH193" s="18" t="n">
        <x:v>0</x:v>
      </x:c>
      <x:c r="AI193" s="18" t="n">
        <x:v>0</x:v>
      </x:c>
      <x:c r="AJ193" s="18" t="n">
        <x:v>20</x:v>
      </x:c>
      <x:c r="AK193" s="18" t="n">
        <x:v>0</x:v>
      </x:c>
      <x:c r="AL193" s="18" t="n">
        <x:v>4</x:v>
      </x:c>
      <x:c r="AM193" s="18" t="n">
        <x:v>37</x:v>
      </x:c>
      <x:c r="AN193" s="18" t="n">
        <x:v>17</x:v>
      </x:c>
      <x:c r="AO193" s="18" t="n">
        <x:v>0</x:v>
      </x:c>
      <x:c r="AP193" s="18" t="n">
        <x:v>0</x:v>
      </x:c>
      <x:c r="AQ193" s="18" t="n">
        <x:v>0</x:v>
      </x:c>
      <x:c r="AR193" s="18" t="n">
        <x:v>0</x:v>
      </x:c>
      <x:c r="AS193" s="18" t="n">
        <x:v>0</x:v>
      </x:c>
      <x:c r="AT193" s="18" t="n">
        <x:v>0</x:v>
      </x:c>
      <x:c r="AU193" s="18" t="n">
        <x:v>0</x:v>
      </x:c>
      <x:c r="AV193" s="18" t="n">
        <x:v>51</x:v>
      </x:c>
      <x:c r="AW193" s="18" t="n">
        <x:v>0</x:v>
      </x:c>
      <x:c r="AX193" s="18" t="n">
        <x:v>0</x:v>
      </x:c>
      <x:c r="AY193" s="18" t="n">
        <x:v>0</x:v>
      </x:c>
      <x:c r="AZ193" s="18" t="n">
        <x:v>0</x:v>
      </x:c>
      <x:c r="BA193" s="18" t="n">
        <x:v>0</x:v>
      </x:c>
      <x:c r="BB193" s="18" t="n">
        <x:v>1</x:v>
      </x:c>
      <x:c r="BC193" s="18" t="n">
        <x:v>0</x:v>
      </x:c>
      <x:c r="BD193" s="18" t="n">
        <x:v>3</x:v>
      </x:c>
      <x:c r="BE193" s="18" t="n">
        <x:v>0</x:v>
      </x:c>
      <x:c r="BF193" s="18" t="n">
        <x:v>0</x:v>
      </x:c>
      <x:c r="BG193" s="18" t="n">
        <x:v>0</x:v>
      </x:c>
    </x:row>
    <x:row r="194">
      <x:c r="A194" s="29" t="str">
        <x:v>269</x:v>
      </x:c>
      <x:c r="B194" s="17" t="n">
        <x:v>3093</x:v>
      </x:c>
      <x:c r="C194" s="17" t="str">
        <x:v>שלוחת בי"ס אינשטיין</x:v>
      </x:c>
      <x:c r="D194" s="17" t="str">
        <x:v>אינשטיין אלברט 94</x:v>
      </x:c>
      <x:c r="E194" s="17" t="str">
        <x:v>גבוה מאוד</x:v>
      </x:c>
      <x:c r="F194" s="18" t="n">
        <x:v>677</x:v>
      </x:c>
      <x:c r="G194" s="18" t="n">
        <x:v>493</x:v>
      </x:c>
      <x:c r="H194" s="19" t="n">
        <x:f>IFERROR(G194/F194,0)</x:f>
        <x:v>0.7282127031019202</x:v>
      </x:c>
      <x:c r="I194" s="18" t="n">
        <x:v>2</x:v>
      </x:c>
      <x:c r="J194" s="18" t="n">
        <x:v>491</x:v>
      </x:c>
      <x:c r="K194" s="18" t="n">
        <x:f>SUM(AM194,BF194,W194,AD194)</x:f>
        <x:v>109</x:v>
      </x:c>
      <x:c r="L194" s="18" t="n">
        <x:f>Q194+R194</x:f>
        <x:v>371</x:v>
      </x:c>
      <x:c r="M194" s="19" t="n">
        <x:f>IFERROR(K194/J194,0)</x:f>
        <x:v>0.2219959266802444</x:v>
      </x:c>
      <x:c r="N194" s="19" t="n">
        <x:f>IFERROR(L194/J194,0)</x:f>
        <x:v>0.7556008146639511</x:v>
      </x:c>
      <x:c r="O194" s="17" t="str">
        <x:f>IF(K194&gt;MAX(L194,S194),"קואליציית ההקמה 2022",IF(L194&gt;MAX(K194,S194),"אופוזיציה רחבה 2022","רשימות אחרות"))</x:f>
        <x:v>אופוזיציה רחבה 2022</x:v>
      </x:c>
      <x:c r="P194" s="17" t="str">
        <x:f>IF(AND(H194&lt;50%,N194&gt;50%),"כן","לא")</x:f>
        <x:v>לא</x:v>
      </x:c>
      <x:c r="Q194" s="18" t="n">
        <x:f>SUM(AV194,AJ194,AL194,T194,AN194)</x:f>
        <x:v>369</x:v>
      </x:c>
      <x:c r="R194" s="18" t="n">
        <x:f>SUM(Y194,AU194,X194)</x:f>
        <x:v>2</x:v>
      </x:c>
      <x:c r="S194" s="18" t="n">
        <x:f>J194-K194-L194</x:f>
        <x:v>11</x:v>
      </x:c>
      <x:c r="T194" s="18" t="n">
        <x:v>19</x:v>
      </x:c>
      <x:c r="U194" s="18" t="n">
        <x:v>3</x:v>
      </x:c>
      <x:c r="V194" s="18" t="n">
        <x:v>7</x:v>
      </x:c>
      <x:c r="W194" s="18" t="n">
        <x:v>1</x:v>
      </x:c>
      <x:c r="X194" s="18" t="n">
        <x:v>0</x:v>
      </x:c>
      <x:c r="Y194" s="18" t="n">
        <x:v>2</x:v>
      </x:c>
      <x:c r="Z194" s="18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30</x:v>
      </x:c>
      <x:c r="AE194" s="18" t="n">
        <x:v>0</x:v>
      </x:c>
      <x:c r="AF194" s="18" t="n">
        <x:v>0</x:v>
      </x:c>
      <x:c r="AG194" s="18" t="n">
        <x:v>0</x:v>
      </x:c>
      <x:c r="AH194" s="18" t="n">
        <x:v>0</x:v>
      </x:c>
      <x:c r="AI194" s="18" t="n">
        <x:v>0</x:v>
      </x:c>
      <x:c r="AJ194" s="18" t="n">
        <x:v>80</x:v>
      </x:c>
      <x:c r="AK194" s="18" t="n">
        <x:v>0</x:v>
      </x:c>
      <x:c r="AL194" s="18" t="n">
        <x:v>30</x:v>
      </x:c>
      <x:c r="AM194" s="18" t="n">
        <x:v>78</x:v>
      </x:c>
      <x:c r="AN194" s="18" t="n">
        <x:v>14</x:v>
      </x:c>
      <x:c r="AO194" s="18" t="n">
        <x:v>0</x:v>
      </x:c>
      <x:c r="AP194" s="18" t="n">
        <x:v>0</x:v>
      </x:c>
      <x:c r="AQ194" s="18" t="n">
        <x:v>0</x:v>
      </x:c>
      <x:c r="AR194" s="18" t="n">
        <x:v>0</x:v>
      </x:c>
      <x:c r="AS194" s="18" t="n">
        <x:v>0</x:v>
      </x:c>
      <x:c r="AT194" s="18" t="n">
        <x:v>0</x:v>
      </x:c>
      <x:c r="AU194" s="18" t="n">
        <x:v>0</x:v>
      </x:c>
      <x:c r="AV194" s="18" t="n">
        <x:v>226</x:v>
      </x:c>
      <x:c r="AW194" s="18" t="n">
        <x:v>0</x:v>
      </x:c>
      <x:c r="AX194" s="18" t="n">
        <x:v>1</x:v>
      </x:c>
      <x:c r="AY194" s="18" t="n">
        <x:v>0</x:v>
      </x:c>
      <x:c r="AZ194" s="18" t="n">
        <x:v>0</x:v>
      </x:c>
      <x:c r="BA194" s="18" t="n">
        <x:v>0</x:v>
      </x:c>
      <x:c r="BB194" s="18" t="n">
        <x:v>0</x:v>
      </x:c>
      <x:c r="BC194" s="18" t="n">
        <x:v>0</x:v>
      </x:c>
      <x:c r="BD194" s="18" t="n">
        <x:v>0</x:v>
      </x:c>
      <x:c r="BE194" s="18" t="n">
        <x:v>0</x:v>
      </x:c>
      <x:c r="BF194" s="18" t="n">
        <x:v>0</x:v>
      </x:c>
      <x:c r="BG194" s="18" t="n">
        <x:v>0</x:v>
      </x:c>
    </x:row>
    <x:row r="195">
      <x:c r="A195" s="29" t="str">
        <x:v>272</x:v>
      </x:c>
      <x:c r="B195" s="17" t="n">
        <x:v>3001</x:v>
      </x:c>
      <x:c r="C195" s="17" t="str">
        <x:v>אשכול גני ילדים</x:v>
      </x:c>
      <x:c r="D195" s="17" t="str">
        <x:v>שונית 12</x:v>
      </x:c>
      <x:c r="E195" s="17" t="str">
        <x:v>גבוה מאוד</x:v>
      </x:c>
      <x:c r="F195" s="18" t="n">
        <x:v>584</x:v>
      </x:c>
      <x:c r="G195" s="18" t="n">
        <x:v>424</x:v>
      </x:c>
      <x:c r="H195" s="19" t="n">
        <x:f>IFERROR(G195/F195,0)</x:f>
        <x:v>0.726027397260274</x:v>
      </x:c>
      <x:c r="I195" s="18" t="n">
        <x:v>0</x:v>
      </x:c>
      <x:c r="J195" s="18" t="n">
        <x:v>424</x:v>
      </x:c>
      <x:c r="K195" s="18" t="n">
        <x:f>SUM(AM195,BF195,W195,AD195)</x:f>
        <x:v>143</x:v>
      </x:c>
      <x:c r="L195" s="18" t="n">
        <x:f>Q195+R195</x:f>
        <x:v>275</x:v>
      </x:c>
      <x:c r="M195" s="19" t="n">
        <x:f>IFERROR(K195/J195,0)</x:f>
        <x:v>0.33726415094339623</x:v>
      </x:c>
      <x:c r="N195" s="19" t="n">
        <x:f>IFERROR(L195/J195,0)</x:f>
        <x:v>0.6485849056603774</x:v>
      </x:c>
      <x:c r="O195" s="17" t="str">
        <x:f>IF(K195&gt;MAX(L195,S195),"קואליציית ההקמה 2022",IF(L195&gt;MAX(K195,S195),"אופוזיציה רחבה 2022","רשימות אחרות"))</x:f>
        <x:v>אופוזיציה רחבה 2022</x:v>
      </x:c>
      <x:c r="P195" s="17" t="str">
        <x:f>IF(AND(H195&lt;50%,N195&gt;50%),"כן","לא")</x:f>
        <x:v>לא</x:v>
      </x:c>
      <x:c r="Q195" s="18" t="n">
        <x:f>SUM(AV195,AJ195,AL195,T195,AN195)</x:f>
        <x:v>234</x:v>
      </x:c>
      <x:c r="R195" s="18" t="n">
        <x:f>SUM(Y195,AU195,X195)</x:f>
        <x:v>41</x:v>
      </x:c>
      <x:c r="S195" s="18" t="n">
        <x:f>J195-K195-L195</x:f>
        <x:v>6</x:v>
      </x:c>
      <x:c r="T195" s="18" t="n">
        <x:v>12</x:v>
      </x:c>
      <x:c r="U195" s="18" t="n">
        <x:v>0</x:v>
      </x:c>
      <x:c r="V195" s="18" t="n">
        <x:v>1</x:v>
      </x:c>
      <x:c r="W195" s="18" t="n">
        <x:v>1</x:v>
      </x:c>
      <x:c r="X195" s="18" t="n">
        <x:v>14</x:v>
      </x:c>
      <x:c r="Y195" s="18" t="n">
        <x:v>24</x:v>
      </x:c>
      <x:c r="Z195" s="18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28</x:v>
      </x:c>
      <x:c r="AE195" s="18" t="n">
        <x:v>0</x:v>
      </x:c>
      <x:c r="AF195" s="18" t="n">
        <x:v>0</x:v>
      </x:c>
      <x:c r="AG195" s="18" t="n">
        <x:v>0</x:v>
      </x:c>
      <x:c r="AH195" s="18" t="n">
        <x:v>0</x:v>
      </x:c>
      <x:c r="AI195" s="18" t="n">
        <x:v>0</x:v>
      </x:c>
      <x:c r="AJ195" s="18" t="n">
        <x:v>54</x:v>
      </x:c>
      <x:c r="AK195" s="18" t="n">
        <x:v>0</x:v>
      </x:c>
      <x:c r="AL195" s="18" t="n">
        <x:v>52</x:v>
      </x:c>
      <x:c r="AM195" s="18" t="n">
        <x:v>108</x:v>
      </x:c>
      <x:c r="AN195" s="18" t="n">
        <x:v>13</x:v>
      </x:c>
      <x:c r="AO195" s="18" t="n">
        <x:v>0</x:v>
      </x:c>
      <x:c r="AP195" s="18" t="n">
        <x:v>0</x:v>
      </x:c>
      <x:c r="AQ195" s="18" t="n">
        <x:v>0</x:v>
      </x:c>
      <x:c r="AR195" s="18" t="n">
        <x:v>0</x:v>
      </x:c>
      <x:c r="AS195" s="18" t="n">
        <x:v>0</x:v>
      </x:c>
      <x:c r="AT195" s="18" t="n">
        <x:v>0</x:v>
      </x:c>
      <x:c r="AU195" s="18" t="n">
        <x:v>3</x:v>
      </x:c>
      <x:c r="AV195" s="18" t="n">
        <x:v>103</x:v>
      </x:c>
      <x:c r="AW195" s="18" t="n">
        <x:v>0</x:v>
      </x:c>
      <x:c r="AX195" s="18" t="n">
        <x:v>1</x:v>
      </x:c>
      <x:c r="AY195" s="18" t="n">
        <x:v>0</x:v>
      </x:c>
      <x:c r="AZ195" s="18" t="n">
        <x:v>0</x:v>
      </x:c>
      <x:c r="BA195" s="18" t="n">
        <x:v>0</x:v>
      </x:c>
      <x:c r="BB195" s="18" t="n">
        <x:v>0</x:v>
      </x:c>
      <x:c r="BC195" s="18" t="n">
        <x:v>0</x:v>
      </x:c>
      <x:c r="BD195" s="18" t="n">
        <x:v>4</x:v>
      </x:c>
      <x:c r="BE195" s="18" t="n">
        <x:v>0</x:v>
      </x:c>
      <x:c r="BF195" s="18" t="n">
        <x:v>6</x:v>
      </x:c>
      <x:c r="BG195" s="18" t="n">
        <x:v>0</x:v>
      </x:c>
    </x:row>
    <x:row r="196">
      <x:c r="A196" s="29" t="str">
        <x:v>273.1</x:v>
      </x:c>
      <x:c r="B196" s="17" t="n">
        <x:v>3054</x:v>
      </x:c>
      <x:c r="C196" s="17" t="str">
        <x:v>בי"ס אהוד</x:v>
      </x:c>
      <x:c r="D196" s="17" t="str">
        <x:v>אהוד 18</x:v>
      </x:c>
      <x:c r="E196" s="17" t="str">
        <x:v>גבוה מאוד</x:v>
      </x:c>
      <x:c r="F196" s="18" t="n">
        <x:v>631</x:v>
      </x:c>
      <x:c r="G196" s="18" t="n">
        <x:v>398</x:v>
      </x:c>
      <x:c r="H196" s="19" t="n">
        <x:f>IFERROR(G196/F196,0)</x:f>
        <x:v>0.6307448494453248</x:v>
      </x:c>
      <x:c r="I196" s="18" t="n">
        <x:v>1</x:v>
      </x:c>
      <x:c r="J196" s="18" t="n">
        <x:v>397</x:v>
      </x:c>
      <x:c r="K196" s="18" t="n">
        <x:f>SUM(AM196,BF196,W196,AD196)</x:f>
        <x:v>105</x:v>
      </x:c>
      <x:c r="L196" s="18" t="n">
        <x:f>Q196+R196</x:f>
        <x:v>283</x:v>
      </x:c>
      <x:c r="M196" s="19" t="n">
        <x:f>IFERROR(K196/J196,0)</x:f>
        <x:v>0.26448362720403024</x:v>
      </x:c>
      <x:c r="N196" s="19" t="n">
        <x:f>IFERROR(L196/J196,0)</x:f>
        <x:v>0.7128463476070529</x:v>
      </x:c>
      <x:c r="O196" s="17" t="str">
        <x:f>IF(K196&gt;MAX(L196,S196),"קואליציית ההקמה 2022",IF(L196&gt;MAX(K196,S196),"אופוזיציה רחבה 2022","רשימות אחרות"))</x:f>
        <x:v>אופוזיציה רחבה 2022</x:v>
      </x:c>
      <x:c r="P196" s="17" t="str">
        <x:f>IF(AND(H196&lt;50%,N196&gt;50%),"כן","לא")</x:f>
        <x:v>לא</x:v>
      </x:c>
      <x:c r="Q196" s="18" t="n">
        <x:f>SUM(AV196,AJ196,AL196,T196,AN196)</x:f>
        <x:v>276</x:v>
      </x:c>
      <x:c r="R196" s="18" t="n">
        <x:f>SUM(Y196,AU196,X196)</x:f>
        <x:v>7</x:v>
      </x:c>
      <x:c r="S196" s="18" t="n">
        <x:f>J196-K196-L196</x:f>
        <x:v>9</x:v>
      </x:c>
      <x:c r="T196" s="18" t="n">
        <x:v>22</x:v>
      </x:c>
      <x:c r="U196" s="18" t="n">
        <x:v>1</x:v>
      </x:c>
      <x:c r="V196" s="18" t="n">
        <x:v>3</x:v>
      </x:c>
      <x:c r="W196" s="18" t="n">
        <x:v>4</x:v>
      </x:c>
      <x:c r="X196" s="18" t="n">
        <x:v>2</x:v>
      </x:c>
      <x:c r="Y196" s="18" t="n">
        <x:v>4</x:v>
      </x:c>
      <x:c r="Z196" s="18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15</x:v>
      </x:c>
      <x:c r="AE196" s="18" t="n">
        <x:v>0</x:v>
      </x:c>
      <x:c r="AF196" s="18" t="n">
        <x:v>3</x:v>
      </x:c>
      <x:c r="AG196" s="18" t="n">
        <x:v>0</x:v>
      </x:c>
      <x:c r="AH196" s="18" t="n">
        <x:v>0</x:v>
      </x:c>
      <x:c r="AI196" s="18" t="n">
        <x:v>0</x:v>
      </x:c>
      <x:c r="AJ196" s="18" t="n">
        <x:v>60</x:v>
      </x:c>
      <x:c r="AK196" s="18" t="n">
        <x:v>0</x:v>
      </x:c>
      <x:c r="AL196" s="18" t="n">
        <x:v>12</x:v>
      </x:c>
      <x:c r="AM196" s="18" t="n">
        <x:v>85</x:v>
      </x:c>
      <x:c r="AN196" s="18" t="n">
        <x:v>38</x:v>
      </x:c>
      <x:c r="AO196" s="18" t="n">
        <x:v>0</x:v>
      </x:c>
      <x:c r="AP196" s="18" t="n">
        <x:v>0</x:v>
      </x:c>
      <x:c r="AQ196" s="18" t="n">
        <x:v>0</x:v>
      </x:c>
      <x:c r="AR196" s="18" t="n">
        <x:v>0</x:v>
      </x:c>
      <x:c r="AS196" s="18" t="n">
        <x:v>0</x:v>
      </x:c>
      <x:c r="AT196" s="18" t="n">
        <x:v>0</x:v>
      </x:c>
      <x:c r="AU196" s="18" t="n">
        <x:v>1</x:v>
      </x:c>
      <x:c r="AV196" s="18" t="n">
        <x:v>144</x:v>
      </x:c>
      <x:c r="AW196" s="18" t="n">
        <x:v>0</x:v>
      </x:c>
      <x:c r="AX196" s="18" t="n">
        <x:v>0</x:v>
      </x:c>
      <x:c r="AY196" s="18" t="n">
        <x:v>0</x:v>
      </x:c>
      <x:c r="AZ196" s="18" t="n">
        <x:v>0</x:v>
      </x:c>
      <x:c r="BA196" s="18" t="n">
        <x:v>0</x:v>
      </x:c>
      <x:c r="BB196" s="18" t="n">
        <x:v>0</x:v>
      </x:c>
      <x:c r="BC196" s="18" t="n">
        <x:v>0</x:v>
      </x:c>
      <x:c r="BD196" s="18" t="n">
        <x:v>1</x:v>
      </x:c>
      <x:c r="BE196" s="18" t="n">
        <x:v>1</x:v>
      </x:c>
      <x:c r="BF196" s="18" t="n">
        <x:v>1</x:v>
      </x:c>
      <x:c r="BG196" s="18" t="n">
        <x:v>0</x:v>
      </x:c>
    </x:row>
    <x:row r="197">
      <x:c r="A197" s="29" t="str">
        <x:v>273.2</x:v>
      </x:c>
      <x:c r="B197" s="17" t="n">
        <x:v>3055</x:v>
      </x:c>
      <x:c r="C197" s="17" t="str">
        <x:v>בי"ס אהוד</x:v>
      </x:c>
      <x:c r="D197" s="17" t="str">
        <x:v>אהוד 18</x:v>
      </x:c>
      <x:c r="E197" s="17" t="str">
        <x:v>גבוה מאוד</x:v>
      </x:c>
      <x:c r="F197" s="18" t="n">
        <x:v>631</x:v>
      </x:c>
      <x:c r="G197" s="18" t="n">
        <x:v>381</x:v>
      </x:c>
      <x:c r="H197" s="19" t="n">
        <x:f>IFERROR(G197/F197,0)</x:f>
        <x:v>0.6038034865293186</x:v>
      </x:c>
      <x:c r="I197" s="18" t="n">
        <x:v>0</x:v>
      </x:c>
      <x:c r="J197" s="18" t="n">
        <x:v>381</x:v>
      </x:c>
      <x:c r="K197" s="18" t="n">
        <x:f>SUM(AM197,BF197,W197,AD197)</x:f>
        <x:v>78</x:v>
      </x:c>
      <x:c r="L197" s="18" t="n">
        <x:f>Q197+R197</x:f>
        <x:v>298</x:v>
      </x:c>
      <x:c r="M197" s="19" t="n">
        <x:f>IFERROR(K197/J197,0)</x:f>
        <x:v>0.2047244094488189</x:v>
      </x:c>
      <x:c r="N197" s="19" t="n">
        <x:f>IFERROR(L197/J197,0)</x:f>
        <x:v>0.7821522309711286</x:v>
      </x:c>
      <x:c r="O197" s="17" t="str">
        <x:f>IF(K197&gt;MAX(L197,S197),"קואליציית ההקמה 2022",IF(L197&gt;MAX(K197,S197),"אופוזיציה רחבה 2022","רשימות אחרות"))</x:f>
        <x:v>אופוזיציה רחבה 2022</x:v>
      </x:c>
      <x:c r="P197" s="17" t="str">
        <x:f>IF(AND(H197&lt;50%,N197&gt;50%),"כן","לא")</x:f>
        <x:v>לא</x:v>
      </x:c>
      <x:c r="Q197" s="18" t="n">
        <x:f>SUM(AV197,AJ197,AL197,T197,AN197)</x:f>
        <x:v>294</x:v>
      </x:c>
      <x:c r="R197" s="18" t="n">
        <x:f>SUM(Y197,AU197,X197)</x:f>
        <x:v>4</x:v>
      </x:c>
      <x:c r="S197" s="18" t="n">
        <x:f>J197-K197-L197</x:f>
        <x:v>5</x:v>
      </x:c>
      <x:c r="T197" s="18" t="n">
        <x:v>35</x:v>
      </x:c>
      <x:c r="U197" s="18" t="n">
        <x:v>0</x:v>
      </x:c>
      <x:c r="V197" s="18" t="n">
        <x:v>3</x:v>
      </x:c>
      <x:c r="W197" s="18" t="n">
        <x:v>2</x:v>
      </x:c>
      <x:c r="X197" s="18" t="n">
        <x:v>3</x:v>
      </x:c>
      <x:c r="Y197" s="18" t="n">
        <x:v>1</x:v>
      </x:c>
      <x:c r="Z197" s="18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16</x:v>
      </x:c>
      <x:c r="AE197" s="18" t="n">
        <x:v>0</x:v>
      </x:c>
      <x:c r="AF197" s="18" t="n">
        <x:v>0</x:v>
      </x:c>
      <x:c r="AG197" s="18" t="n">
        <x:v>0</x:v>
      </x:c>
      <x:c r="AH197" s="18" t="n">
        <x:v>0</x:v>
      </x:c>
      <x:c r="AI197" s="18" t="n">
        <x:v>0</x:v>
      </x:c>
      <x:c r="AJ197" s="18" t="n">
        <x:v>63</x:v>
      </x:c>
      <x:c r="AK197" s="18" t="n">
        <x:v>0</x:v>
      </x:c>
      <x:c r="AL197" s="18" t="n">
        <x:v>19</x:v>
      </x:c>
      <x:c r="AM197" s="18" t="n">
        <x:v>59</x:v>
      </x:c>
      <x:c r="AN197" s="18" t="n">
        <x:v>33</x:v>
      </x:c>
      <x:c r="AO197" s="18" t="n">
        <x:v>0</x:v>
      </x:c>
      <x:c r="AP197" s="18" t="n">
        <x:v>0</x:v>
      </x:c>
      <x:c r="AQ197" s="18" t="n">
        <x:v>0</x:v>
      </x:c>
      <x:c r="AR197" s="18" t="n">
        <x:v>0</x:v>
      </x:c>
      <x:c r="AS197" s="18" t="n">
        <x:v>0</x:v>
      </x:c>
      <x:c r="AT197" s="18" t="n">
        <x:v>0</x:v>
      </x:c>
      <x:c r="AU197" s="18" t="n">
        <x:v>0</x:v>
      </x:c>
      <x:c r="AV197" s="18" t="n">
        <x:v>144</x:v>
      </x:c>
      <x:c r="AW197" s="18" t="n">
        <x:v>0</x:v>
      </x:c>
      <x:c r="AX197" s="18" t="n">
        <x:v>0</x:v>
      </x:c>
      <x:c r="AY197" s="18" t="n">
        <x:v>0</x:v>
      </x:c>
      <x:c r="AZ197" s="18" t="n">
        <x:v>0</x:v>
      </x:c>
      <x:c r="BA197" s="18" t="n">
        <x:v>0</x:v>
      </x:c>
      <x:c r="BB197" s="18" t="n">
        <x:v>0</x:v>
      </x:c>
      <x:c r="BC197" s="18" t="n">
        <x:v>0</x:v>
      </x:c>
      <x:c r="BD197" s="18" t="n">
        <x:v>2</x:v>
      </x:c>
      <x:c r="BE197" s="18" t="n">
        <x:v>0</x:v>
      </x:c>
      <x:c r="BF197" s="18" t="n">
        <x:v>1</x:v>
      </x:c>
      <x:c r="BG197" s="18" t="n">
        <x:v>0</x:v>
      </x:c>
    </x:row>
    <x:row r="198">
      <x:c r="A198" s="29" t="str">
        <x:v>273.3</x:v>
      </x:c>
      <x:c r="B198" s="17" t="n">
        <x:v>3056</x:v>
      </x:c>
      <x:c r="C198" s="17" t="str">
        <x:v>בי"ס אהוד</x:v>
      </x:c>
      <x:c r="D198" s="17" t="str">
        <x:v>אהוד 18</x:v>
      </x:c>
      <x:c r="E198" s="17" t="str">
        <x:v>גבוה מאוד</x:v>
      </x:c>
      <x:c r="F198" s="18" t="n">
        <x:v>631</x:v>
      </x:c>
      <x:c r="G198" s="18" t="n">
        <x:v>369</x:v>
      </x:c>
      <x:c r="H198" s="19" t="n">
        <x:f>IFERROR(G198/F198,0)</x:f>
        <x:v>0.5847860538827259</x:v>
      </x:c>
      <x:c r="I198" s="18" t="n">
        <x:v>0</x:v>
      </x:c>
      <x:c r="J198" s="18" t="n">
        <x:v>369</x:v>
      </x:c>
      <x:c r="K198" s="18" t="n">
        <x:f>SUM(AM198,BF198,W198,AD198)</x:f>
        <x:v>80</x:v>
      </x:c>
      <x:c r="L198" s="18" t="n">
        <x:f>Q198+R198</x:f>
        <x:v>277</x:v>
      </x:c>
      <x:c r="M198" s="19" t="n">
        <x:f>IFERROR(K198/J198,0)</x:f>
        <x:v>0.21680216802168023</x:v>
      </x:c>
      <x:c r="N198" s="19" t="n">
        <x:f>IFERROR(L198/J198,0)</x:f>
        <x:v>0.7506775067750677</x:v>
      </x:c>
      <x:c r="O198" s="17" t="str">
        <x:f>IF(K198&gt;MAX(L198,S198),"קואליציית ההקמה 2022",IF(L198&gt;MAX(K198,S198),"אופוזיציה רחבה 2022","רשימות אחרות"))</x:f>
        <x:v>אופוזיציה רחבה 2022</x:v>
      </x:c>
      <x:c r="P198" s="17" t="str">
        <x:f>IF(AND(H198&lt;50%,N198&gt;50%),"כן","לא")</x:f>
        <x:v>לא</x:v>
      </x:c>
      <x:c r="Q198" s="18" t="n">
        <x:f>SUM(AV198,AJ198,AL198,T198,AN198)</x:f>
        <x:v>274</x:v>
      </x:c>
      <x:c r="R198" s="18" t="n">
        <x:f>SUM(Y198,AU198,X198)</x:f>
        <x:v>3</x:v>
      </x:c>
      <x:c r="S198" s="18" t="n">
        <x:f>J198-K198-L198</x:f>
        <x:v>12</x:v>
      </x:c>
      <x:c r="T198" s="18" t="n">
        <x:v>26</x:v>
      </x:c>
      <x:c r="U198" s="18" t="n">
        <x:v>5</x:v>
      </x:c>
      <x:c r="V198" s="18" t="n">
        <x:v>3</x:v>
      </x:c>
      <x:c r="W198" s="18" t="n">
        <x:v>1</x:v>
      </x:c>
      <x:c r="X198" s="18" t="n">
        <x:v>0</x:v>
      </x:c>
      <x:c r="Y198" s="18" t="n">
        <x:v>2</x:v>
      </x:c>
      <x:c r="Z198" s="18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11</x:v>
      </x:c>
      <x:c r="AE198" s="18" t="n">
        <x:v>0</x:v>
      </x:c>
      <x:c r="AF198" s="18" t="n">
        <x:v>3</x:v>
      </x:c>
      <x:c r="AG198" s="18" t="n">
        <x:v>0</x:v>
      </x:c>
      <x:c r="AH198" s="18" t="n">
        <x:v>0</x:v>
      </x:c>
      <x:c r="AI198" s="18" t="n">
        <x:v>0</x:v>
      </x:c>
      <x:c r="AJ198" s="18" t="n">
        <x:v>52</x:v>
      </x:c>
      <x:c r="AK198" s="18" t="n">
        <x:v>0</x:v>
      </x:c>
      <x:c r="AL198" s="18" t="n">
        <x:v>19</x:v>
      </x:c>
      <x:c r="AM198" s="18" t="n">
        <x:v>64</x:v>
      </x:c>
      <x:c r="AN198" s="18" t="n">
        <x:v>46</x:v>
      </x:c>
      <x:c r="AO198" s="18" t="n">
        <x:v>0</x:v>
      </x:c>
      <x:c r="AP198" s="18" t="n">
        <x:v>0</x:v>
      </x:c>
      <x:c r="AQ198" s="18" t="n">
        <x:v>0</x:v>
      </x:c>
      <x:c r="AR198" s="18" t="n">
        <x:v>0</x:v>
      </x:c>
      <x:c r="AS198" s="18" t="n">
        <x:v>0</x:v>
      </x:c>
      <x:c r="AT198" s="18" t="n">
        <x:v>0</x:v>
      </x:c>
      <x:c r="AU198" s="18" t="n">
        <x:v>1</x:v>
      </x:c>
      <x:c r="AV198" s="18" t="n">
        <x:v>131</x:v>
      </x:c>
      <x:c r="AW198" s="18" t="n">
        <x:v>0</x:v>
      </x:c>
      <x:c r="AX198" s="18" t="n">
        <x:v>0</x:v>
      </x:c>
      <x:c r="AY198" s="18" t="n">
        <x:v>0</x:v>
      </x:c>
      <x:c r="AZ198" s="18" t="n">
        <x:v>0</x:v>
      </x:c>
      <x:c r="BA198" s="18" t="n">
        <x:v>0</x:v>
      </x:c>
      <x:c r="BB198" s="18" t="n">
        <x:v>0</x:v>
      </x:c>
      <x:c r="BC198" s="18" t="n">
        <x:v>0</x:v>
      </x:c>
      <x:c r="BD198" s="18" t="n">
        <x:v>1</x:v>
      </x:c>
      <x:c r="BE198" s="18" t="n">
        <x:v>0</x:v>
      </x:c>
      <x:c r="BF198" s="18" t="n">
        <x:v>4</x:v>
      </x:c>
      <x:c r="BG198" s="18" t="n">
        <x:v>0</x:v>
      </x:c>
    </x:row>
    <x:row r="199">
      <x:c r="A199" s="29" t="str">
        <x:v>273.4</x:v>
      </x:c>
      <x:c r="B199" s="17" t="n">
        <x:v>3057</x:v>
      </x:c>
      <x:c r="C199" s="17" t="str">
        <x:v>בי"ס אהוד</x:v>
      </x:c>
      <x:c r="D199" s="17" t="str">
        <x:v>אהוד 18</x:v>
      </x:c>
      <x:c r="E199" s="17" t="str">
        <x:v>גבוה מאוד</x:v>
      </x:c>
      <x:c r="F199" s="18" t="n">
        <x:v>631</x:v>
      </x:c>
      <x:c r="G199" s="18" t="n">
        <x:v>400</x:v>
      </x:c>
      <x:c r="H199" s="19" t="n">
        <x:f>IFERROR(G199/F199,0)</x:f>
        <x:v>0.6339144215530903</x:v>
      </x:c>
      <x:c r="I199" s="18" t="n">
        <x:v>4</x:v>
      </x:c>
      <x:c r="J199" s="18" t="n">
        <x:v>396</x:v>
      </x:c>
      <x:c r="K199" s="18" t="n">
        <x:f>SUM(AM199,BF199,W199,AD199)</x:f>
        <x:v>65</x:v>
      </x:c>
      <x:c r="L199" s="18" t="n">
        <x:f>Q199+R199</x:f>
        <x:v>320</x:v>
      </x:c>
      <x:c r="M199" s="19" t="n">
        <x:f>IFERROR(K199/J199,0)</x:f>
        <x:v>0.16414141414141414</x:v>
      </x:c>
      <x:c r="N199" s="19" t="n">
        <x:f>IFERROR(L199/J199,0)</x:f>
        <x:v>0.8080808080808081</x:v>
      </x:c>
      <x:c r="O199" s="17" t="str">
        <x:f>IF(K199&gt;MAX(L199,S199),"קואליציית ההקמה 2022",IF(L199&gt;MAX(K199,S199),"אופוזיציה רחבה 2022","רשימות אחרות"))</x:f>
        <x:v>אופוזיציה רחבה 2022</x:v>
      </x:c>
      <x:c r="P199" s="17" t="str">
        <x:f>IF(AND(H199&lt;50%,N199&gt;50%),"כן","לא")</x:f>
        <x:v>לא</x:v>
      </x:c>
      <x:c r="Q199" s="18" t="n">
        <x:f>SUM(AV199,AJ199,AL199,T199,AN199)</x:f>
        <x:v>317</x:v>
      </x:c>
      <x:c r="R199" s="18" t="n">
        <x:f>SUM(Y199,AU199,X199)</x:f>
        <x:v>3</x:v>
      </x:c>
      <x:c r="S199" s="18" t="n">
        <x:f>J199-K199-L199</x:f>
        <x:v>11</x:v>
      </x:c>
      <x:c r="T199" s="18" t="n">
        <x:v>43</x:v>
      </x:c>
      <x:c r="U199" s="18" t="n">
        <x:v>2</x:v>
      </x:c>
      <x:c r="V199" s="18" t="n">
        <x:v>3</x:v>
      </x:c>
      <x:c r="W199" s="18" t="n">
        <x:v>0</x:v>
      </x:c>
      <x:c r="X199" s="18" t="n">
        <x:v>1</x:v>
      </x:c>
      <x:c r="Y199" s="18" t="n">
        <x:v>2</x:v>
      </x:c>
      <x:c r="Z199" s="18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14</x:v>
      </x:c>
      <x:c r="AE199" s="18" t="n">
        <x:v>0</x:v>
      </x:c>
      <x:c r="AF199" s="18" t="n">
        <x:v>0</x:v>
      </x:c>
      <x:c r="AG199" s="18" t="n">
        <x:v>0</x:v>
      </x:c>
      <x:c r="AH199" s="18" t="n">
        <x:v>0</x:v>
      </x:c>
      <x:c r="AI199" s="18" t="n">
        <x:v>0</x:v>
      </x:c>
      <x:c r="AJ199" s="18" t="n">
        <x:v>49</x:v>
      </x:c>
      <x:c r="AK199" s="18" t="n">
        <x:v>0</x:v>
      </x:c>
      <x:c r="AL199" s="18" t="n">
        <x:v>23</x:v>
      </x:c>
      <x:c r="AM199" s="18" t="n">
        <x:v>50</x:v>
      </x:c>
      <x:c r="AN199" s="18" t="n">
        <x:v>26</x:v>
      </x:c>
      <x:c r="AO199" s="18" t="n">
        <x:v>0</x:v>
      </x:c>
      <x:c r="AP199" s="18" t="n">
        <x:v>0</x:v>
      </x:c>
      <x:c r="AQ199" s="18" t="n">
        <x:v>0</x:v>
      </x:c>
      <x:c r="AR199" s="18" t="n">
        <x:v>0</x:v>
      </x:c>
      <x:c r="AS199" s="18" t="n">
        <x:v>0</x:v>
      </x:c>
      <x:c r="AT199" s="18" t="n">
        <x:v>0</x:v>
      </x:c>
      <x:c r="AU199" s="18" t="n">
        <x:v>0</x:v>
      </x:c>
      <x:c r="AV199" s="18" t="n">
        <x:v>176</x:v>
      </x:c>
      <x:c r="AW199" s="18" t="n">
        <x:v>1</x:v>
      </x:c>
      <x:c r="AX199" s="18" t="n">
        <x:v>1</x:v>
      </x:c>
      <x:c r="AY199" s="18" t="n">
        <x:v>0</x:v>
      </x:c>
      <x:c r="AZ199" s="18" t="n">
        <x:v>0</x:v>
      </x:c>
      <x:c r="BA199" s="18" t="n">
        <x:v>0</x:v>
      </x:c>
      <x:c r="BB199" s="18" t="n">
        <x:v>0</x:v>
      </x:c>
      <x:c r="BC199" s="18" t="n">
        <x:v>0</x:v>
      </x:c>
      <x:c r="BD199" s="18" t="n">
        <x:v>3</x:v>
      </x:c>
      <x:c r="BE199" s="18" t="n">
        <x:v>0</x:v>
      </x:c>
      <x:c r="BF199" s="18" t="n">
        <x:v>1</x:v>
      </x:c>
      <x:c r="BG199" s="18" t="n">
        <x:v>1</x:v>
      </x:c>
    </x:row>
    <x:row r="200">
      <x:c r="A200" s="29" t="str">
        <x:v>273.5</x:v>
      </x:c>
      <x:c r="B200" s="17" t="n">
        <x:v>3058</x:v>
      </x:c>
      <x:c r="C200" s="17" t="str">
        <x:v>בי"ס אהוד</x:v>
      </x:c>
      <x:c r="D200" s="17" t="str">
        <x:v>אהוד 18</x:v>
      </x:c>
      <x:c r="E200" s="17" t="str">
        <x:v>גבוה מאוד</x:v>
      </x:c>
      <x:c r="F200" s="18" t="n">
        <x:v>631</x:v>
      </x:c>
      <x:c r="G200" s="18" t="n">
        <x:v>400</x:v>
      </x:c>
      <x:c r="H200" s="19" t="n">
        <x:f>IFERROR(G200/F200,0)</x:f>
        <x:v>0.6339144215530903</x:v>
      </x:c>
      <x:c r="I200" s="18" t="n">
        <x:v>1</x:v>
      </x:c>
      <x:c r="J200" s="18" t="n">
        <x:v>399</x:v>
      </x:c>
      <x:c r="K200" s="18" t="n">
        <x:f>SUM(AM200,BF200,W200,AD200)</x:f>
        <x:v>68</x:v>
      </x:c>
      <x:c r="L200" s="18" t="n">
        <x:f>Q200+R200</x:f>
        <x:v>318</x:v>
      </x:c>
      <x:c r="M200" s="19" t="n">
        <x:f>IFERROR(K200/J200,0)</x:f>
        <x:v>0.17042606516290726</x:v>
      </x:c>
      <x:c r="N200" s="19" t="n">
        <x:f>IFERROR(L200/J200,0)</x:f>
        <x:v>0.7969924812030075</x:v>
      </x:c>
      <x:c r="O200" s="17" t="str">
        <x:f>IF(K200&gt;MAX(L200,S200),"קואליציית ההקמה 2022",IF(L200&gt;MAX(K200,S200),"אופוזיציה רחבה 2022","רשימות אחרות"))</x:f>
        <x:v>אופוזיציה רחבה 2022</x:v>
      </x:c>
      <x:c r="P200" s="17" t="str">
        <x:f>IF(AND(H200&lt;50%,N200&gt;50%),"כן","לא")</x:f>
        <x:v>לא</x:v>
      </x:c>
      <x:c r="Q200" s="18" t="n">
        <x:f>SUM(AV200,AJ200,AL200,T200,AN200)</x:f>
        <x:v>313</x:v>
      </x:c>
      <x:c r="R200" s="18" t="n">
        <x:f>SUM(Y200,AU200,X200)</x:f>
        <x:v>5</x:v>
      </x:c>
      <x:c r="S200" s="18" t="n">
        <x:f>J200-K200-L200</x:f>
        <x:v>13</x:v>
      </x:c>
      <x:c r="T200" s="18" t="n">
        <x:v>38</x:v>
      </x:c>
      <x:c r="U200" s="18" t="n">
        <x:v>5</x:v>
      </x:c>
      <x:c r="V200" s="18" t="n">
        <x:v>4</x:v>
      </x:c>
      <x:c r="W200" s="18" t="n">
        <x:v>2</x:v>
      </x:c>
      <x:c r="X200" s="18" t="n">
        <x:v>2</x:v>
      </x:c>
      <x:c r="Y200" s="18" t="n">
        <x:v>3</x:v>
      </x:c>
      <x:c r="Z200" s="18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9</x:v>
      </x:c>
      <x:c r="AE200" s="18" t="n">
        <x:v>0</x:v>
      </x:c>
      <x:c r="AF200" s="18" t="n">
        <x:v>1</x:v>
      </x:c>
      <x:c r="AG200" s="18" t="n">
        <x:v>0</x:v>
      </x:c>
      <x:c r="AH200" s="18" t="n">
        <x:v>0</x:v>
      </x:c>
      <x:c r="AI200" s="18" t="n">
        <x:v>0</x:v>
      </x:c>
      <x:c r="AJ200" s="18" t="n">
        <x:v>54</x:v>
      </x:c>
      <x:c r="AK200" s="18" t="n">
        <x:v>0</x:v>
      </x:c>
      <x:c r="AL200" s="18" t="n">
        <x:v>11</x:v>
      </x:c>
      <x:c r="AM200" s="18" t="n">
        <x:v>56</x:v>
      </x:c>
      <x:c r="AN200" s="18" t="n">
        <x:v>32</x:v>
      </x:c>
      <x:c r="AO200" s="18" t="n">
        <x:v>0</x:v>
      </x:c>
      <x:c r="AP200" s="18" t="n">
        <x:v>0</x:v>
      </x:c>
      <x:c r="AQ200" s="18" t="n">
        <x:v>0</x:v>
      </x:c>
      <x:c r="AR200" s="18" t="n">
        <x:v>0</x:v>
      </x:c>
      <x:c r="AS200" s="18" t="n">
        <x:v>0</x:v>
      </x:c>
      <x:c r="AT200" s="18" t="n">
        <x:v>0</x:v>
      </x:c>
      <x:c r="AU200" s="18" t="n">
        <x:v>0</x:v>
      </x:c>
      <x:c r="AV200" s="18" t="n">
        <x:v>178</x:v>
      </x:c>
      <x:c r="AW200" s="18" t="n">
        <x:v>1</x:v>
      </x:c>
      <x:c r="AX200" s="18" t="n">
        <x:v>1</x:v>
      </x:c>
      <x:c r="AY200" s="18" t="n">
        <x:v>0</x:v>
      </x:c>
      <x:c r="AZ200" s="18" t="n">
        <x:v>1</x:v>
      </x:c>
      <x:c r="BA200" s="18" t="n">
        <x:v>0</x:v>
      </x:c>
      <x:c r="BB200" s="18" t="n">
        <x:v>0</x:v>
      </x:c>
      <x:c r="BC200" s="18" t="n">
        <x:v>0</x:v>
      </x:c>
      <x:c r="BD200" s="18" t="n">
        <x:v>0</x:v>
      </x:c>
      <x:c r="BE200" s="18" t="n">
        <x:v>0</x:v>
      </x:c>
      <x:c r="BF200" s="18" t="n">
        <x:v>1</x:v>
      </x:c>
      <x:c r="BG200" s="18" t="n">
        <x:v>0</x:v>
      </x:c>
    </x:row>
    <x:row r="201">
      <x:c r="A201" s="29" t="str">
        <x:v>275.1</x:v>
      </x:c>
      <x:c r="B201" s="17" t="n">
        <x:v>2822</x:v>
      </x:c>
      <x:c r="C201" s="17" t="str">
        <x:v>בי"ס שיזף</x:v>
      </x:c>
      <x:c r="D201" s="17" t="str">
        <x:v>הבישוף חג'אר 1</x:v>
      </x:c>
      <x:c r="E201" s="17" t="str">
        <x:v>גבוה מאוד</x:v>
      </x:c>
      <x:c r="F201" s="18" t="n">
        <x:v>580</x:v>
      </x:c>
      <x:c r="G201" s="18" t="n">
        <x:v>341</x:v>
      </x:c>
      <x:c r="H201" s="19" t="n">
        <x:f>IFERROR(G201/F201,0)</x:f>
        <x:v>0.5879310344827586</x:v>
      </x:c>
      <x:c r="I201" s="18" t="n">
        <x:v>0</x:v>
      </x:c>
      <x:c r="J201" s="18" t="n">
        <x:v>341</x:v>
      </x:c>
      <x:c r="K201" s="18" t="n">
        <x:f>SUM(AM201,BF201,W201,AD201)</x:f>
        <x:v>9</x:v>
      </x:c>
      <x:c r="L201" s="18" t="n">
        <x:f>Q201+R201</x:f>
        <x:v>332</x:v>
      </x:c>
      <x:c r="M201" s="19" t="n">
        <x:f>IFERROR(K201/J201,0)</x:f>
        <x:v>0.026392961876832845</x:v>
      </x:c>
      <x:c r="N201" s="19" t="n">
        <x:f>IFERROR(L201/J201,0)</x:f>
        <x:v>0.9736070381231672</x:v>
      </x:c>
      <x:c r="O201" s="17" t="str">
        <x:f>IF(K201&gt;MAX(L201,S201),"קואליציית ההקמה 2022",IF(L201&gt;MAX(K201,S201),"אופוזיציה רחבה 2022","רשימות אחרות"))</x:f>
        <x:v>אופוזיציה רחבה 2022</x:v>
      </x:c>
      <x:c r="P201" s="17" t="str">
        <x:f>IF(AND(H201&lt;50%,N201&gt;50%),"כן","לא")</x:f>
        <x:v>לא</x:v>
      </x:c>
      <x:c r="Q201" s="18" t="n">
        <x:f>SUM(AV201,AJ201,AL201,T201,AN201)</x:f>
        <x:v>53</x:v>
      </x:c>
      <x:c r="R201" s="18" t="n">
        <x:f>SUM(Y201,AU201,X201)</x:f>
        <x:v>279</x:v>
      </x:c>
      <x:c r="S201" s="18" t="n">
        <x:f>J201-K201-L201</x:f>
        <x:v>0</x:v>
      </x:c>
      <x:c r="T201" s="18" t="n">
        <x:v>6</x:v>
      </x:c>
      <x:c r="U201" s="18" t="n">
        <x:v>0</x:v>
      </x:c>
      <x:c r="V201" s="18" t="n">
        <x:v>0</x:v>
      </x:c>
      <x:c r="W201" s="18" t="n">
        <x:v>0</x:v>
      </x:c>
      <x:c r="X201" s="18" t="n">
        <x:v>106</x:v>
      </x:c>
      <x:c r="Y201" s="18" t="n">
        <x:v>156</x:v>
      </x:c>
      <x:c r="Z201" s="18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  <x:c r="AE201" s="18" t="n">
        <x:v>0</x:v>
      </x:c>
      <x:c r="AF201" s="18" t="n">
        <x:v>0</x:v>
      </x:c>
      <x:c r="AG201" s="18" t="n">
        <x:v>0</x:v>
      </x:c>
      <x:c r="AH201" s="18" t="n">
        <x:v>0</x:v>
      </x:c>
      <x:c r="AI201" s="18" t="n">
        <x:v>0</x:v>
      </x:c>
      <x:c r="AJ201" s="18" t="n">
        <x:v>3</x:v>
      </x:c>
      <x:c r="AK201" s="18" t="n">
        <x:v>0</x:v>
      </x:c>
      <x:c r="AL201" s="18" t="n">
        <x:v>1</x:v>
      </x:c>
      <x:c r="AM201" s="18" t="n">
        <x:v>9</x:v>
      </x:c>
      <x:c r="AN201" s="18" t="n">
        <x:v>22</x:v>
      </x:c>
      <x:c r="AO201" s="18" t="n">
        <x:v>0</x:v>
      </x:c>
      <x:c r="AP201" s="18" t="n">
        <x:v>0</x:v>
      </x:c>
      <x:c r="AQ201" s="18" t="n">
        <x:v>0</x:v>
      </x:c>
      <x:c r="AR201" s="18" t="n">
        <x:v>0</x:v>
      </x:c>
      <x:c r="AS201" s="18" t="n">
        <x:v>0</x:v>
      </x:c>
      <x:c r="AT201" s="18" t="n">
        <x:v>0</x:v>
      </x:c>
      <x:c r="AU201" s="18" t="n">
        <x:v>17</x:v>
      </x:c>
      <x:c r="AV201" s="18" t="n">
        <x:v>21</x:v>
      </x:c>
      <x:c r="AW201" s="18" t="n">
        <x:v>0</x:v>
      </x:c>
      <x:c r="AX201" s="18" t="n">
        <x:v>0</x:v>
      </x:c>
      <x:c r="AY201" s="18" t="n">
        <x:v>0</x:v>
      </x:c>
      <x:c r="AZ201" s="18" t="n">
        <x:v>0</x:v>
      </x:c>
      <x:c r="BA201" s="18" t="n">
        <x:v>0</x:v>
      </x:c>
      <x:c r="BB201" s="18" t="n">
        <x:v>0</x:v>
      </x:c>
      <x:c r="BC201" s="18" t="n">
        <x:v>0</x:v>
      </x:c>
      <x:c r="BD201" s="18" t="n">
        <x:v>0</x:v>
      </x:c>
      <x:c r="BE201" s="18" t="n">
        <x:v>0</x:v>
      </x:c>
      <x:c r="BF201" s="18" t="n">
        <x:v>0</x:v>
      </x:c>
      <x:c r="BG201" s="18" t="n">
        <x:v>0</x:v>
      </x:c>
    </x:row>
    <x:row r="202">
      <x:c r="A202" s="29" t="str">
        <x:v>275.2</x:v>
      </x:c>
      <x:c r="B202" s="17" t="n">
        <x:v>2823</x:v>
      </x:c>
      <x:c r="C202" s="17" t="str">
        <x:v>בי"ס שיזף</x:v>
      </x:c>
      <x:c r="D202" s="17" t="str">
        <x:v>הבישוף חג'אר 1</x:v>
      </x:c>
      <x:c r="E202" s="17" t="str">
        <x:v>גבוה מאוד</x:v>
      </x:c>
      <x:c r="F202" s="18" t="n">
        <x:v>580</x:v>
      </x:c>
      <x:c r="G202" s="18" t="n">
        <x:v>319</x:v>
      </x:c>
      <x:c r="H202" s="19" t="n">
        <x:f>IFERROR(G202/F202,0)</x:f>
        <x:v>0.55</x:v>
      </x:c>
      <x:c r="I202" s="18" t="n">
        <x:v>0</x:v>
      </x:c>
      <x:c r="J202" s="18" t="n">
        <x:v>319</x:v>
      </x:c>
      <x:c r="K202" s="18" t="n">
        <x:f>SUM(AM202,BF202,W202,AD202)</x:f>
        <x:v>5</x:v>
      </x:c>
      <x:c r="L202" s="18" t="n">
        <x:f>Q202+R202</x:f>
        <x:v>314</x:v>
      </x:c>
      <x:c r="M202" s="19" t="n">
        <x:f>IFERROR(K202/J202,0)</x:f>
        <x:v>0.01567398119122257</x:v>
      </x:c>
      <x:c r="N202" s="19" t="n">
        <x:f>IFERROR(L202/J202,0)</x:f>
        <x:v>0.9843260188087775</x:v>
      </x:c>
      <x:c r="O202" s="17" t="str">
        <x:f>IF(K202&gt;MAX(L202,S202),"קואליציית ההקמה 2022",IF(L202&gt;MAX(K202,S202),"אופוזיציה רחבה 2022","רשימות אחרות"))</x:f>
        <x:v>אופוזיציה רחבה 2022</x:v>
      </x:c>
      <x:c r="P202" s="17" t="str">
        <x:f>IF(AND(H202&lt;50%,N202&gt;50%),"כן","לא")</x:f>
        <x:v>לא</x:v>
      </x:c>
      <x:c r="Q202" s="18" t="n">
        <x:f>SUM(AV202,AJ202,AL202,T202,AN202)</x:f>
        <x:v>49</x:v>
      </x:c>
      <x:c r="R202" s="18" t="n">
        <x:f>SUM(Y202,AU202,X202)</x:f>
        <x:v>265</x:v>
      </x:c>
      <x:c r="S202" s="18" t="n">
        <x:f>J202-K202-L202</x:f>
        <x:v>0</x:v>
      </x:c>
      <x:c r="T202" s="18" t="n">
        <x:v>5</x:v>
      </x:c>
      <x:c r="U202" s="18" t="n">
        <x:v>0</x:v>
      </x:c>
      <x:c r="V202" s="18" t="n">
        <x:v>0</x:v>
      </x:c>
      <x:c r="W202" s="18" t="n">
        <x:v>0</x:v>
      </x:c>
      <x:c r="X202" s="18" t="n">
        <x:v>102</x:v>
      </x:c>
      <x:c r="Y202" s="18" t="n">
        <x:v>156</x:v>
      </x:c>
      <x:c r="Z202" s="18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  <x:c r="AE202" s="18" t="n">
        <x:v>0</x:v>
      </x:c>
      <x:c r="AF202" s="18" t="n">
        <x:v>0</x:v>
      </x:c>
      <x:c r="AG202" s="18" t="n">
        <x:v>0</x:v>
      </x:c>
      <x:c r="AH202" s="18" t="n">
        <x:v>0</x:v>
      </x:c>
      <x:c r="AI202" s="18" t="n">
        <x:v>0</x:v>
      </x:c>
      <x:c r="AJ202" s="18" t="n">
        <x:v>5</x:v>
      </x:c>
      <x:c r="AK202" s="18" t="n">
        <x:v>0</x:v>
      </x:c>
      <x:c r="AL202" s="18" t="n">
        <x:v>1</x:v>
      </x:c>
      <x:c r="AM202" s="18" t="n">
        <x:v>5</x:v>
      </x:c>
      <x:c r="AN202" s="18" t="n">
        <x:v>20</x:v>
      </x:c>
      <x:c r="AO202" s="18" t="n">
        <x:v>0</x:v>
      </x:c>
      <x:c r="AP202" s="18" t="n">
        <x:v>0</x:v>
      </x:c>
      <x:c r="AQ202" s="18" t="n">
        <x:v>0</x:v>
      </x:c>
      <x:c r="AR202" s="18" t="n">
        <x:v>0</x:v>
      </x:c>
      <x:c r="AS202" s="18" t="n">
        <x:v>0</x:v>
      </x:c>
      <x:c r="AT202" s="18" t="n">
        <x:v>0</x:v>
      </x:c>
      <x:c r="AU202" s="18" t="n">
        <x:v>7</x:v>
      </x:c>
      <x:c r="AV202" s="18" t="n">
        <x:v>18</x:v>
      </x:c>
      <x:c r="AW202" s="18" t="n">
        <x:v>0</x:v>
      </x:c>
      <x:c r="AX202" s="18" t="n">
        <x:v>0</x:v>
      </x:c>
      <x:c r="AY202" s="18" t="n">
        <x:v>0</x:v>
      </x:c>
      <x:c r="AZ202" s="18" t="n">
        <x:v>0</x:v>
      </x:c>
      <x:c r="BA202" s="18" t="n">
        <x:v>0</x:v>
      </x:c>
      <x:c r="BB202" s="18" t="n">
        <x:v>0</x:v>
      </x:c>
      <x:c r="BC202" s="18" t="n">
        <x:v>0</x:v>
      </x:c>
      <x:c r="BD202" s="18" t="n">
        <x:v>0</x:v>
      </x:c>
      <x:c r="BE202" s="18" t="n">
        <x:v>0</x:v>
      </x:c>
      <x:c r="BF202" s="18" t="n">
        <x:v>0</x:v>
      </x:c>
      <x:c r="BG202" s="18" t="n">
        <x:v>0</x:v>
      </x:c>
    </x:row>
    <x:row r="203">
      <x:c r="A203" s="29" t="str">
        <x:v>275.3</x:v>
      </x:c>
      <x:c r="B203" s="17" t="n">
        <x:v>2824</x:v>
      </x:c>
      <x:c r="C203" s="17" t="str">
        <x:v>בי"ס שיזף</x:v>
      </x:c>
      <x:c r="D203" s="17" t="str">
        <x:v>הבישוף חג'אר 1</x:v>
      </x:c>
      <x:c r="E203" s="17" t="str">
        <x:v>גבוה מאוד</x:v>
      </x:c>
      <x:c r="F203" s="18" t="n">
        <x:v>580</x:v>
      </x:c>
      <x:c r="G203" s="18" t="n">
        <x:v>297</x:v>
      </x:c>
      <x:c r="H203" s="19" t="n">
        <x:f>IFERROR(G203/F203,0)</x:f>
        <x:v>0.5120689655172413</x:v>
      </x:c>
      <x:c r="I203" s="18" t="n">
        <x:v>4</x:v>
      </x:c>
      <x:c r="J203" s="18" t="n">
        <x:v>293</x:v>
      </x:c>
      <x:c r="K203" s="18" t="n">
        <x:f>SUM(AM203,BF203,W203,AD203)</x:f>
        <x:v>7</x:v>
      </x:c>
      <x:c r="L203" s="18" t="n">
        <x:f>Q203+R203</x:f>
        <x:v>282</x:v>
      </x:c>
      <x:c r="M203" s="19" t="n">
        <x:f>IFERROR(K203/J203,0)</x:f>
        <x:v>0.023890784982935155</x:v>
      </x:c>
      <x:c r="N203" s="19" t="n">
        <x:f>IFERROR(L203/J203,0)</x:f>
        <x:v>0.962457337883959</x:v>
      </x:c>
      <x:c r="O203" s="17" t="str">
        <x:f>IF(K203&gt;MAX(L203,S203),"קואליציית ההקמה 2022",IF(L203&gt;MAX(K203,S203),"אופוזיציה רחבה 2022","רשימות אחרות"))</x:f>
        <x:v>אופוזיציה רחבה 2022</x:v>
      </x:c>
      <x:c r="P203" s="17" t="str">
        <x:f>IF(AND(H203&lt;50%,N203&gt;50%),"כן","לא")</x:f>
        <x:v>לא</x:v>
      </x:c>
      <x:c r="Q203" s="18" t="n">
        <x:f>SUM(AV203,AJ203,AL203,T203,AN203)</x:f>
        <x:v>76</x:v>
      </x:c>
      <x:c r="R203" s="18" t="n">
        <x:f>SUM(Y203,AU203,X203)</x:f>
        <x:v>206</x:v>
      </x:c>
      <x:c r="S203" s="18" t="n">
        <x:f>J203-K203-L203</x:f>
        <x:v>4</x:v>
      </x:c>
      <x:c r="T203" s="18" t="n">
        <x:v>10</x:v>
      </x:c>
      <x:c r="U203" s="18" t="n">
        <x:v>0</x:v>
      </x:c>
      <x:c r="V203" s="18" t="n">
        <x:v>0</x:v>
      </x:c>
      <x:c r="W203" s="18" t="n">
        <x:v>0</x:v>
      </x:c>
      <x:c r="X203" s="18" t="n">
        <x:v>64</x:v>
      </x:c>
      <x:c r="Y203" s="18" t="n">
        <x:v>127</x:v>
      </x:c>
      <x:c r="Z203" s="18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2</x:v>
      </x:c>
      <x:c r="AE203" s="18" t="n">
        <x:v>1</x:v>
      </x:c>
      <x:c r="AF203" s="18" t="n">
        <x:v>0</x:v>
      </x:c>
      <x:c r="AG203" s="18" t="n">
        <x:v>0</x:v>
      </x:c>
      <x:c r="AH203" s="18" t="n">
        <x:v>0</x:v>
      </x:c>
      <x:c r="AI203" s="18" t="n">
        <x:v>0</x:v>
      </x:c>
      <x:c r="AJ203" s="18" t="n">
        <x:v>11</x:v>
      </x:c>
      <x:c r="AK203" s="18" t="n">
        <x:v>0</x:v>
      </x:c>
      <x:c r="AL203" s="18" t="n">
        <x:v>5</x:v>
      </x:c>
      <x:c r="AM203" s="18" t="n">
        <x:v>5</x:v>
      </x:c>
      <x:c r="AN203" s="18" t="n">
        <x:v>24</x:v>
      </x:c>
      <x:c r="AO203" s="18" t="n">
        <x:v>0</x:v>
      </x:c>
      <x:c r="AP203" s="18" t="n">
        <x:v>0</x:v>
      </x:c>
      <x:c r="AQ203" s="18" t="n">
        <x:v>0</x:v>
      </x:c>
      <x:c r="AR203" s="18" t="n">
        <x:v>1</x:v>
      </x:c>
      <x:c r="AS203" s="18" t="n">
        <x:v>0</x:v>
      </x:c>
      <x:c r="AT203" s="18" t="n">
        <x:v>0</x:v>
      </x:c>
      <x:c r="AU203" s="18" t="n">
        <x:v>15</x:v>
      </x:c>
      <x:c r="AV203" s="18" t="n">
        <x:v>26</x:v>
      </x:c>
      <x:c r="AW203" s="18" t="n">
        <x:v>0</x:v>
      </x:c>
      <x:c r="AX203" s="18" t="n">
        <x:v>0</x:v>
      </x:c>
      <x:c r="AY203" s="18" t="n">
        <x:v>1</x:v>
      </x:c>
      <x:c r="AZ203" s="18" t="n">
        <x:v>0</x:v>
      </x:c>
      <x:c r="BA203" s="18" t="n">
        <x:v>0</x:v>
      </x:c>
      <x:c r="BB203" s="18" t="n">
        <x:v>0</x:v>
      </x:c>
      <x:c r="BC203" s="18" t="n">
        <x:v>0</x:v>
      </x:c>
      <x:c r="BD203" s="18" t="n">
        <x:v>1</x:v>
      </x:c>
      <x:c r="BE203" s="18" t="n">
        <x:v>0</x:v>
      </x:c>
      <x:c r="BF203" s="18" t="n">
        <x:v>0</x:v>
      </x:c>
      <x:c r="BG203" s="18" t="n">
        <x:v>0</x:v>
      </x:c>
    </x:row>
    <x:row r="204">
      <x:c r="A204" s="29" t="str">
        <x:v>275.4</x:v>
      </x:c>
      <x:c r="B204" s="17" t="n">
        <x:v>2825</x:v>
      </x:c>
      <x:c r="C204" s="17" t="str">
        <x:v>בי"ס שיזף</x:v>
      </x:c>
      <x:c r="D204" s="17" t="str">
        <x:v>הבישוף חג'אר 1</x:v>
      </x:c>
      <x:c r="E204" s="17" t="str">
        <x:v>גבוה מאוד</x:v>
      </x:c>
      <x:c r="F204" s="18" t="n">
        <x:v>580</x:v>
      </x:c>
      <x:c r="G204" s="18" t="n">
        <x:v>315</x:v>
      </x:c>
      <x:c r="H204" s="19" t="n">
        <x:f>IFERROR(G204/F204,0)</x:f>
        <x:v>0.5431034482758621</x:v>
      </x:c>
      <x:c r="I204" s="18" t="n">
        <x:v>3</x:v>
      </x:c>
      <x:c r="J204" s="18" t="n">
        <x:v>312</x:v>
      </x:c>
      <x:c r="K204" s="18" t="n">
        <x:f>SUM(AM204,BF204,W204,AD204)</x:f>
        <x:v>1</x:v>
      </x:c>
      <x:c r="L204" s="18" t="n">
        <x:f>Q204+R204</x:f>
        <x:v>309</x:v>
      </x:c>
      <x:c r="M204" s="19" t="n">
        <x:f>IFERROR(K204/J204,0)</x:f>
        <x:v>0.003205128205128205</x:v>
      </x:c>
      <x:c r="N204" s="19" t="n">
        <x:f>IFERROR(L204/J204,0)</x:f>
        <x:v>0.9903846153846154</x:v>
      </x:c>
      <x:c r="O204" s="17" t="str">
        <x:f>IF(K204&gt;MAX(L204,S204),"קואליציית ההקמה 2022",IF(L204&gt;MAX(K204,S204),"אופוזיציה רחבה 2022","רשימות אחרות"))</x:f>
        <x:v>אופוזיציה רחבה 2022</x:v>
      </x:c>
      <x:c r="P204" s="17" t="str">
        <x:f>IF(AND(H204&lt;50%,N204&gt;50%),"כן","לא")</x:f>
        <x:v>לא</x:v>
      </x:c>
      <x:c r="Q204" s="18" t="n">
        <x:f>SUM(AV204,AJ204,AL204,T204,AN204)</x:f>
        <x:v>40</x:v>
      </x:c>
      <x:c r="R204" s="18" t="n">
        <x:f>SUM(Y204,AU204,X204)</x:f>
        <x:v>269</x:v>
      </x:c>
      <x:c r="S204" s="18" t="n">
        <x:f>J204-K204-L204</x:f>
        <x:v>2</x:v>
      </x:c>
      <x:c r="T204" s="18" t="n">
        <x:v>3</x:v>
      </x:c>
      <x:c r="U204" s="18" t="n">
        <x:v>0</x:v>
      </x:c>
      <x:c r="V204" s="18" t="n">
        <x:v>0</x:v>
      </x:c>
      <x:c r="W204" s="18" t="n">
        <x:v>0</x:v>
      </x:c>
      <x:c r="X204" s="18" t="n">
        <x:v>72</x:v>
      </x:c>
      <x:c r="Y204" s="18" t="n">
        <x:v>185</x:v>
      </x:c>
      <x:c r="Z204" s="18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  <x:c r="AE204" s="18" t="n">
        <x:v>0</x:v>
      </x:c>
      <x:c r="AF204" s="18" t="n">
        <x:v>0</x:v>
      </x:c>
      <x:c r="AG204" s="18" t="n">
        <x:v>0</x:v>
      </x:c>
      <x:c r="AH204" s="18" t="n">
        <x:v>0</x:v>
      </x:c>
      <x:c r="AI204" s="18" t="n">
        <x:v>0</x:v>
      </x:c>
      <x:c r="AJ204" s="18" t="n">
        <x:v>5</x:v>
      </x:c>
      <x:c r="AK204" s="18" t="n">
        <x:v>0</x:v>
      </x:c>
      <x:c r="AL204" s="18" t="n">
        <x:v>0</x:v>
      </x:c>
      <x:c r="AM204" s="18" t="n">
        <x:v>1</x:v>
      </x:c>
      <x:c r="AN204" s="18" t="n">
        <x:v>20</x:v>
      </x:c>
      <x:c r="AO204" s="18" t="n">
        <x:v>0</x:v>
      </x:c>
      <x:c r="AP204" s="18" t="n">
        <x:v>0</x:v>
      </x:c>
      <x:c r="AQ204" s="18" t="n">
        <x:v>0</x:v>
      </x:c>
      <x:c r="AR204" s="18" t="n">
        <x:v>0</x:v>
      </x:c>
      <x:c r="AS204" s="18" t="n">
        <x:v>0</x:v>
      </x:c>
      <x:c r="AT204" s="18" t="n">
        <x:v>0</x:v>
      </x:c>
      <x:c r="AU204" s="18" t="n">
        <x:v>12</x:v>
      </x:c>
      <x:c r="AV204" s="18" t="n">
        <x:v>12</x:v>
      </x:c>
      <x:c r="AW204" s="18" t="n">
        <x:v>0</x:v>
      </x:c>
      <x:c r="AX204" s="18" t="n">
        <x:v>1</x:v>
      </x:c>
      <x:c r="AY204" s="18" t="n">
        <x:v>0</x:v>
      </x:c>
      <x:c r="AZ204" s="18" t="n">
        <x:v>0</x:v>
      </x:c>
      <x:c r="BA204" s="18" t="n">
        <x:v>0</x:v>
      </x:c>
      <x:c r="BB204" s="18" t="n">
        <x:v>0</x:v>
      </x:c>
      <x:c r="BC204" s="18" t="n">
        <x:v>0</x:v>
      </x:c>
      <x:c r="BD204" s="18" t="n">
        <x:v>1</x:v>
      </x:c>
      <x:c r="BE204" s="18" t="n">
        <x:v>0</x:v>
      </x:c>
      <x:c r="BF204" s="18" t="n">
        <x:v>0</x:v>
      </x:c>
      <x:c r="BG204" s="18" t="n">
        <x:v>0</x:v>
      </x:c>
    </x:row>
    <x:row r="205">
      <x:c r="A205" s="29" t="str">
        <x:v>275.5</x:v>
      </x:c>
      <x:c r="B205" s="17" t="n">
        <x:v>2826</x:v>
      </x:c>
      <x:c r="C205" s="17" t="str">
        <x:v>בי"ס שיזף</x:v>
      </x:c>
      <x:c r="D205" s="17" t="str">
        <x:v>הבישוף חג'אר 1</x:v>
      </x:c>
      <x:c r="E205" s="17" t="str">
        <x:v>גבוה מאוד</x:v>
      </x:c>
      <x:c r="F205" s="18" t="n">
        <x:v>578</x:v>
      </x:c>
      <x:c r="G205" s="18" t="n">
        <x:v>316</x:v>
      </x:c>
      <x:c r="H205" s="19" t="n">
        <x:f>IFERROR(G205/F205,0)</x:f>
        <x:v>0.5467128027681661</x:v>
      </x:c>
      <x:c r="I205" s="18" t="n">
        <x:v>2</x:v>
      </x:c>
      <x:c r="J205" s="18" t="n">
        <x:v>314</x:v>
      </x:c>
      <x:c r="K205" s="18" t="n">
        <x:f>SUM(AM205,BF205,W205,AD205)</x:f>
        <x:v>15</x:v>
      </x:c>
      <x:c r="L205" s="18" t="n">
        <x:f>Q205+R205</x:f>
        <x:v>295</x:v>
      </x:c>
      <x:c r="M205" s="19" t="n">
        <x:f>IFERROR(K205/J205,0)</x:f>
        <x:v>0.04777070063694268</x:v>
      </x:c>
      <x:c r="N205" s="19" t="n">
        <x:f>IFERROR(L205/J205,0)</x:f>
        <x:v>0.9394904458598726</x:v>
      </x:c>
      <x:c r="O205" s="17" t="str">
        <x:f>IF(K205&gt;MAX(L205,S205),"קואליציית ההקמה 2022",IF(L205&gt;MAX(K205,S205),"אופוזיציה רחבה 2022","רשימות אחרות"))</x:f>
        <x:v>אופוזיציה רחבה 2022</x:v>
      </x:c>
      <x:c r="P205" s="17" t="str">
        <x:f>IF(AND(H205&lt;50%,N205&gt;50%),"כן","לא")</x:f>
        <x:v>לא</x:v>
      </x:c>
      <x:c r="Q205" s="18" t="n">
        <x:f>SUM(AV205,AJ205,AL205,T205,AN205)</x:f>
        <x:v>80</x:v>
      </x:c>
      <x:c r="R205" s="18" t="n">
        <x:f>SUM(Y205,AU205,X205)</x:f>
        <x:v>215</x:v>
      </x:c>
      <x:c r="S205" s="18" t="n">
        <x:f>J205-K205-L205</x:f>
        <x:v>4</x:v>
      </x:c>
      <x:c r="T205" s="18" t="n">
        <x:v>6</x:v>
      </x:c>
      <x:c r="U205" s="18" t="n">
        <x:v>0</x:v>
      </x:c>
      <x:c r="V205" s="18" t="n">
        <x:v>0</x:v>
      </x:c>
      <x:c r="W205" s="18" t="n">
        <x:v>0</x:v>
      </x:c>
      <x:c r="X205" s="18" t="n">
        <x:v>88</x:v>
      </x:c>
      <x:c r="Y205" s="18" t="n">
        <x:v>108</x:v>
      </x:c>
      <x:c r="Z205" s="18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1</x:v>
      </x:c>
      <x:c r="AE205" s="18" t="n">
        <x:v>1</x:v>
      </x:c>
      <x:c r="AF205" s="18" t="n">
        <x:v>0</x:v>
      </x:c>
      <x:c r="AG205" s="18" t="n">
        <x:v>0</x:v>
      </x:c>
      <x:c r="AH205" s="18" t="n">
        <x:v>0</x:v>
      </x:c>
      <x:c r="AI205" s="18" t="n">
        <x:v>0</x:v>
      </x:c>
      <x:c r="AJ205" s="18" t="n">
        <x:v>9</x:v>
      </x:c>
      <x:c r="AK205" s="18" t="n">
        <x:v>3</x:v>
      </x:c>
      <x:c r="AL205" s="18" t="n">
        <x:v>7</x:v>
      </x:c>
      <x:c r="AM205" s="18" t="n">
        <x:v>14</x:v>
      </x:c>
      <x:c r="AN205" s="18" t="n">
        <x:v>30</x:v>
      </x:c>
      <x:c r="AO205" s="18" t="n">
        <x:v>0</x:v>
      </x:c>
      <x:c r="AP205" s="18" t="n">
        <x:v>0</x:v>
      </x:c>
      <x:c r="AQ205" s="18" t="n">
        <x:v>0</x:v>
      </x:c>
      <x:c r="AR205" s="18" t="n">
        <x:v>0</x:v>
      </x:c>
      <x:c r="AS205" s="18" t="n">
        <x:v>0</x:v>
      </x:c>
      <x:c r="AT205" s="18" t="n">
        <x:v>0</x:v>
      </x:c>
      <x:c r="AU205" s="18" t="n">
        <x:v>19</x:v>
      </x:c>
      <x:c r="AV205" s="18" t="n">
        <x:v>28</x:v>
      </x:c>
      <x:c r="AW205" s="18" t="n">
        <x:v>0</x:v>
      </x:c>
      <x:c r="AX205" s="18" t="n">
        <x:v>0</x:v>
      </x:c>
      <x:c r="AY205" s="18" t="n">
        <x:v>0</x:v>
      </x:c>
      <x:c r="AZ205" s="18" t="n">
        <x:v>0</x:v>
      </x:c>
      <x:c r="BA205" s="18" t="n">
        <x:v>0</x:v>
      </x:c>
      <x:c r="BB205" s="18" t="n">
        <x:v>0</x:v>
      </x:c>
      <x:c r="BC205" s="18" t="n">
        <x:v>0</x:v>
      </x:c>
      <x:c r="BD205" s="18" t="n">
        <x:v>0</x:v>
      </x:c>
      <x:c r="BE205" s="18" t="n">
        <x:v>0</x:v>
      </x:c>
      <x:c r="BF205" s="18" t="n">
        <x:v>0</x:v>
      </x:c>
      <x:c r="BG205" s="18" t="n">
        <x:v>0</x:v>
      </x:c>
    </x:row>
    <x:row r="206">
      <x:c r="A206" s="29" t="str">
        <x:v>277</x:v>
      </x:c>
      <x:c r="B206" s="17" t="n">
        <x:v>2827</x:v>
      </x:c>
      <x:c r="C206" s="17" t="str">
        <x:v>מרכז "ערבי יהודי" תיאטרון</x:v>
      </x:c>
      <x:c r="D206" s="17" t="str">
        <x:v>שד הציונות 33</x:v>
      </x:c>
      <x:c r="E206" s="17" t="str">
        <x:v>גבוה מאוד</x:v>
      </x:c>
      <x:c r="F206" s="18" t="n">
        <x:v>458</x:v>
      </x:c>
      <x:c r="G206" s="18" t="n">
        <x:v>232</x:v>
      </x:c>
      <x:c r="H206" s="19" t="n">
        <x:f>IFERROR(G206/F206,0)</x:f>
        <x:v>0.5065502183406113</x:v>
      </x:c>
      <x:c r="I206" s="18" t="n">
        <x:v>2</x:v>
      </x:c>
      <x:c r="J206" s="18" t="n">
        <x:v>230</x:v>
      </x:c>
      <x:c r="K206" s="18" t="n">
        <x:f>SUM(AM206,BF206,W206,AD206)</x:f>
        <x:v>16</x:v>
      </x:c>
      <x:c r="L206" s="18" t="n">
        <x:f>Q206+R206</x:f>
        <x:v>211</x:v>
      </x:c>
      <x:c r="M206" s="19" t="n">
        <x:f>IFERROR(K206/J206,0)</x:f>
        <x:v>0.06956521739130435</x:v>
      </x:c>
      <x:c r="N206" s="19" t="n">
        <x:f>IFERROR(L206/J206,0)</x:f>
        <x:v>0.9173913043478261</x:v>
      </x:c>
      <x:c r="O206" s="17" t="str">
        <x:f>IF(K206&gt;MAX(L206,S206),"קואליציית ההקמה 2022",IF(L206&gt;MAX(K206,S206),"אופוזיציה רחבה 2022","רשימות אחרות"))</x:f>
        <x:v>אופוזיציה רחבה 2022</x:v>
      </x:c>
      <x:c r="P206" s="17" t="str">
        <x:f>IF(AND(H206&lt;50%,N206&gt;50%),"כן","לא")</x:f>
        <x:v>לא</x:v>
      </x:c>
      <x:c r="Q206" s="18" t="n">
        <x:f>SUM(AV206,AJ206,AL206,T206,AN206)</x:f>
        <x:v>44</x:v>
      </x:c>
      <x:c r="R206" s="18" t="n">
        <x:f>SUM(Y206,AU206,X206)</x:f>
        <x:v>167</x:v>
      </x:c>
      <x:c r="S206" s="18" t="n">
        <x:f>J206-K206-L206</x:f>
        <x:v>3</x:v>
      </x:c>
      <x:c r="T206" s="18" t="n">
        <x:v>7</x:v>
      </x:c>
      <x:c r="U206" s="18" t="n">
        <x:v>0</x:v>
      </x:c>
      <x:c r="V206" s="18" t="n">
        <x:v>0</x:v>
      </x:c>
      <x:c r="W206" s="18" t="n">
        <x:v>0</x:v>
      </x:c>
      <x:c r="X206" s="18" t="n">
        <x:v>43</x:v>
      </x:c>
      <x:c r="Y206" s="18" t="n">
        <x:v>120</x:v>
      </x:c>
      <x:c r="Z206" s="18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  <x:c r="AE206" s="18" t="n">
        <x:v>0</x:v>
      </x:c>
      <x:c r="AF206" s="18" t="n">
        <x:v>1</x:v>
      </x:c>
      <x:c r="AG206" s="18" t="n">
        <x:v>0</x:v>
      </x:c>
      <x:c r="AH206" s="18" t="n">
        <x:v>1</x:v>
      </x:c>
      <x:c r="AI206" s="18" t="n">
        <x:v>0</x:v>
      </x:c>
      <x:c r="AJ206" s="18" t="n">
        <x:v>5</x:v>
      </x:c>
      <x:c r="AK206" s="18" t="n">
        <x:v>0</x:v>
      </x:c>
      <x:c r="AL206" s="18" t="n">
        <x:v>7</x:v>
      </x:c>
      <x:c r="AM206" s="18" t="n">
        <x:v>15</x:v>
      </x:c>
      <x:c r="AN206" s="18" t="n">
        <x:v>12</x:v>
      </x:c>
      <x:c r="AO206" s="18" t="n">
        <x:v>0</x:v>
      </x:c>
      <x:c r="AP206" s="18" t="n">
        <x:v>0</x:v>
      </x:c>
      <x:c r="AQ206" s="18" t="n">
        <x:v>0</x:v>
      </x:c>
      <x:c r="AR206" s="18" t="n">
        <x:v>0</x:v>
      </x:c>
      <x:c r="AS206" s="18" t="n">
        <x:v>0</x:v>
      </x:c>
      <x:c r="AT206" s="18" t="n">
        <x:v>0</x:v>
      </x:c>
      <x:c r="AU206" s="18" t="n">
        <x:v>4</x:v>
      </x:c>
      <x:c r="AV206" s="18" t="n">
        <x:v>13</x:v>
      </x:c>
      <x:c r="AW206" s="18" t="n">
        <x:v>0</x:v>
      </x:c>
      <x:c r="AX206" s="18" t="n">
        <x:v>0</x:v>
      </x:c>
      <x:c r="AY206" s="18" t="n">
        <x:v>0</x:v>
      </x:c>
      <x:c r="AZ206" s="18" t="n">
        <x:v>0</x:v>
      </x:c>
      <x:c r="BA206" s="18" t="n">
        <x:v>0</x:v>
      </x:c>
      <x:c r="BB206" s="18" t="n">
        <x:v>0</x:v>
      </x:c>
      <x:c r="BC206" s="18" t="n">
        <x:v>0</x:v>
      </x:c>
      <x:c r="BD206" s="18" t="n">
        <x:v>0</x:v>
      </x:c>
      <x:c r="BE206" s="18" t="n">
        <x:v>0</x:v>
      </x:c>
      <x:c r="BF206" s="18" t="n">
        <x:v>1</x:v>
      </x:c>
      <x:c r="BG206" s="18" t="n">
        <x:v>1</x:v>
      </x:c>
    </x:row>
    <x:row r="207">
      <x:c r="A207" s="29" t="str">
        <x:v>279</x:v>
      </x:c>
      <x:c r="B207" s="17" t="n">
        <x:v>2828</x:v>
      </x:c>
      <x:c r="C207" s="17" t="str">
        <x:v>מועדון הנוער הנוצרי</x:v>
      </x:c>
      <x:c r="D207" s="17" t="str">
        <x:v>שומאכר גוטליב 4</x:v>
      </x:c>
      <x:c r="E207" s="17" t="str">
        <x:v>גבוה מאוד</x:v>
      </x:c>
      <x:c r="F207" s="18" t="n">
        <x:v>487</x:v>
      </x:c>
      <x:c r="G207" s="18" t="n">
        <x:v>247</x:v>
      </x:c>
      <x:c r="H207" s="19" t="n">
        <x:f>IFERROR(G207/F207,0)</x:f>
        <x:v>0.5071868583162218</x:v>
      </x:c>
      <x:c r="I207" s="18" t="n">
        <x:v>2</x:v>
      </x:c>
      <x:c r="J207" s="18" t="n">
        <x:v>245</x:v>
      </x:c>
      <x:c r="K207" s="18" t="n">
        <x:f>SUM(AM207,BF207,W207,AD207)</x:f>
        <x:v>12</x:v>
      </x:c>
      <x:c r="L207" s="18" t="n">
        <x:f>Q207+R207</x:f>
        <x:v>229</x:v>
      </x:c>
      <x:c r="M207" s="19" t="n">
        <x:f>IFERROR(K207/J207,0)</x:f>
        <x:v>0.04897959183673469</x:v>
      </x:c>
      <x:c r="N207" s="19" t="n">
        <x:f>IFERROR(L207/J207,0)</x:f>
        <x:v>0.9346938775510204</x:v>
      </x:c>
      <x:c r="O207" s="17" t="str">
        <x:f>IF(K207&gt;MAX(L207,S207),"קואליציית ההקמה 2022",IF(L207&gt;MAX(K207,S207),"אופוזיציה רחבה 2022","רשימות אחרות"))</x:f>
        <x:v>אופוזיציה רחבה 2022</x:v>
      </x:c>
      <x:c r="P207" s="17" t="str">
        <x:f>IF(AND(H207&lt;50%,N207&gt;50%),"כן","לא")</x:f>
        <x:v>לא</x:v>
      </x:c>
      <x:c r="Q207" s="18" t="n">
        <x:f>SUM(AV207,AJ207,AL207,T207,AN207)</x:f>
        <x:v>32</x:v>
      </x:c>
      <x:c r="R207" s="18" t="n">
        <x:f>SUM(Y207,AU207,X207)</x:f>
        <x:v>197</x:v>
      </x:c>
      <x:c r="S207" s="18" t="n">
        <x:f>J207-K207-L207</x:f>
        <x:v>4</x:v>
      </x:c>
      <x:c r="T207" s="18" t="n">
        <x:v>7</x:v>
      </x:c>
      <x:c r="U207" s="18" t="n">
        <x:v>0</x:v>
      </x:c>
      <x:c r="V207" s="18" t="n">
        <x:v>0</x:v>
      </x:c>
      <x:c r="W207" s="18" t="n">
        <x:v>1</x:v>
      </x:c>
      <x:c r="X207" s="18" t="n">
        <x:v>66</x:v>
      </x:c>
      <x:c r="Y207" s="18" t="n">
        <x:v>123</x:v>
      </x:c>
      <x:c r="Z207" s="18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  <x:c r="AE207" s="18" t="n">
        <x:v>0</x:v>
      </x:c>
      <x:c r="AF207" s="18" t="n">
        <x:v>0</x:v>
      </x:c>
      <x:c r="AG207" s="18" t="n">
        <x:v>0</x:v>
      </x:c>
      <x:c r="AH207" s="18" t="n">
        <x:v>0</x:v>
      </x:c>
      <x:c r="AI207" s="18" t="n">
        <x:v>0</x:v>
      </x:c>
      <x:c r="AJ207" s="18" t="n">
        <x:v>2</x:v>
      </x:c>
      <x:c r="AK207" s="18" t="n">
        <x:v>0</x:v>
      </x:c>
      <x:c r="AL207" s="18" t="n">
        <x:v>1</x:v>
      </x:c>
      <x:c r="AM207" s="18" t="n">
        <x:v>11</x:v>
      </x:c>
      <x:c r="AN207" s="18" t="n">
        <x:v>8</x:v>
      </x:c>
      <x:c r="AO207" s="18" t="n">
        <x:v>0</x:v>
      </x:c>
      <x:c r="AP207" s="18" t="n">
        <x:v>0</x:v>
      </x:c>
      <x:c r="AQ207" s="18" t="n">
        <x:v>0</x:v>
      </x:c>
      <x:c r="AR207" s="18" t="n">
        <x:v>0</x:v>
      </x:c>
      <x:c r="AS207" s="18" t="n">
        <x:v>0</x:v>
      </x:c>
      <x:c r="AT207" s="18" t="n">
        <x:v>0</x:v>
      </x:c>
      <x:c r="AU207" s="18" t="n">
        <x:v>8</x:v>
      </x:c>
      <x:c r="AV207" s="18" t="n">
        <x:v>14</x:v>
      </x:c>
      <x:c r="AW207" s="18" t="n">
        <x:v>0</x:v>
      </x:c>
      <x:c r="AX207" s="18" t="n">
        <x:v>0</x:v>
      </x:c>
      <x:c r="AY207" s="18" t="n">
        <x:v>1</x:v>
      </x:c>
      <x:c r="AZ207" s="18" t="n">
        <x:v>0</x:v>
      </x:c>
      <x:c r="BA207" s="18" t="n">
        <x:v>0</x:v>
      </x:c>
      <x:c r="BB207" s="18" t="n">
        <x:v>0</x:v>
      </x:c>
      <x:c r="BC207" s="18" t="n">
        <x:v>0</x:v>
      </x:c>
      <x:c r="BD207" s="18" t="n">
        <x:v>3</x:v>
      </x:c>
      <x:c r="BE207" s="18" t="n">
        <x:v>0</x:v>
      </x:c>
      <x:c r="BF207" s="18" t="n">
        <x:v>0</x:v>
      </x:c>
      <x:c r="BG207" s="18" t="n">
        <x:v>0</x:v>
      </x:c>
    </x:row>
    <x:row r="208">
      <x:c r="A208" s="29" t="str">
        <x:v>280</x:v>
      </x:c>
      <x:c r="B208" s="17" t="n">
        <x:v>2829</x:v>
      </x:c>
      <x:c r="C208" s="17" t="str">
        <x:v>בית המהנדס</x:v>
      </x:c>
      <x:c r="D208" s="17" t="str">
        <x:v>שבתאי לוי 24</x:v>
      </x:c>
      <x:c r="E208" s="17" t="str">
        <x:v>גבוה מאוד</x:v>
      </x:c>
      <x:c r="F208" s="18" t="n">
        <x:v>595</x:v>
      </x:c>
      <x:c r="G208" s="18" t="n">
        <x:v>193</x:v>
      </x:c>
      <x:c r="H208" s="19" t="n">
        <x:f>IFERROR(G208/F208,0)</x:f>
        <x:v>0.3243697478991597</x:v>
      </x:c>
      <x:c r="I208" s="18" t="n">
        <x:v>2</x:v>
      </x:c>
      <x:c r="J208" s="18" t="n">
        <x:v>191</x:v>
      </x:c>
      <x:c r="K208" s="18" t="n">
        <x:f>SUM(AM208,BF208,W208,AD208)</x:f>
        <x:v>32</x:v>
      </x:c>
      <x:c r="L208" s="18" t="n">
        <x:f>Q208+R208</x:f>
        <x:v>153</x:v>
      </x:c>
      <x:c r="M208" s="19" t="n">
        <x:f>IFERROR(K208/J208,0)</x:f>
        <x:v>0.16753926701570682</x:v>
      </x:c>
      <x:c r="N208" s="19" t="n">
        <x:f>IFERROR(L208/J208,0)</x:f>
        <x:v>0.8010471204188482</x:v>
      </x:c>
      <x:c r="O208" s="17" t="str">
        <x:f>IF(K208&gt;MAX(L208,S208),"קואליציית ההקמה 2022",IF(L208&gt;MAX(K208,S208),"אופוזיציה רחבה 2022","רשימות אחרות"))</x:f>
        <x:v>אופוזיציה רחבה 2022</x:v>
      </x:c>
      <x:c r="P208" s="17" t="str">
        <x:f>IF(AND(H208&lt;50%,N208&gt;50%),"כן","לא")</x:f>
        <x:v>כן</x:v>
      </x:c>
      <x:c r="Q208" s="18" t="n">
        <x:f>SUM(AV208,AJ208,AL208,T208,AN208)</x:f>
        <x:v>54</x:v>
      </x:c>
      <x:c r="R208" s="18" t="n">
        <x:f>SUM(Y208,AU208,X208)</x:f>
        <x:v>99</x:v>
      </x:c>
      <x:c r="S208" s="18" t="n">
        <x:f>J208-K208-L208</x:f>
        <x:v>6</x:v>
      </x:c>
      <x:c r="T208" s="18" t="n">
        <x:v>2</x:v>
      </x:c>
      <x:c r="U208" s="18" t="n">
        <x:v>0</x:v>
      </x:c>
      <x:c r="V208" s="18" t="n">
        <x:v>0</x:v>
      </x:c>
      <x:c r="W208" s="18" t="n">
        <x:v>0</x:v>
      </x:c>
      <x:c r="X208" s="18" t="n">
        <x:v>35</x:v>
      </x:c>
      <x:c r="Y208" s="18" t="n">
        <x:v>54</x:v>
      </x:c>
      <x:c r="Z208" s="18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2</x:v>
      </x:c>
      <x:c r="AE208" s="18" t="n">
        <x:v>0</x:v>
      </x:c>
      <x:c r="AF208" s="18" t="n">
        <x:v>2</x:v>
      </x:c>
      <x:c r="AG208" s="18" t="n">
        <x:v>0</x:v>
      </x:c>
      <x:c r="AH208" s="18" t="n">
        <x:v>0</x:v>
      </x:c>
      <x:c r="AI208" s="18" t="n">
        <x:v>0</x:v>
      </x:c>
      <x:c r="AJ208" s="18" t="n">
        <x:v>2</x:v>
      </x:c>
      <x:c r="AK208" s="18" t="n">
        <x:v>1</x:v>
      </x:c>
      <x:c r="AL208" s="18" t="n">
        <x:v>21</x:v>
      </x:c>
      <x:c r="AM208" s="18" t="n">
        <x:v>29</x:v>
      </x:c>
      <x:c r="AN208" s="18" t="n">
        <x:v>10</x:v>
      </x:c>
      <x:c r="AO208" s="18" t="n">
        <x:v>0</x:v>
      </x:c>
      <x:c r="AP208" s="18" t="n">
        <x:v>0</x:v>
      </x:c>
      <x:c r="AQ208" s="18" t="n">
        <x:v>0</x:v>
      </x:c>
      <x:c r="AR208" s="18" t="n">
        <x:v>0</x:v>
      </x:c>
      <x:c r="AS208" s="18" t="n">
        <x:v>0</x:v>
      </x:c>
      <x:c r="AT208" s="18" t="n">
        <x:v>0</x:v>
      </x:c>
      <x:c r="AU208" s="18" t="n">
        <x:v>10</x:v>
      </x:c>
      <x:c r="AV208" s="18" t="n">
        <x:v>19</x:v>
      </x:c>
      <x:c r="AW208" s="18" t="n">
        <x:v>0</x:v>
      </x:c>
      <x:c r="AX208" s="18" t="n">
        <x:v>0</x:v>
      </x:c>
      <x:c r="AY208" s="18" t="n">
        <x:v>1</x:v>
      </x:c>
      <x:c r="AZ208" s="18" t="n">
        <x:v>0</x:v>
      </x:c>
      <x:c r="BA208" s="18" t="n">
        <x:v>0</x:v>
      </x:c>
      <x:c r="BB208" s="18" t="n">
        <x:v>0</x:v>
      </x:c>
      <x:c r="BC208" s="18" t="n">
        <x:v>0</x:v>
      </x:c>
      <x:c r="BD208" s="18" t="n">
        <x:v>1</x:v>
      </x:c>
      <x:c r="BE208" s="18" t="n">
        <x:v>1</x:v>
      </x:c>
      <x:c r="BF208" s="18" t="n">
        <x:v>1</x:v>
      </x:c>
      <x:c r="BG208" s="18" t="n">
        <x:v>0</x:v>
      </x:c>
    </x:row>
    <x:row r="209">
      <x:c r="A209" s="29" t="str">
        <x:v>281</x:v>
      </x:c>
      <x:c r="B209" s="17" t="n">
        <x:v>2830</x:v>
      </x:c>
      <x:c r="C209" s="17" t="str">
        <x:v>בית המהנדס</x:v>
      </x:c>
      <x:c r="D209" s="17" t="str">
        <x:v>שבתאי לוי 24</x:v>
      </x:c>
      <x:c r="E209" s="17" t="str">
        <x:v>גבוה מאוד</x:v>
      </x:c>
      <x:c r="F209" s="18" t="n">
        <x:v>561</x:v>
      </x:c>
      <x:c r="G209" s="18" t="n">
        <x:v>303</x:v>
      </x:c>
      <x:c r="H209" s="19" t="n">
        <x:f>IFERROR(G209/F209,0)</x:f>
        <x:v>0.5401069518716578</x:v>
      </x:c>
      <x:c r="I209" s="18" t="n">
        <x:v>1</x:v>
      </x:c>
      <x:c r="J209" s="18" t="n">
        <x:v>302</x:v>
      </x:c>
      <x:c r="K209" s="18" t="n">
        <x:f>SUM(AM209,BF209,W209,AD209)</x:f>
        <x:v>12</x:v>
      </x:c>
      <x:c r="L209" s="18" t="n">
        <x:f>Q209+R209</x:f>
        <x:v>285</x:v>
      </x:c>
      <x:c r="M209" s="19" t="n">
        <x:f>IFERROR(K209/J209,0)</x:f>
        <x:v>0.039735099337748346</x:v>
      </x:c>
      <x:c r="N209" s="19" t="n">
        <x:f>IFERROR(L209/J209,0)</x:f>
        <x:v>0.9437086092715232</x:v>
      </x:c>
      <x:c r="O209" s="17" t="str">
        <x:f>IF(K209&gt;MAX(L209,S209),"קואליציית ההקמה 2022",IF(L209&gt;MAX(K209,S209),"אופוזיציה רחבה 2022","רשימות אחרות"))</x:f>
        <x:v>אופוזיציה רחבה 2022</x:v>
      </x:c>
      <x:c r="P209" s="17" t="str">
        <x:f>IF(AND(H209&lt;50%,N209&gt;50%),"כן","לא")</x:f>
        <x:v>לא</x:v>
      </x:c>
      <x:c r="Q209" s="18" t="n">
        <x:f>SUM(AV209,AJ209,AL209,T209,AN209)</x:f>
        <x:v>55</x:v>
      </x:c>
      <x:c r="R209" s="18" t="n">
        <x:f>SUM(Y209,AU209,X209)</x:f>
        <x:v>230</x:v>
      </x:c>
      <x:c r="S209" s="18" t="n">
        <x:f>J209-K209-L209</x:f>
        <x:v>5</x:v>
      </x:c>
      <x:c r="T209" s="18" t="n">
        <x:v>5</x:v>
      </x:c>
      <x:c r="U209" s="18" t="n">
        <x:v>1</x:v>
      </x:c>
      <x:c r="V209" s="18" t="n">
        <x:v>1</x:v>
      </x:c>
      <x:c r="W209" s="18" t="n">
        <x:v>0</x:v>
      </x:c>
      <x:c r="X209" s="18" t="n">
        <x:v>67</x:v>
      </x:c>
      <x:c r="Y209" s="18" t="n">
        <x:v>146</x:v>
      </x:c>
      <x:c r="Z209" s="18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3</x:v>
      </x:c>
      <x:c r="AE209" s="18" t="n">
        <x:v>0</x:v>
      </x:c>
      <x:c r="AF209" s="18" t="n">
        <x:v>0</x:v>
      </x:c>
      <x:c r="AG209" s="18" t="n">
        <x:v>0</x:v>
      </x:c>
      <x:c r="AH209" s="18" t="n">
        <x:v>0</x:v>
      </x:c>
      <x:c r="AI209" s="18" t="n">
        <x:v>0</x:v>
      </x:c>
      <x:c r="AJ209" s="18" t="n">
        <x:v>3</x:v>
      </x:c>
      <x:c r="AK209" s="18" t="n">
        <x:v>0</x:v>
      </x:c>
      <x:c r="AL209" s="18" t="n">
        <x:v>8</x:v>
      </x:c>
      <x:c r="AM209" s="18" t="n">
        <x:v>9</x:v>
      </x:c>
      <x:c r="AN209" s="18" t="n">
        <x:v>22</x:v>
      </x:c>
      <x:c r="AO209" s="18" t="n">
        <x:v>0</x:v>
      </x:c>
      <x:c r="AP209" s="18" t="n">
        <x:v>1</x:v>
      </x:c>
      <x:c r="AQ209" s="18" t="n">
        <x:v>0</x:v>
      </x:c>
      <x:c r="AR209" s="18" t="n">
        <x:v>0</x:v>
      </x:c>
      <x:c r="AS209" s="18" t="n">
        <x:v>0</x:v>
      </x:c>
      <x:c r="AT209" s="18" t="n">
        <x:v>0</x:v>
      </x:c>
      <x:c r="AU209" s="18" t="n">
        <x:v>17</x:v>
      </x:c>
      <x:c r="AV209" s="18" t="n">
        <x:v>17</x:v>
      </x:c>
      <x:c r="AW209" s="18" t="n">
        <x:v>0</x:v>
      </x:c>
      <x:c r="AX209" s="18" t="n">
        <x:v>1</x:v>
      </x:c>
      <x:c r="AY209" s="18" t="n">
        <x:v>1</x:v>
      </x:c>
      <x:c r="AZ209" s="18" t="n">
        <x:v>0</x:v>
      </x:c>
      <x:c r="BA209" s="18" t="n">
        <x:v>0</x:v>
      </x:c>
      <x:c r="BB209" s="18" t="n">
        <x:v>0</x:v>
      </x:c>
      <x:c r="BC209" s="18" t="n">
        <x:v>0</x:v>
      </x:c>
      <x:c r="BD209" s="18" t="n">
        <x:v>0</x:v>
      </x:c>
      <x:c r="BE209" s="18" t="n">
        <x:v>0</x:v>
      </x:c>
      <x:c r="BF209" s="18" t="n">
        <x:v>0</x:v>
      </x:c>
      <x:c r="BG209" s="18" t="n">
        <x:v>0</x:v>
      </x:c>
    </x:row>
    <x:row r="210">
      <x:c r="A210" s="29" t="str">
        <x:v>282</x:v>
      </x:c>
      <x:c r="B210" s="17" t="n">
        <x:v>2972</x:v>
      </x:c>
      <x:c r="C210" s="17" t="str">
        <x:v>מתנ"ס לאו בק שלוחת בית אל</x:v>
      </x:c>
      <x:c r="D210" s="17" t="str">
        <x:v>בית אל 3</x:v>
      </x:c>
      <x:c r="E210" s="17" t="str">
        <x:v>גבוה מאוד</x:v>
      </x:c>
      <x:c r="F210" s="18" t="n">
        <x:v>519</x:v>
      </x:c>
      <x:c r="G210" s="18" t="n">
        <x:v>300</x:v>
      </x:c>
      <x:c r="H210" s="19" t="n">
        <x:f>IFERROR(G210/F210,0)</x:f>
        <x:v>0.5780346820809249</x:v>
      </x:c>
      <x:c r="I210" s="18" t="n">
        <x:v>0</x:v>
      </x:c>
      <x:c r="J210" s="18" t="n">
        <x:v>300</x:v>
      </x:c>
      <x:c r="K210" s="18" t="n">
        <x:f>SUM(AM210,BF210,W210,AD210)</x:f>
        <x:v>21</x:v>
      </x:c>
      <x:c r="L210" s="18" t="n">
        <x:f>Q210+R210</x:f>
        <x:v>279</x:v>
      </x:c>
      <x:c r="M210" s="19" t="n">
        <x:f>IFERROR(K210/J210,0)</x:f>
        <x:v>0.07</x:v>
      </x:c>
      <x:c r="N210" s="19" t="n">
        <x:f>IFERROR(L210/J210,0)</x:f>
        <x:v>0.93</x:v>
      </x:c>
      <x:c r="O210" s="17" t="str">
        <x:f>IF(K210&gt;MAX(L210,S210),"קואליציית ההקמה 2022",IF(L210&gt;MAX(K210,S210),"אופוזיציה רחבה 2022","רשימות אחרות"))</x:f>
        <x:v>אופוזיציה רחבה 2022</x:v>
      </x:c>
      <x:c r="P210" s="17" t="str">
        <x:f>IF(AND(H210&lt;50%,N210&gt;50%),"כן","לא")</x:f>
        <x:v>לא</x:v>
      </x:c>
      <x:c r="Q210" s="18" t="n">
        <x:f>SUM(AV210,AJ210,AL210,T210,AN210)</x:f>
        <x:v>92</x:v>
      </x:c>
      <x:c r="R210" s="18" t="n">
        <x:f>SUM(Y210,AU210,X210)</x:f>
        <x:v>187</x:v>
      </x:c>
      <x:c r="S210" s="18" t="n">
        <x:f>J210-K210-L210</x:f>
        <x:v>0</x:v>
      </x:c>
      <x:c r="T210" s="18" t="n">
        <x:v>13</x:v>
      </x:c>
      <x:c r="U210" s="18" t="n">
        <x:v>0</x:v>
      </x:c>
      <x:c r="V210" s="18" t="n">
        <x:v>0</x:v>
      </x:c>
      <x:c r="W210" s="18" t="n">
        <x:v>1</x:v>
      </x:c>
      <x:c r="X210" s="18" t="n">
        <x:v>69</x:v>
      </x:c>
      <x:c r="Y210" s="18" t="n">
        <x:v>105</x:v>
      </x:c>
      <x:c r="Z210" s="18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3</x:v>
      </x:c>
      <x:c r="AE210" s="18" t="n">
        <x:v>0</x:v>
      </x:c>
      <x:c r="AF210" s="18" t="n">
        <x:v>0</x:v>
      </x:c>
      <x:c r="AG210" s="18" t="n">
        <x:v>0</x:v>
      </x:c>
      <x:c r="AH210" s="18" t="n">
        <x:v>0</x:v>
      </x:c>
      <x:c r="AI210" s="18" t="n">
        <x:v>0</x:v>
      </x:c>
      <x:c r="AJ210" s="18" t="n">
        <x:v>12</x:v>
      </x:c>
      <x:c r="AK210" s="18" t="n">
        <x:v>0</x:v>
      </x:c>
      <x:c r="AL210" s="18" t="n">
        <x:v>1</x:v>
      </x:c>
      <x:c r="AM210" s="18" t="n">
        <x:v>17</x:v>
      </x:c>
      <x:c r="AN210" s="18" t="n">
        <x:v>20</x:v>
      </x:c>
      <x:c r="AO210" s="18" t="n">
        <x:v>0</x:v>
      </x:c>
      <x:c r="AP210" s="18" t="n">
        <x:v>0</x:v>
      </x:c>
      <x:c r="AQ210" s="18" t="n">
        <x:v>0</x:v>
      </x:c>
      <x:c r="AR210" s="18" t="n">
        <x:v>0</x:v>
      </x:c>
      <x:c r="AS210" s="18" t="n">
        <x:v>0</x:v>
      </x:c>
      <x:c r="AT210" s="18" t="n">
        <x:v>0</x:v>
      </x:c>
      <x:c r="AU210" s="18" t="n">
        <x:v>13</x:v>
      </x:c>
      <x:c r="AV210" s="18" t="n">
        <x:v>46</x:v>
      </x:c>
      <x:c r="AW210" s="18" t="n">
        <x:v>0</x:v>
      </x:c>
      <x:c r="AX210" s="18" t="n">
        <x:v>0</x:v>
      </x:c>
      <x:c r="AY210" s="18" t="n">
        <x:v>0</x:v>
      </x:c>
      <x:c r="AZ210" s="18" t="n">
        <x:v>0</x:v>
      </x:c>
      <x:c r="BA210" s="18" t="n">
        <x:v>0</x:v>
      </x:c>
      <x:c r="BB210" s="18" t="n">
        <x:v>0</x:v>
      </x:c>
      <x:c r="BC210" s="18" t="n">
        <x:v>0</x:v>
      </x:c>
      <x:c r="BD210" s="18" t="n">
        <x:v>0</x:v>
      </x:c>
      <x:c r="BE210" s="18" t="n">
        <x:v>0</x:v>
      </x:c>
      <x:c r="BF210" s="18" t="n">
        <x:v>0</x:v>
      </x:c>
      <x:c r="BG210" s="18" t="n">
        <x:v>0</x:v>
      </x:c>
    </x:row>
    <x:row r="211">
      <x:c r="A211" s="29" t="str">
        <x:v>283.1</x:v>
      </x:c>
      <x:c r="B211" s="17" t="n">
        <x:v>2886</x:v>
      </x:c>
      <x:c r="C211" s="17" t="str">
        <x:v>בי"ס ליאו בק</x:v>
      </x:c>
      <x:c r="D211" s="17" t="str">
        <x:v>שד גולומב אליהו 4</x:v>
      </x:c>
      <x:c r="E211" s="17" t="str">
        <x:v>גבוה מאוד</x:v>
      </x:c>
      <x:c r="F211" s="18" t="n">
        <x:v>676</x:v>
      </x:c>
      <x:c r="G211" s="18" t="n">
        <x:v>321</x:v>
      </x:c>
      <x:c r="H211" s="19" t="n">
        <x:f>IFERROR(G211/F211,0)</x:f>
        <x:v>0.47485207100591714</x:v>
      </x:c>
      <x:c r="I211" s="18" t="n">
        <x:v>1</x:v>
      </x:c>
      <x:c r="J211" s="18" t="n">
        <x:v>320</x:v>
      </x:c>
      <x:c r="K211" s="18" t="n">
        <x:f>SUM(AM211,BF211,W211,AD211)</x:f>
        <x:v>84</x:v>
      </x:c>
      <x:c r="L211" s="18" t="n">
        <x:f>Q211+R211</x:f>
        <x:v>224</x:v>
      </x:c>
      <x:c r="M211" s="19" t="n">
        <x:f>IFERROR(K211/J211,0)</x:f>
        <x:v>0.2625</x:v>
      </x:c>
      <x:c r="N211" s="19" t="n">
        <x:f>IFERROR(L211/J211,0)</x:f>
        <x:v>0.7</x:v>
      </x:c>
      <x:c r="O211" s="17" t="str">
        <x:f>IF(K211&gt;MAX(L211,S211),"קואליציית ההקמה 2022",IF(L211&gt;MAX(K211,S211),"אופוזיציה רחבה 2022","רשימות אחרות"))</x:f>
        <x:v>אופוזיציה רחבה 2022</x:v>
      </x:c>
      <x:c r="P211" s="17" t="str">
        <x:f>IF(AND(H211&lt;50%,N211&gt;50%),"כן","לא")</x:f>
        <x:v>כן</x:v>
      </x:c>
      <x:c r="Q211" s="18" t="n">
        <x:f>SUM(AV211,AJ211,AL211,T211,AN211)</x:f>
        <x:v>179</x:v>
      </x:c>
      <x:c r="R211" s="18" t="n">
        <x:f>SUM(Y211,AU211,X211)</x:f>
        <x:v>45</x:v>
      </x:c>
      <x:c r="S211" s="18" t="n">
        <x:f>J211-K211-L211</x:f>
        <x:v>12</x:v>
      </x:c>
      <x:c r="T211" s="18" t="n">
        <x:v>18</x:v>
      </x:c>
      <x:c r="U211" s="18" t="n">
        <x:v>4</x:v>
      </x:c>
      <x:c r="V211" s="18" t="n">
        <x:v>2</x:v>
      </x:c>
      <x:c r="W211" s="18" t="n">
        <x:v>4</x:v>
      </x:c>
      <x:c r="X211" s="18" t="n">
        <x:v>17</x:v>
      </x:c>
      <x:c r="Y211" s="18" t="n">
        <x:v>23</x:v>
      </x:c>
      <x:c r="Z211" s="18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18</x:v>
      </x:c>
      <x:c r="AE211" s="18" t="n">
        <x:v>0</x:v>
      </x:c>
      <x:c r="AF211" s="18" t="n">
        <x:v>2</x:v>
      </x:c>
      <x:c r="AG211" s="18" t="n">
        <x:v>0</x:v>
      </x:c>
      <x:c r="AH211" s="18" t="n">
        <x:v>0</x:v>
      </x:c>
      <x:c r="AI211" s="18" t="n">
        <x:v>0</x:v>
      </x:c>
      <x:c r="AJ211" s="18" t="n">
        <x:v>28</x:v>
      </x:c>
      <x:c r="AK211" s="18" t="n">
        <x:v>0</x:v>
      </x:c>
      <x:c r="AL211" s="18" t="n">
        <x:v>39</x:v>
      </x:c>
      <x:c r="AM211" s="18" t="n">
        <x:v>60</x:v>
      </x:c>
      <x:c r="AN211" s="18" t="n">
        <x:v>15</x:v>
      </x:c>
      <x:c r="AO211" s="18" t="n">
        <x:v>0</x:v>
      </x:c>
      <x:c r="AP211" s="18" t="n">
        <x:v>0</x:v>
      </x:c>
      <x:c r="AQ211" s="18" t="n">
        <x:v>0</x:v>
      </x:c>
      <x:c r="AR211" s="18" t="n">
        <x:v>0</x:v>
      </x:c>
      <x:c r="AS211" s="18" t="n">
        <x:v>0</x:v>
      </x:c>
      <x:c r="AT211" s="18" t="n">
        <x:v>0</x:v>
      </x:c>
      <x:c r="AU211" s="18" t="n">
        <x:v>5</x:v>
      </x:c>
      <x:c r="AV211" s="18" t="n">
        <x:v>79</x:v>
      </x:c>
      <x:c r="AW211" s="18" t="n">
        <x:v>0</x:v>
      </x:c>
      <x:c r="AX211" s="18" t="n">
        <x:v>0</x:v>
      </x:c>
      <x:c r="AY211" s="18" t="n">
        <x:v>1</x:v>
      </x:c>
      <x:c r="AZ211" s="18" t="n">
        <x:v>0</x:v>
      </x:c>
      <x:c r="BA211" s="18" t="n">
        <x:v>0</x:v>
      </x:c>
      <x:c r="BB211" s="18" t="n">
        <x:v>0</x:v>
      </x:c>
      <x:c r="BC211" s="18" t="n">
        <x:v>0</x:v>
      </x:c>
      <x:c r="BD211" s="18" t="n">
        <x:v>2</x:v>
      </x:c>
      <x:c r="BE211" s="18" t="n">
        <x:v>1</x:v>
      </x:c>
      <x:c r="BF211" s="18" t="n">
        <x:v>2</x:v>
      </x:c>
      <x:c r="BG211" s="18" t="n">
        <x:v>0</x:v>
      </x:c>
    </x:row>
    <x:row r="212">
      <x:c r="A212" s="29" t="str">
        <x:v>283.2</x:v>
      </x:c>
      <x:c r="B212" s="17" t="n">
        <x:v>2887</x:v>
      </x:c>
      <x:c r="C212" s="17" t="str">
        <x:v>בי"ס ליאו בק</x:v>
      </x:c>
      <x:c r="D212" s="17" t="str">
        <x:v>שד גולומב אליהו 4</x:v>
      </x:c>
      <x:c r="E212" s="17" t="str">
        <x:v>גבוה מאוד</x:v>
      </x:c>
      <x:c r="F212" s="18" t="n">
        <x:v>676</x:v>
      </x:c>
      <x:c r="G212" s="18" t="n">
        <x:v>309</x:v>
      </x:c>
      <x:c r="H212" s="19" t="n">
        <x:f>IFERROR(G212/F212,0)</x:f>
        <x:v>0.45710059171597633</x:v>
      </x:c>
      <x:c r="I212" s="18" t="n">
        <x:v>0</x:v>
      </x:c>
      <x:c r="J212" s="18" t="n">
        <x:v>309</x:v>
      </x:c>
      <x:c r="K212" s="18" t="n">
        <x:f>SUM(AM212,BF212,W212,AD212)</x:f>
        <x:v>74</x:v>
      </x:c>
      <x:c r="L212" s="18" t="n">
        <x:f>Q212+R212</x:f>
        <x:v>229</x:v>
      </x:c>
      <x:c r="M212" s="19" t="n">
        <x:f>IFERROR(K212/J212,0)</x:f>
        <x:v>0.23948220064724918</x:v>
      </x:c>
      <x:c r="N212" s="19" t="n">
        <x:f>IFERROR(L212/J212,0)</x:f>
        <x:v>0.7411003236245954</x:v>
      </x:c>
      <x:c r="O212" s="17" t="str">
        <x:f>IF(K212&gt;MAX(L212,S212),"קואליציית ההקמה 2022",IF(L212&gt;MAX(K212,S212),"אופוזיציה רחבה 2022","רשימות אחרות"))</x:f>
        <x:v>אופוזיציה רחבה 2022</x:v>
      </x:c>
      <x:c r="P212" s="17" t="str">
        <x:f>IF(AND(H212&lt;50%,N212&gt;50%),"כן","לא")</x:f>
        <x:v>כן</x:v>
      </x:c>
      <x:c r="Q212" s="18" t="n">
        <x:f>SUM(AV212,AJ212,AL212,T212,AN212)</x:f>
        <x:v>197</x:v>
      </x:c>
      <x:c r="R212" s="18" t="n">
        <x:f>SUM(Y212,AU212,X212)</x:f>
        <x:v>32</x:v>
      </x:c>
      <x:c r="S212" s="18" t="n">
        <x:f>J212-K212-L212</x:f>
        <x:v>6</x:v>
      </x:c>
      <x:c r="T212" s="18" t="n">
        <x:v>25</x:v>
      </x:c>
      <x:c r="U212" s="18" t="n">
        <x:v>2</x:v>
      </x:c>
      <x:c r="V212" s="18" t="n">
        <x:v>0</x:v>
      </x:c>
      <x:c r="W212" s="18" t="n">
        <x:v>1</x:v>
      </x:c>
      <x:c r="X212" s="18" t="n">
        <x:v>15</x:v>
      </x:c>
      <x:c r="Y212" s="18" t="n">
        <x:v>14</x:v>
      </x:c>
      <x:c r="Z212" s="18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11</x:v>
      </x:c>
      <x:c r="AE212" s="18" t="n">
        <x:v>0</x:v>
      </x:c>
      <x:c r="AF212" s="18" t="n">
        <x:v>0</x:v>
      </x:c>
      <x:c r="AG212" s="18" t="n">
        <x:v>0</x:v>
      </x:c>
      <x:c r="AH212" s="18" t="n">
        <x:v>0</x:v>
      </x:c>
      <x:c r="AI212" s="18" t="n">
        <x:v>0</x:v>
      </x:c>
      <x:c r="AJ212" s="18" t="n">
        <x:v>26</x:v>
      </x:c>
      <x:c r="AK212" s="18" t="n">
        <x:v>0</x:v>
      </x:c>
      <x:c r="AL212" s="18" t="n">
        <x:v>54</x:v>
      </x:c>
      <x:c r="AM212" s="18" t="n">
        <x:v>61</x:v>
      </x:c>
      <x:c r="AN212" s="18" t="n">
        <x:v>16</x:v>
      </x:c>
      <x:c r="AO212" s="18" t="n">
        <x:v>0</x:v>
      </x:c>
      <x:c r="AP212" s="18" t="n">
        <x:v>0</x:v>
      </x:c>
      <x:c r="AQ212" s="18" t="n">
        <x:v>0</x:v>
      </x:c>
      <x:c r="AR212" s="18" t="n">
        <x:v>1</x:v>
      </x:c>
      <x:c r="AS212" s="18" t="n">
        <x:v>0</x:v>
      </x:c>
      <x:c r="AT212" s="18" t="n">
        <x:v>0</x:v>
      </x:c>
      <x:c r="AU212" s="18" t="n">
        <x:v>3</x:v>
      </x:c>
      <x:c r="AV212" s="18" t="n">
        <x:v>76</x:v>
      </x:c>
      <x:c r="AW212" s="18" t="n">
        <x:v>0</x:v>
      </x:c>
      <x:c r="AX212" s="18" t="n">
        <x:v>1</x:v>
      </x:c>
      <x:c r="AY212" s="18" t="n">
        <x:v>1</x:v>
      </x:c>
      <x:c r="AZ212" s="18" t="n">
        <x:v>0</x:v>
      </x:c>
      <x:c r="BA212" s="18" t="n">
        <x:v>0</x:v>
      </x:c>
      <x:c r="BB212" s="18" t="n">
        <x:v>0</x:v>
      </x:c>
      <x:c r="BC212" s="18" t="n">
        <x:v>0</x:v>
      </x:c>
      <x:c r="BD212" s="18" t="n">
        <x:v>1</x:v>
      </x:c>
      <x:c r="BE212" s="18" t="n">
        <x:v>0</x:v>
      </x:c>
      <x:c r="BF212" s="18" t="n">
        <x:v>1</x:v>
      </x:c>
      <x:c r="BG212" s="18" t="n">
        <x:v>0</x:v>
      </x:c>
    </x:row>
    <x:row r="213">
      <x:c r="A213" s="29" t="str">
        <x:v>283.3</x:v>
      </x:c>
      <x:c r="B213" s="17" t="n">
        <x:v>2888</x:v>
      </x:c>
      <x:c r="C213" s="17" t="str">
        <x:v>בי"ס ליאו בק</x:v>
      </x:c>
      <x:c r="D213" s="17" t="str">
        <x:v>שד גולומב אליהו 4</x:v>
      </x:c>
      <x:c r="E213" s="17" t="str">
        <x:v>גבוה מאוד</x:v>
      </x:c>
      <x:c r="F213" s="18" t="n">
        <x:v>676</x:v>
      </x:c>
      <x:c r="G213" s="18" t="n">
        <x:v>296</x:v>
      </x:c>
      <x:c r="H213" s="19" t="n">
        <x:f>IFERROR(G213/F213,0)</x:f>
        <x:v>0.4378698224852071</x:v>
      </x:c>
      <x:c r="I213" s="18" t="n">
        <x:v>0</x:v>
      </x:c>
      <x:c r="J213" s="18" t="n">
        <x:v>296</x:v>
      </x:c>
      <x:c r="K213" s="18" t="n">
        <x:f>SUM(AM213,BF213,W213,AD213)</x:f>
        <x:v>81</x:v>
      </x:c>
      <x:c r="L213" s="18" t="n">
        <x:f>Q213+R213</x:f>
        <x:v>209</x:v>
      </x:c>
      <x:c r="M213" s="19" t="n">
        <x:f>IFERROR(K213/J213,0)</x:f>
        <x:v>0.27364864864864863</x:v>
      </x:c>
      <x:c r="N213" s="19" t="n">
        <x:f>IFERROR(L213/J213,0)</x:f>
        <x:v>0.706081081081081</x:v>
      </x:c>
      <x:c r="O213" s="17" t="str">
        <x:f>IF(K213&gt;MAX(L213,S213),"קואליציית ההקמה 2022",IF(L213&gt;MAX(K213,S213),"אופוזיציה רחבה 2022","רשימות אחרות"))</x:f>
        <x:v>אופוזיציה רחבה 2022</x:v>
      </x:c>
      <x:c r="P213" s="17" t="str">
        <x:f>IF(AND(H213&lt;50%,N213&gt;50%),"כן","לא")</x:f>
        <x:v>כן</x:v>
      </x:c>
      <x:c r="Q213" s="18" t="n">
        <x:f>SUM(AV213,AJ213,AL213,T213,AN213)</x:f>
        <x:v>161</x:v>
      </x:c>
      <x:c r="R213" s="18" t="n">
        <x:f>SUM(Y213,AU213,X213)</x:f>
        <x:v>48</x:v>
      </x:c>
      <x:c r="S213" s="18" t="n">
        <x:f>J213-K213-L213</x:f>
        <x:v>6</x:v>
      </x:c>
      <x:c r="T213" s="18" t="n">
        <x:v>10</x:v>
      </x:c>
      <x:c r="U213" s="18" t="n">
        <x:v>2</x:v>
      </x:c>
      <x:c r="V213" s="18" t="n">
        <x:v>0</x:v>
      </x:c>
      <x:c r="W213" s="18" t="n">
        <x:v>4</x:v>
      </x:c>
      <x:c r="X213" s="18" t="n">
        <x:v>16</x:v>
      </x:c>
      <x:c r="Y213" s="18" t="n">
        <x:v>21</x:v>
      </x:c>
      <x:c r="Z213" s="18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13</x:v>
      </x:c>
      <x:c r="AE213" s="18" t="n">
        <x:v>0</x:v>
      </x:c>
      <x:c r="AF213" s="18" t="n">
        <x:v>1</x:v>
      </x:c>
      <x:c r="AG213" s="18" t="n">
        <x:v>1</x:v>
      </x:c>
      <x:c r="AH213" s="18" t="n">
        <x:v>0</x:v>
      </x:c>
      <x:c r="AI213" s="18" t="n">
        <x:v>0</x:v>
      </x:c>
      <x:c r="AJ213" s="18" t="n">
        <x:v>21</x:v>
      </x:c>
      <x:c r="AK213" s="18" t="n">
        <x:v>0</x:v>
      </x:c>
      <x:c r="AL213" s="18" t="n">
        <x:v>37</x:v>
      </x:c>
      <x:c r="AM213" s="18" t="n">
        <x:v>62</x:v>
      </x:c>
      <x:c r="AN213" s="18" t="n">
        <x:v>16</x:v>
      </x:c>
      <x:c r="AO213" s="18" t="n">
        <x:v>0</x:v>
      </x:c>
      <x:c r="AP213" s="18" t="n">
        <x:v>0</x:v>
      </x:c>
      <x:c r="AQ213" s="18" t="n">
        <x:v>0</x:v>
      </x:c>
      <x:c r="AR213" s="18" t="n">
        <x:v>0</x:v>
      </x:c>
      <x:c r="AS213" s="18" t="n">
        <x:v>0</x:v>
      </x:c>
      <x:c r="AT213" s="18" t="n">
        <x:v>0</x:v>
      </x:c>
      <x:c r="AU213" s="18" t="n">
        <x:v>11</x:v>
      </x:c>
      <x:c r="AV213" s="18" t="n">
        <x:v>77</x:v>
      </x:c>
      <x:c r="AW213" s="18" t="n">
        <x:v>0</x:v>
      </x:c>
      <x:c r="AX213" s="18" t="n">
        <x:v>0</x:v>
      </x:c>
      <x:c r="AY213" s="18" t="n">
        <x:v>0</x:v>
      </x:c>
      <x:c r="AZ213" s="18" t="n">
        <x:v>0</x:v>
      </x:c>
      <x:c r="BA213" s="18" t="n">
        <x:v>0</x:v>
      </x:c>
      <x:c r="BB213" s="18" t="n">
        <x:v>0</x:v>
      </x:c>
      <x:c r="BC213" s="18" t="n">
        <x:v>1</x:v>
      </x:c>
      <x:c r="BD213" s="18" t="n">
        <x:v>1</x:v>
      </x:c>
      <x:c r="BE213" s="18" t="n">
        <x:v>0</x:v>
      </x:c>
      <x:c r="BF213" s="18" t="n">
        <x:v>2</x:v>
      </x:c>
      <x:c r="BG213" s="18" t="n">
        <x:v>0</x:v>
      </x:c>
    </x:row>
    <x:row r="214">
      <x:c r="A214" s="29" t="str">
        <x:v>284</x:v>
      </x:c>
      <x:c r="B214" s="17" t="n">
        <x:v>2889</x:v>
      </x:c>
      <x:c r="C214" s="17" t="str">
        <x:v>בי"ס אורים</x:v>
      </x:c>
      <x:c r="D214" s="17" t="str">
        <x:v>מונטיפיורי 15</x:v>
      </x:c>
      <x:c r="E214" s="17" t="str">
        <x:v>גבוה מאוד</x:v>
      </x:c>
      <x:c r="F214" s="18" t="n">
        <x:v>571</x:v>
      </x:c>
      <x:c r="G214" s="18" t="n">
        <x:v>214</x:v>
      </x:c>
      <x:c r="H214" s="19" t="n">
        <x:f>IFERROR(G214/F214,0)</x:f>
        <x:v>0.37478108581436076</x:v>
      </x:c>
      <x:c r="I214" s="18" t="n">
        <x:v>1</x:v>
      </x:c>
      <x:c r="J214" s="18" t="n">
        <x:v>213</x:v>
      </x:c>
      <x:c r="K214" s="18" t="n">
        <x:f>SUM(AM214,BF214,W214,AD214)</x:f>
        <x:v>61</x:v>
      </x:c>
      <x:c r="L214" s="18" t="n">
        <x:f>Q214+R214</x:f>
        <x:v>142</x:v>
      </x:c>
      <x:c r="M214" s="19" t="n">
        <x:f>IFERROR(K214/J214,0)</x:f>
        <x:v>0.2863849765258216</x:v>
      </x:c>
      <x:c r="N214" s="19" t="n">
        <x:f>IFERROR(L214/J214,0)</x:f>
        <x:v>0.6666666666666666</x:v>
      </x:c>
      <x:c r="O214" s="17" t="str">
        <x:f>IF(K214&gt;MAX(L214,S214),"קואליציית ההקמה 2022",IF(L214&gt;MAX(K214,S214),"אופוזיציה רחבה 2022","רשימות אחרות"))</x:f>
        <x:v>אופוזיציה רחבה 2022</x:v>
      </x:c>
      <x:c r="P214" s="17" t="str">
        <x:f>IF(AND(H214&lt;50%,N214&gt;50%),"כן","לא")</x:f>
        <x:v>כן</x:v>
      </x:c>
      <x:c r="Q214" s="18" t="n">
        <x:f>SUM(AV214,AJ214,AL214,T214,AN214)</x:f>
        <x:v>133</x:v>
      </x:c>
      <x:c r="R214" s="18" t="n">
        <x:f>SUM(Y214,AU214,X214)</x:f>
        <x:v>9</x:v>
      </x:c>
      <x:c r="S214" s="18" t="n">
        <x:f>J214-K214-L214</x:f>
        <x:v>10</x:v>
      </x:c>
      <x:c r="T214" s="18" t="n">
        <x:v>13</x:v>
      </x:c>
      <x:c r="U214" s="18" t="n">
        <x:v>1</x:v>
      </x:c>
      <x:c r="V214" s="18" t="n">
        <x:v>1</x:v>
      </x:c>
      <x:c r="W214" s="18" t="n">
        <x:v>7</x:v>
      </x:c>
      <x:c r="X214" s="18" t="n">
        <x:v>6</x:v>
      </x:c>
      <x:c r="Y214" s="18" t="n">
        <x:v>3</x:v>
      </x:c>
      <x:c r="Z214" s="18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12</x:v>
      </x:c>
      <x:c r="AE214" s="18" t="n">
        <x:v>0</x:v>
      </x:c>
      <x:c r="AF214" s="18" t="n">
        <x:v>0</x:v>
      </x:c>
      <x:c r="AG214" s="18" t="n">
        <x:v>0</x:v>
      </x:c>
      <x:c r="AH214" s="18" t="n">
        <x:v>0</x:v>
      </x:c>
      <x:c r="AI214" s="18" t="n">
        <x:v>0</x:v>
      </x:c>
      <x:c r="AJ214" s="18" t="n">
        <x:v>11</x:v>
      </x:c>
      <x:c r="AK214" s="18" t="n">
        <x:v>0</x:v>
      </x:c>
      <x:c r="AL214" s="18" t="n">
        <x:v>37</x:v>
      </x:c>
      <x:c r="AM214" s="18" t="n">
        <x:v>33</x:v>
      </x:c>
      <x:c r="AN214" s="18" t="n">
        <x:v>20</x:v>
      </x:c>
      <x:c r="AO214" s="18" t="n">
        <x:v>0</x:v>
      </x:c>
      <x:c r="AP214" s="18" t="n">
        <x:v>0</x:v>
      </x:c>
      <x:c r="AQ214" s="18" t="n">
        <x:v>0</x:v>
      </x:c>
      <x:c r="AR214" s="18" t="n">
        <x:v>0</x:v>
      </x:c>
      <x:c r="AS214" s="18" t="n">
        <x:v>0</x:v>
      </x:c>
      <x:c r="AT214" s="18" t="n">
        <x:v>0</x:v>
      </x:c>
      <x:c r="AU214" s="18" t="n">
        <x:v>0</x:v>
      </x:c>
      <x:c r="AV214" s="18" t="n">
        <x:v>52</x:v>
      </x:c>
      <x:c r="AW214" s="18" t="n">
        <x:v>2</x:v>
      </x:c>
      <x:c r="AX214" s="18" t="n">
        <x:v>1</x:v>
      </x:c>
      <x:c r="AY214" s="18" t="n">
        <x:v>0</x:v>
      </x:c>
      <x:c r="AZ214" s="18" t="n">
        <x:v>0</x:v>
      </x:c>
      <x:c r="BA214" s="18" t="n">
        <x:v>0</x:v>
      </x:c>
      <x:c r="BB214" s="18" t="n">
        <x:v>0</x:v>
      </x:c>
      <x:c r="BC214" s="18" t="n">
        <x:v>0</x:v>
      </x:c>
      <x:c r="BD214" s="18" t="n">
        <x:v>4</x:v>
      </x:c>
      <x:c r="BE214" s="18" t="n">
        <x:v>1</x:v>
      </x:c>
      <x:c r="BF214" s="18" t="n">
        <x:v>9</x:v>
      </x:c>
      <x:c r="BG214" s="18" t="n">
        <x:v>0</x:v>
      </x:c>
    </x:row>
    <x:row r="215">
      <x:c r="A215" s="29" t="str">
        <x:v>287.1</x:v>
      </x:c>
      <x:c r="B215" s="17" t="n">
        <x:v>2890</x:v>
      </x:c>
      <x:c r="C215" s="17" t="str">
        <x:v>בי"ס למחוננים</x:v>
      </x:c>
      <x:c r="D215" s="17" t="str">
        <x:v>מסדה 8</x:v>
      </x:c>
      <x:c r="E215" s="17" t="str">
        <x:v>גבוה מאוד</x:v>
      </x:c>
      <x:c r="F215" s="18" t="n">
        <x:v>613</x:v>
      </x:c>
      <x:c r="G215" s="18" t="n">
        <x:v>249</x:v>
      </x:c>
      <x:c r="H215" s="19" t="n">
        <x:f>IFERROR(G215/F215,0)</x:f>
        <x:v>0.4061990212071778</x:v>
      </x:c>
      <x:c r="I215" s="18" t="n">
        <x:v>0</x:v>
      </x:c>
      <x:c r="J215" s="18" t="n">
        <x:v>249</x:v>
      </x:c>
      <x:c r="K215" s="18" t="n">
        <x:f>SUM(AM215,BF215,W215,AD215)</x:f>
        <x:v>74</x:v>
      </x:c>
      <x:c r="L215" s="18" t="n">
        <x:f>Q215+R215</x:f>
        <x:v>171</x:v>
      </x:c>
      <x:c r="M215" s="19" t="n">
        <x:f>IFERROR(K215/J215,0)</x:f>
        <x:v>0.2971887550200803</x:v>
      </x:c>
      <x:c r="N215" s="19" t="n">
        <x:f>IFERROR(L215/J215,0)</x:f>
        <x:v>0.6867469879518072</x:v>
      </x:c>
      <x:c r="O215" s="17" t="str">
        <x:f>IF(K215&gt;MAX(L215,S215),"קואליציית ההקמה 2022",IF(L215&gt;MAX(K215,S215),"אופוזיציה רחבה 2022","רשימות אחרות"))</x:f>
        <x:v>אופוזיציה רחבה 2022</x:v>
      </x:c>
      <x:c r="P215" s="17" t="str">
        <x:f>IF(AND(H215&lt;50%,N215&gt;50%),"כן","לא")</x:f>
        <x:v>כן</x:v>
      </x:c>
      <x:c r="Q215" s="18" t="n">
        <x:f>SUM(AV215,AJ215,AL215,T215,AN215)</x:f>
        <x:v>140</x:v>
      </x:c>
      <x:c r="R215" s="18" t="n">
        <x:f>SUM(Y215,AU215,X215)</x:f>
        <x:v>31</x:v>
      </x:c>
      <x:c r="S215" s="18" t="n">
        <x:f>J215-K215-L215</x:f>
        <x:v>4</x:v>
      </x:c>
      <x:c r="T215" s="18" t="n">
        <x:v>17</x:v>
      </x:c>
      <x:c r="U215" s="18" t="n">
        <x:v>0</x:v>
      </x:c>
      <x:c r="V215" s="18" t="n">
        <x:v>2</x:v>
      </x:c>
      <x:c r="W215" s="18" t="n">
        <x:v>8</x:v>
      </x:c>
      <x:c r="X215" s="18" t="n">
        <x:v>18</x:v>
      </x:c>
      <x:c r="Y215" s="18" t="n">
        <x:v>13</x:v>
      </x:c>
      <x:c r="Z215" s="18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13</x:v>
      </x:c>
      <x:c r="AE215" s="18" t="n">
        <x:v>1</x:v>
      </x:c>
      <x:c r="AF215" s="18" t="n">
        <x:v>1</x:v>
      </x:c>
      <x:c r="AG215" s="18" t="n">
        <x:v>0</x:v>
      </x:c>
      <x:c r="AH215" s="18" t="n">
        <x:v>0</x:v>
      </x:c>
      <x:c r="AI215" s="18" t="n">
        <x:v>0</x:v>
      </x:c>
      <x:c r="AJ215" s="18" t="n">
        <x:v>16</x:v>
      </x:c>
      <x:c r="AK215" s="18" t="n">
        <x:v>0</x:v>
      </x:c>
      <x:c r="AL215" s="18" t="n">
        <x:v>34</x:v>
      </x:c>
      <x:c r="AM215" s="18" t="n">
        <x:v>46</x:v>
      </x:c>
      <x:c r="AN215" s="18" t="n">
        <x:v>32</x:v>
      </x:c>
      <x:c r="AO215" s="18" t="n">
        <x:v>0</x:v>
      </x:c>
      <x:c r="AP215" s="18" t="n">
        <x:v>0</x:v>
      </x:c>
      <x:c r="AQ215" s="18" t="n">
        <x:v>0</x:v>
      </x:c>
      <x:c r="AR215" s="18" t="n">
        <x:v>0</x:v>
      </x:c>
      <x:c r="AS215" s="18" t="n">
        <x:v>0</x:v>
      </x:c>
      <x:c r="AT215" s="18" t="n">
        <x:v>0</x:v>
      </x:c>
      <x:c r="AU215" s="18" t="n">
        <x:v>0</x:v>
      </x:c>
      <x:c r="AV215" s="18" t="n">
        <x:v>41</x:v>
      </x:c>
      <x:c r="AW215" s="18" t="n">
        <x:v>0</x:v>
      </x:c>
      <x:c r="AX215" s="18" t="n">
        <x:v>0</x:v>
      </x:c>
      <x:c r="AY215" s="18" t="n">
        <x:v>0</x:v>
      </x:c>
      <x:c r="AZ215" s="18" t="n">
        <x:v>0</x:v>
      </x:c>
      <x:c r="BA215" s="18" t="n">
        <x:v>0</x:v>
      </x:c>
      <x:c r="BB215" s="18" t="n">
        <x:v>0</x:v>
      </x:c>
      <x:c r="BC215" s="18" t="n">
        <x:v>0</x:v>
      </x:c>
      <x:c r="BD215" s="18" t="n">
        <x:v>0</x:v>
      </x:c>
      <x:c r="BE215" s="18" t="n">
        <x:v>0</x:v>
      </x:c>
      <x:c r="BF215" s="18" t="n">
        <x:v>7</x:v>
      </x:c>
      <x:c r="BG215" s="18" t="n">
        <x:v>0</x:v>
      </x:c>
    </x:row>
    <x:row r="216">
      <x:c r="A216" s="29" t="str">
        <x:v>287.2</x:v>
      </x:c>
      <x:c r="B216" s="17" t="n">
        <x:v>2891</x:v>
      </x:c>
      <x:c r="C216" s="17" t="str">
        <x:v>בי"ס למחוננים</x:v>
      </x:c>
      <x:c r="D216" s="17" t="str">
        <x:v>מסדה 8</x:v>
      </x:c>
      <x:c r="E216" s="17" t="str">
        <x:v>גבוה מאוד</x:v>
      </x:c>
      <x:c r="F216" s="18" t="n">
        <x:v>613</x:v>
      </x:c>
      <x:c r="G216" s="18" t="n">
        <x:v>247</x:v>
      </x:c>
      <x:c r="H216" s="19" t="n">
        <x:f>IFERROR(G216/F216,0)</x:f>
        <x:v>0.4029363784665579</x:v>
      </x:c>
      <x:c r="I216" s="18" t="n">
        <x:v>1</x:v>
      </x:c>
      <x:c r="J216" s="18" t="n">
        <x:v>246</x:v>
      </x:c>
      <x:c r="K216" s="18" t="n">
        <x:f>SUM(AM216,BF216,W216,AD216)</x:f>
        <x:v>71</x:v>
      </x:c>
      <x:c r="L216" s="18" t="n">
        <x:f>Q216+R216</x:f>
        <x:v>168</x:v>
      </x:c>
      <x:c r="M216" s="19" t="n">
        <x:f>IFERROR(K216/J216,0)</x:f>
        <x:v>0.2886178861788618</x:v>
      </x:c>
      <x:c r="N216" s="19" t="n">
        <x:f>IFERROR(L216/J216,0)</x:f>
        <x:v>0.6829268292682927</x:v>
      </x:c>
      <x:c r="O216" s="17" t="str">
        <x:f>IF(K216&gt;MAX(L216,S216),"קואליציית ההקמה 2022",IF(L216&gt;MAX(K216,S216),"אופוזיציה רחבה 2022","רשימות אחרות"))</x:f>
        <x:v>אופוזיציה רחבה 2022</x:v>
      </x:c>
      <x:c r="P216" s="17" t="str">
        <x:f>IF(AND(H216&lt;50%,N216&gt;50%),"כן","לא")</x:f>
        <x:v>כן</x:v>
      </x:c>
      <x:c r="Q216" s="18" t="n">
        <x:f>SUM(AV216,AJ216,AL216,T216,AN216)</x:f>
        <x:v>131</x:v>
      </x:c>
      <x:c r="R216" s="18" t="n">
        <x:f>SUM(Y216,AU216,X216)</x:f>
        <x:v>37</x:v>
      </x:c>
      <x:c r="S216" s="18" t="n">
        <x:f>J216-K216-L216</x:f>
        <x:v>7</x:v>
      </x:c>
      <x:c r="T216" s="18" t="n">
        <x:v>23</x:v>
      </x:c>
      <x:c r="U216" s="18" t="n">
        <x:v>1</x:v>
      </x:c>
      <x:c r="V216" s="18" t="n">
        <x:v>1</x:v>
      </x:c>
      <x:c r="W216" s="18" t="n">
        <x:v>11</x:v>
      </x:c>
      <x:c r="X216" s="18" t="n">
        <x:v>10</x:v>
      </x:c>
      <x:c r="Y216" s="18" t="n">
        <x:v>25</x:v>
      </x:c>
      <x:c r="Z216" s="18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9</x:v>
      </x:c>
      <x:c r="AE216" s="18" t="n">
        <x:v>1</x:v>
      </x:c>
      <x:c r="AF216" s="18" t="n">
        <x:v>1</x:v>
      </x:c>
      <x:c r="AG216" s="18" t="n">
        <x:v>0</x:v>
      </x:c>
      <x:c r="AH216" s="18" t="n">
        <x:v>0</x:v>
      </x:c>
      <x:c r="AI216" s="18" t="n">
        <x:v>0</x:v>
      </x:c>
      <x:c r="AJ216" s="18" t="n">
        <x:v>8</x:v>
      </x:c>
      <x:c r="AK216" s="18" t="n">
        <x:v>0</x:v>
      </x:c>
      <x:c r="AL216" s="18" t="n">
        <x:v>28</x:v>
      </x:c>
      <x:c r="AM216" s="18" t="n">
        <x:v>38</x:v>
      </x:c>
      <x:c r="AN216" s="18" t="n">
        <x:v>18</x:v>
      </x:c>
      <x:c r="AO216" s="18" t="n">
        <x:v>0</x:v>
      </x:c>
      <x:c r="AP216" s="18" t="n">
        <x:v>1</x:v>
      </x:c>
      <x:c r="AQ216" s="18" t="n">
        <x:v>0</x:v>
      </x:c>
      <x:c r="AR216" s="18" t="n">
        <x:v>1</x:v>
      </x:c>
      <x:c r="AS216" s="18" t="n">
        <x:v>0</x:v>
      </x:c>
      <x:c r="AT216" s="18" t="n">
        <x:v>0</x:v>
      </x:c>
      <x:c r="AU216" s="18" t="n">
        <x:v>2</x:v>
      </x:c>
      <x:c r="AV216" s="18" t="n">
        <x:v>54</x:v>
      </x:c>
      <x:c r="AW216" s="18" t="n">
        <x:v>1</x:v>
      </x:c>
      <x:c r="AX216" s="18" t="n">
        <x:v>0</x:v>
      </x:c>
      <x:c r="AY216" s="18" t="n">
        <x:v>0</x:v>
      </x:c>
      <x:c r="AZ216" s="18" t="n">
        <x:v>0</x:v>
      </x:c>
      <x:c r="BA216" s="18" t="n">
        <x:v>0</x:v>
      </x:c>
      <x:c r="BB216" s="18" t="n">
        <x:v>0</x:v>
      </x:c>
      <x:c r="BC216" s="18" t="n">
        <x:v>0</x:v>
      </x:c>
      <x:c r="BD216" s="18" t="n">
        <x:v>0</x:v>
      </x:c>
      <x:c r="BE216" s="18" t="n">
        <x:v>0</x:v>
      </x:c>
      <x:c r="BF216" s="18" t="n">
        <x:v>13</x:v>
      </x:c>
      <x:c r="BG216" s="18" t="n">
        <x:v>0</x:v>
      </x:c>
    </x:row>
    <x:row r="217">
      <x:c r="A217" s="29" t="str">
        <x:v>287.3</x:v>
      </x:c>
      <x:c r="B217" s="17" t="n">
        <x:v>2892</x:v>
      </x:c>
      <x:c r="C217" s="17" t="str">
        <x:v>בי"ס למחוננים</x:v>
      </x:c>
      <x:c r="D217" s="17" t="str">
        <x:v>מסדה 8</x:v>
      </x:c>
      <x:c r="E217" s="17" t="str">
        <x:v>גבוה מאוד</x:v>
      </x:c>
      <x:c r="F217" s="18" t="n">
        <x:v>613</x:v>
      </x:c>
      <x:c r="G217" s="18" t="n">
        <x:v>239</x:v>
      </x:c>
      <x:c r="H217" s="19" t="n">
        <x:f>IFERROR(G217/F217,0)</x:f>
        <x:v>0.3898858075040783</x:v>
      </x:c>
      <x:c r="I217" s="18" t="n">
        <x:v>5</x:v>
      </x:c>
      <x:c r="J217" s="18" t="n">
        <x:v>234</x:v>
      </x:c>
      <x:c r="K217" s="18" t="n">
        <x:f>SUM(AM217,BF217,W217,AD217)</x:f>
        <x:v>62</x:v>
      </x:c>
      <x:c r="L217" s="18" t="n">
        <x:f>Q217+R217</x:f>
        <x:v>168</x:v>
      </x:c>
      <x:c r="M217" s="19" t="n">
        <x:f>IFERROR(K217/J217,0)</x:f>
        <x:v>0.26495726495726496</x:v>
      </x:c>
      <x:c r="N217" s="19" t="n">
        <x:f>IFERROR(L217/J217,0)</x:f>
        <x:v>0.717948717948718</x:v>
      </x:c>
      <x:c r="O217" s="17" t="str">
        <x:f>IF(K217&gt;MAX(L217,S217),"קואליציית ההקמה 2022",IF(L217&gt;MAX(K217,S217),"אופוזיציה רחבה 2022","רשימות אחרות"))</x:f>
        <x:v>אופוזיציה רחבה 2022</x:v>
      </x:c>
      <x:c r="P217" s="17" t="str">
        <x:f>IF(AND(H217&lt;50%,N217&gt;50%),"כן","לא")</x:f>
        <x:v>כן</x:v>
      </x:c>
      <x:c r="Q217" s="18" t="n">
        <x:f>SUM(AV217,AJ217,AL217,T217,AN217)</x:f>
        <x:v>132</x:v>
      </x:c>
      <x:c r="R217" s="18" t="n">
        <x:f>SUM(Y217,AU217,X217)</x:f>
        <x:v>36</x:v>
      </x:c>
      <x:c r="S217" s="18" t="n">
        <x:f>J217-K217-L217</x:f>
        <x:v>4</x:v>
      </x:c>
      <x:c r="T217" s="18" t="n">
        <x:v>15</x:v>
      </x:c>
      <x:c r="U217" s="18" t="n">
        <x:v>0</x:v>
      </x:c>
      <x:c r="V217" s="18" t="n">
        <x:v>0</x:v>
      </x:c>
      <x:c r="W217" s="18" t="n">
        <x:v>9</x:v>
      </x:c>
      <x:c r="X217" s="18" t="n">
        <x:v>5</x:v>
      </x:c>
      <x:c r="Y217" s="18" t="n">
        <x:v>26</x:v>
      </x:c>
      <x:c r="Z217" s="18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9</x:v>
      </x:c>
      <x:c r="AE217" s="18" t="n">
        <x:v>0</x:v>
      </x:c>
      <x:c r="AF217" s="18" t="n">
        <x:v>0</x:v>
      </x:c>
      <x:c r="AG217" s="18" t="n">
        <x:v>0</x:v>
      </x:c>
      <x:c r="AH217" s="18" t="n">
        <x:v>0</x:v>
      </x:c>
      <x:c r="AI217" s="18" t="n">
        <x:v>0</x:v>
      </x:c>
      <x:c r="AJ217" s="18" t="n">
        <x:v>11</x:v>
      </x:c>
      <x:c r="AK217" s="18" t="n">
        <x:v>0</x:v>
      </x:c>
      <x:c r="AL217" s="18" t="n">
        <x:v>34</x:v>
      </x:c>
      <x:c r="AM217" s="18" t="n">
        <x:v>35</x:v>
      </x:c>
      <x:c r="AN217" s="18" t="n">
        <x:v>33</x:v>
      </x:c>
      <x:c r="AO217" s="18" t="n">
        <x:v>0</x:v>
      </x:c>
      <x:c r="AP217" s="18" t="n">
        <x:v>1</x:v>
      </x:c>
      <x:c r="AQ217" s="18" t="n">
        <x:v>0</x:v>
      </x:c>
      <x:c r="AR217" s="18" t="n">
        <x:v>0</x:v>
      </x:c>
      <x:c r="AS217" s="18" t="n">
        <x:v>0</x:v>
      </x:c>
      <x:c r="AT217" s="18" t="n">
        <x:v>0</x:v>
      </x:c>
      <x:c r="AU217" s="18" t="n">
        <x:v>5</x:v>
      </x:c>
      <x:c r="AV217" s="18" t="n">
        <x:v>39</x:v>
      </x:c>
      <x:c r="AW217" s="18" t="n">
        <x:v>0</x:v>
      </x:c>
      <x:c r="AX217" s="18" t="n">
        <x:v>1</x:v>
      </x:c>
      <x:c r="AY217" s="18" t="n">
        <x:v>0</x:v>
      </x:c>
      <x:c r="AZ217" s="18" t="n">
        <x:v>0</x:v>
      </x:c>
      <x:c r="BA217" s="18" t="n">
        <x:v>0</x:v>
      </x:c>
      <x:c r="BB217" s="18" t="n">
        <x:v>0</x:v>
      </x:c>
      <x:c r="BC217" s="18" t="n">
        <x:v>0</x:v>
      </x:c>
      <x:c r="BD217" s="18" t="n">
        <x:v>2</x:v>
      </x:c>
      <x:c r="BE217" s="18" t="n">
        <x:v>0</x:v>
      </x:c>
      <x:c r="BF217" s="18" t="n">
        <x:v>9</x:v>
      </x:c>
      <x:c r="BG217" s="18" t="n">
        <x:v>0</x:v>
      </x:c>
    </x:row>
    <x:row r="218">
      <x:c r="A218" s="29" t="str">
        <x:v>287.4</x:v>
      </x:c>
      <x:c r="B218" s="17" t="n">
        <x:v>2893</x:v>
      </x:c>
      <x:c r="C218" s="17" t="str">
        <x:v>בי"ס למחוננים</x:v>
      </x:c>
      <x:c r="D218" s="17" t="str">
        <x:v>מסדה 8</x:v>
      </x:c>
      <x:c r="E218" s="17" t="str">
        <x:v>גבוה מאוד</x:v>
      </x:c>
      <x:c r="F218" s="18" t="n">
        <x:v>613</x:v>
      </x:c>
      <x:c r="G218" s="18" t="n">
        <x:v>238</x:v>
      </x:c>
      <x:c r="H218" s="19" t="n">
        <x:f>IFERROR(G218/F218,0)</x:f>
        <x:v>0.38825448613376834</x:v>
      </x:c>
      <x:c r="I218" s="18" t="n">
        <x:v>2</x:v>
      </x:c>
      <x:c r="J218" s="18" t="n">
        <x:v>236</x:v>
      </x:c>
      <x:c r="K218" s="18" t="n">
        <x:f>SUM(AM218,BF218,W218,AD218)</x:f>
        <x:v>51</x:v>
      </x:c>
      <x:c r="L218" s="18" t="n">
        <x:f>Q218+R218</x:f>
        <x:v>175</x:v>
      </x:c>
      <x:c r="M218" s="19" t="n">
        <x:f>IFERROR(K218/J218,0)</x:f>
        <x:v>0.21610169491525424</x:v>
      </x:c>
      <x:c r="N218" s="19" t="n">
        <x:f>IFERROR(L218/J218,0)</x:f>
        <x:v>0.7415254237288136</x:v>
      </x:c>
      <x:c r="O218" s="17" t="str">
        <x:f>IF(K218&gt;MAX(L218,S218),"קואליציית ההקמה 2022",IF(L218&gt;MAX(K218,S218),"אופוזיציה רחבה 2022","רשימות אחרות"))</x:f>
        <x:v>אופוזיציה רחבה 2022</x:v>
      </x:c>
      <x:c r="P218" s="17" t="str">
        <x:f>IF(AND(H218&lt;50%,N218&gt;50%),"כן","לא")</x:f>
        <x:v>כן</x:v>
      </x:c>
      <x:c r="Q218" s="18" t="n">
        <x:f>SUM(AV218,AJ218,AL218,T218,AN218)</x:f>
        <x:v>133</x:v>
      </x:c>
      <x:c r="R218" s="18" t="n">
        <x:f>SUM(Y218,AU218,X218)</x:f>
        <x:v>42</x:v>
      </x:c>
      <x:c r="S218" s="18" t="n">
        <x:f>J218-K218-L218</x:f>
        <x:v>10</x:v>
      </x:c>
      <x:c r="T218" s="18" t="n">
        <x:v>16</x:v>
      </x:c>
      <x:c r="U218" s="18" t="n">
        <x:v>1</x:v>
      </x:c>
      <x:c r="V218" s="18" t="n">
        <x:v>0</x:v>
      </x:c>
      <x:c r="W218" s="18" t="n">
        <x:v>8</x:v>
      </x:c>
      <x:c r="X218" s="18" t="n">
        <x:v>13</x:v>
      </x:c>
      <x:c r="Y218" s="18" t="n">
        <x:v>25</x:v>
      </x:c>
      <x:c r="Z218" s="18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6</x:v>
      </x:c>
      <x:c r="AE218" s="18" t="n">
        <x:v>0</x:v>
      </x:c>
      <x:c r="AF218" s="18" t="n">
        <x:v>1</x:v>
      </x:c>
      <x:c r="AG218" s="18" t="n">
        <x:v>0</x:v>
      </x:c>
      <x:c r="AH218" s="18" t="n">
        <x:v>0</x:v>
      </x:c>
      <x:c r="AI218" s="18" t="n">
        <x:v>0</x:v>
      </x:c>
      <x:c r="AJ218" s="18" t="n">
        <x:v>7</x:v>
      </x:c>
      <x:c r="AK218" s="18" t="n">
        <x:v>1</x:v>
      </x:c>
      <x:c r="AL218" s="18" t="n">
        <x:v>41</x:v>
      </x:c>
      <x:c r="AM218" s="18" t="n">
        <x:v>35</x:v>
      </x:c>
      <x:c r="AN218" s="18" t="n">
        <x:v>30</x:v>
      </x:c>
      <x:c r="AO218" s="18" t="n">
        <x:v>0</x:v>
      </x:c>
      <x:c r="AP218" s="18" t="n">
        <x:v>0</x:v>
      </x:c>
      <x:c r="AQ218" s="18" t="n">
        <x:v>0</x:v>
      </x:c>
      <x:c r="AR218" s="18" t="n">
        <x:v>0</x:v>
      </x:c>
      <x:c r="AS218" s="18" t="n">
        <x:v>0</x:v>
      </x:c>
      <x:c r="AT218" s="18" t="n">
        <x:v>0</x:v>
      </x:c>
      <x:c r="AU218" s="18" t="n">
        <x:v>4</x:v>
      </x:c>
      <x:c r="AV218" s="18" t="n">
        <x:v>39</x:v>
      </x:c>
      <x:c r="AW218" s="18" t="n">
        <x:v>0</x:v>
      </x:c>
      <x:c r="AX218" s="18" t="n">
        <x:v>2</x:v>
      </x:c>
      <x:c r="AY218" s="18" t="n">
        <x:v>0</x:v>
      </x:c>
      <x:c r="AZ218" s="18" t="n">
        <x:v>1</x:v>
      </x:c>
      <x:c r="BA218" s="18" t="n">
        <x:v>0</x:v>
      </x:c>
      <x:c r="BB218" s="18" t="n">
        <x:v>0</x:v>
      </x:c>
      <x:c r="BC218" s="18" t="n">
        <x:v>0</x:v>
      </x:c>
      <x:c r="BD218" s="18" t="n">
        <x:v>3</x:v>
      </x:c>
      <x:c r="BE218" s="18" t="n">
        <x:v>0</x:v>
      </x:c>
      <x:c r="BF218" s="18" t="n">
        <x:v>2</x:v>
      </x:c>
      <x:c r="BG218" s="18" t="n">
        <x:v>1</x:v>
      </x:c>
    </x:row>
    <x:row r="219">
      <x:c r="A219" s="29" t="str">
        <x:v>287.5</x:v>
      </x:c>
      <x:c r="B219" s="17" t="n">
        <x:v>2894</x:v>
      </x:c>
      <x:c r="C219" s="17" t="str">
        <x:v>בי"ס למחוננים</x:v>
      </x:c>
      <x:c r="D219" s="17" t="str">
        <x:v>מסדה 8</x:v>
      </x:c>
      <x:c r="E219" s="17" t="str">
        <x:v>גבוה מאוד</x:v>
      </x:c>
      <x:c r="F219" s="18" t="n">
        <x:v>610</x:v>
      </x:c>
      <x:c r="G219" s="18" t="n">
        <x:v>233</x:v>
      </x:c>
      <x:c r="H219" s="19" t="n">
        <x:f>IFERROR(G219/F219,0)</x:f>
        <x:v>0.3819672131147541</x:v>
      </x:c>
      <x:c r="I219" s="18" t="n">
        <x:v>1</x:v>
      </x:c>
      <x:c r="J219" s="18" t="n">
        <x:v>232</x:v>
      </x:c>
      <x:c r="K219" s="18" t="n">
        <x:f>SUM(AM219,BF219,W219,AD219)</x:f>
        <x:v>73</x:v>
      </x:c>
      <x:c r="L219" s="18" t="n">
        <x:f>Q219+R219</x:f>
        <x:v>154</x:v>
      </x:c>
      <x:c r="M219" s="19" t="n">
        <x:f>IFERROR(K219/J219,0)</x:f>
        <x:v>0.3146551724137931</x:v>
      </x:c>
      <x:c r="N219" s="19" t="n">
        <x:f>IFERROR(L219/J219,0)</x:f>
        <x:v>0.6637931034482759</x:v>
      </x:c>
      <x:c r="O219" s="17" t="str">
        <x:f>IF(K219&gt;MAX(L219,S219),"קואליציית ההקמה 2022",IF(L219&gt;MAX(K219,S219),"אופוזיציה רחבה 2022","רשימות אחרות"))</x:f>
        <x:v>אופוזיציה רחבה 2022</x:v>
      </x:c>
      <x:c r="P219" s="17" t="str">
        <x:f>IF(AND(H219&lt;50%,N219&gt;50%),"כן","לא")</x:f>
        <x:v>כן</x:v>
      </x:c>
      <x:c r="Q219" s="18" t="n">
        <x:f>SUM(AV219,AJ219,AL219,T219,AN219)</x:f>
        <x:v>130</x:v>
      </x:c>
      <x:c r="R219" s="18" t="n">
        <x:f>SUM(Y219,AU219,X219)</x:f>
        <x:v>24</x:v>
      </x:c>
      <x:c r="S219" s="18" t="n">
        <x:f>J219-K219-L219</x:f>
        <x:v>5</x:v>
      </x:c>
      <x:c r="T219" s="18" t="n">
        <x:v>25</x:v>
      </x:c>
      <x:c r="U219" s="18" t="n">
        <x:v>1</x:v>
      </x:c>
      <x:c r="V219" s="18" t="n">
        <x:v>1</x:v>
      </x:c>
      <x:c r="W219" s="18" t="n">
        <x:v>7</x:v>
      </x:c>
      <x:c r="X219" s="18" t="n">
        <x:v>8</x:v>
      </x:c>
      <x:c r="Y219" s="18" t="n">
        <x:v>14</x:v>
      </x:c>
      <x:c r="Z219" s="18" t="n">
        <x:v>1</x:v>
      </x:c>
      <x:c r="AA219" s="18" t="n">
        <x:v>0</x:v>
      </x:c>
      <x:c r="AB219" s="18" t="n">
        <x:v>0</x:v>
      </x:c>
      <x:c r="AC219" s="18" t="n">
        <x:v>0</x:v>
      </x:c>
      <x:c r="AD219" s="18" t="n">
        <x:v>16</x:v>
      </x:c>
      <x:c r="AE219" s="18" t="n">
        <x:v>0</x:v>
      </x:c>
      <x:c r="AF219" s="18" t="n">
        <x:v>0</x:v>
      </x:c>
      <x:c r="AG219" s="18" t="n">
        <x:v>0</x:v>
      </x:c>
      <x:c r="AH219" s="18" t="n">
        <x:v>0</x:v>
      </x:c>
      <x:c r="AI219" s="18" t="n">
        <x:v>0</x:v>
      </x:c>
      <x:c r="AJ219" s="18" t="n">
        <x:v>9</x:v>
      </x:c>
      <x:c r="AK219" s="18" t="n">
        <x:v>0</x:v>
      </x:c>
      <x:c r="AL219" s="18" t="n">
        <x:v>36</x:v>
      </x:c>
      <x:c r="AM219" s="18" t="n">
        <x:v>43</x:v>
      </x:c>
      <x:c r="AN219" s="18" t="n">
        <x:v>26</x:v>
      </x:c>
      <x:c r="AO219" s="18" t="n">
        <x:v>0</x:v>
      </x:c>
      <x:c r="AP219" s="18" t="n">
        <x:v>0</x:v>
      </x:c>
      <x:c r="AQ219" s="18" t="n">
        <x:v>0</x:v>
      </x:c>
      <x:c r="AR219" s="18" t="n">
        <x:v>0</x:v>
      </x:c>
      <x:c r="AS219" s="18" t="n">
        <x:v>0</x:v>
      </x:c>
      <x:c r="AT219" s="18" t="n">
        <x:v>0</x:v>
      </x:c>
      <x:c r="AU219" s="18" t="n">
        <x:v>2</x:v>
      </x:c>
      <x:c r="AV219" s="18" t="n">
        <x:v>34</x:v>
      </x:c>
      <x:c r="AW219" s="18" t="n">
        <x:v>0</x:v>
      </x:c>
      <x:c r="AX219" s="18" t="n">
        <x:v>0</x:v>
      </x:c>
      <x:c r="AY219" s="18" t="n">
        <x:v>0</x:v>
      </x:c>
      <x:c r="AZ219" s="18" t="n">
        <x:v>0</x:v>
      </x:c>
      <x:c r="BA219" s="18" t="n">
        <x:v>0</x:v>
      </x:c>
      <x:c r="BB219" s="18" t="n">
        <x:v>0</x:v>
      </x:c>
      <x:c r="BC219" s="18" t="n">
        <x:v>0</x:v>
      </x:c>
      <x:c r="BD219" s="18" t="n">
        <x:v>1</x:v>
      </x:c>
      <x:c r="BE219" s="18" t="n">
        <x:v>0</x:v>
      </x:c>
      <x:c r="BF219" s="18" t="n">
        <x:v>7</x:v>
      </x:c>
      <x:c r="BG219" s="18" t="n">
        <x:v>1</x:v>
      </x:c>
    </x:row>
    <x:row r="220">
      <x:c r="A220" s="29" t="str">
        <x:v>290</x:v>
      </x:c>
      <x:c r="B220" s="17" t="n">
        <x:v>2831</x:v>
      </x:c>
      <x:c r="C220" s="17" t="str">
        <x:v>מתנ"ס הדר ע"ש גולד ושנפלד</x:v>
      </x:c>
      <x:c r="D220" s="17" t="str">
        <x:v>טבריה 15</x:v>
      </x:c>
      <x:c r="E220" s="17" t="str">
        <x:v>גבוה מאוד</x:v>
      </x:c>
      <x:c r="F220" s="18" t="n">
        <x:v>657</x:v>
      </x:c>
      <x:c r="G220" s="18" t="n">
        <x:v>313</x:v>
      </x:c>
      <x:c r="H220" s="19" t="n">
        <x:f>IFERROR(G220/F220,0)</x:f>
        <x:v>0.4764079147640791</x:v>
      </x:c>
      <x:c r="I220" s="18" t="n">
        <x:v>4</x:v>
      </x:c>
      <x:c r="J220" s="18" t="n">
        <x:v>309</x:v>
      </x:c>
      <x:c r="K220" s="18" t="n">
        <x:f>SUM(AM220,BF220,W220,AD220)</x:f>
        <x:v>25</x:v>
      </x:c>
      <x:c r="L220" s="18" t="n">
        <x:f>Q220+R220</x:f>
        <x:v>281</x:v>
      </x:c>
      <x:c r="M220" s="19" t="n">
        <x:f>IFERROR(K220/J220,0)</x:f>
        <x:v>0.08090614886731391</x:v>
      </x:c>
      <x:c r="N220" s="19" t="n">
        <x:f>IFERROR(L220/J220,0)</x:f>
        <x:v>0.9093851132686084</x:v>
      </x:c>
      <x:c r="O220" s="17" t="str">
        <x:f>IF(K220&gt;MAX(L220,S220),"קואליציית ההקמה 2022",IF(L220&gt;MAX(K220,S220),"אופוזיציה רחבה 2022","רשימות אחרות"))</x:f>
        <x:v>אופוזיציה רחבה 2022</x:v>
      </x:c>
      <x:c r="P220" s="17" t="str">
        <x:f>IF(AND(H220&lt;50%,N220&gt;50%),"כן","לא")</x:f>
        <x:v>כן</x:v>
      </x:c>
      <x:c r="Q220" s="18" t="n">
        <x:f>SUM(AV220,AJ220,AL220,T220,AN220)</x:f>
        <x:v>108</x:v>
      </x:c>
      <x:c r="R220" s="18" t="n">
        <x:f>SUM(Y220,AU220,X220)</x:f>
        <x:v>173</x:v>
      </x:c>
      <x:c r="S220" s="18" t="n">
        <x:f>J220-K220-L220</x:f>
        <x:v>3</x:v>
      </x:c>
      <x:c r="T220" s="18" t="n">
        <x:v>18</x:v>
      </x:c>
      <x:c r="U220" s="18" t="n">
        <x:v>1</x:v>
      </x:c>
      <x:c r="V220" s="18" t="n">
        <x:v>0</x:v>
      </x:c>
      <x:c r="W220" s="18" t="n">
        <x:v>0</x:v>
      </x:c>
      <x:c r="X220" s="18" t="n">
        <x:v>58</x:v>
      </x:c>
      <x:c r="Y220" s="18" t="n">
        <x:v>103</x:v>
      </x:c>
      <x:c r="Z220" s="18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2</x:v>
      </x:c>
      <x:c r="AE220" s="18" t="n">
        <x:v>0</x:v>
      </x:c>
      <x:c r="AF220" s="18" t="n">
        <x:v>1</x:v>
      </x:c>
      <x:c r="AG220" s="18" t="n">
        <x:v>0</x:v>
      </x:c>
      <x:c r="AH220" s="18" t="n">
        <x:v>0</x:v>
      </x:c>
      <x:c r="AI220" s="18" t="n">
        <x:v>0</x:v>
      </x:c>
      <x:c r="AJ220" s="18" t="n">
        <x:v>12</x:v>
      </x:c>
      <x:c r="AK220" s="18" t="n">
        <x:v>0</x:v>
      </x:c>
      <x:c r="AL220" s="18" t="n">
        <x:v>17</x:v>
      </x:c>
      <x:c r="AM220" s="18" t="n">
        <x:v>22</x:v>
      </x:c>
      <x:c r="AN220" s="18" t="n">
        <x:v>25</x:v>
      </x:c>
      <x:c r="AO220" s="18" t="n">
        <x:v>0</x:v>
      </x:c>
      <x:c r="AP220" s="18" t="n">
        <x:v>0</x:v>
      </x:c>
      <x:c r="AQ220" s="18" t="n">
        <x:v>0</x:v>
      </x:c>
      <x:c r="AR220" s="18" t="n">
        <x:v>0</x:v>
      </x:c>
      <x:c r="AS220" s="18" t="n">
        <x:v>0</x:v>
      </x:c>
      <x:c r="AT220" s="18" t="n">
        <x:v>0</x:v>
      </x:c>
      <x:c r="AU220" s="18" t="n">
        <x:v>12</x:v>
      </x:c>
      <x:c r="AV220" s="18" t="n">
        <x:v>36</x:v>
      </x:c>
      <x:c r="AW220" s="18" t="n">
        <x:v>1</x:v>
      </x:c>
      <x:c r="AX220" s="18" t="n">
        <x:v>0</x:v>
      </x:c>
      <x:c r="AY220" s="18" t="n">
        <x:v>0</x:v>
      </x:c>
      <x:c r="AZ220" s="18" t="n">
        <x:v>0</x:v>
      </x:c>
      <x:c r="BA220" s="18" t="n">
        <x:v>0</x:v>
      </x:c>
      <x:c r="BB220" s="18" t="n">
        <x:v>0</x:v>
      </x:c>
      <x:c r="BC220" s="18" t="n">
        <x:v>0</x:v>
      </x:c>
      <x:c r="BD220" s="18" t="n">
        <x:v>0</x:v>
      </x:c>
      <x:c r="BE220" s="18" t="n">
        <x:v>0</x:v>
      </x:c>
      <x:c r="BF220" s="18" t="n">
        <x:v>1</x:v>
      </x:c>
      <x:c r="BG220" s="18" t="n">
        <x:v>0</x:v>
      </x:c>
    </x:row>
    <x:row r="221">
      <x:c r="A221" s="29" t="str">
        <x:v>291</x:v>
      </x:c>
      <x:c r="B221" s="17" t="n">
        <x:v>2832</x:v>
      </x:c>
      <x:c r="C221" s="17" t="str">
        <x:v>מתנ"ס הדר ע"ש גולד ושנפלד</x:v>
      </x:c>
      <x:c r="D221" s="17" t="str">
        <x:v>טבריה 15</x:v>
      </x:c>
      <x:c r="E221" s="17" t="str">
        <x:v>גבוה מאוד</x:v>
      </x:c>
      <x:c r="F221" s="18" t="n">
        <x:v>556</x:v>
      </x:c>
      <x:c r="G221" s="18" t="n">
        <x:v>226</x:v>
      </x:c>
      <x:c r="H221" s="19" t="n">
        <x:f>IFERROR(G221/F221,0)</x:f>
        <x:v>0.4064748201438849</x:v>
      </x:c>
      <x:c r="I221" s="18" t="n">
        <x:v>1</x:v>
      </x:c>
      <x:c r="J221" s="18" t="n">
        <x:v>225</x:v>
      </x:c>
      <x:c r="K221" s="18" t="n">
        <x:f>SUM(AM221,BF221,W221,AD221)</x:f>
        <x:v>39</x:v>
      </x:c>
      <x:c r="L221" s="18" t="n">
        <x:f>Q221+R221</x:f>
        <x:v>176</x:v>
      </x:c>
      <x:c r="M221" s="19" t="n">
        <x:f>IFERROR(K221/J221,0)</x:f>
        <x:v>0.17333333333333334</x:v>
      </x:c>
      <x:c r="N221" s="19" t="n">
        <x:f>IFERROR(L221/J221,0)</x:f>
        <x:v>0.7822222222222223</x:v>
      </x:c>
      <x:c r="O221" s="17" t="str">
        <x:f>IF(K221&gt;MAX(L221,S221),"קואליציית ההקמה 2022",IF(L221&gt;MAX(K221,S221),"אופוזיציה רחבה 2022","רשימות אחרות"))</x:f>
        <x:v>אופוזיציה רחבה 2022</x:v>
      </x:c>
      <x:c r="P221" s="17" t="str">
        <x:f>IF(AND(H221&lt;50%,N221&gt;50%),"כן","לא")</x:f>
        <x:v>כן</x:v>
      </x:c>
      <x:c r="Q221" s="18" t="n">
        <x:f>SUM(AV221,AJ221,AL221,T221,AN221)</x:f>
        <x:v>95</x:v>
      </x:c>
      <x:c r="R221" s="18" t="n">
        <x:f>SUM(Y221,AU221,X221)</x:f>
        <x:v>81</x:v>
      </x:c>
      <x:c r="S221" s="18" t="n">
        <x:f>J221-K221-L221</x:f>
        <x:v>10</x:v>
      </x:c>
      <x:c r="T221" s="18" t="n">
        <x:v>19</x:v>
      </x:c>
      <x:c r="U221" s="18" t="n">
        <x:v>0</x:v>
      </x:c>
      <x:c r="V221" s="18" t="n">
        <x:v>2</x:v>
      </x:c>
      <x:c r="W221" s="18" t="n">
        <x:v>2</x:v>
      </x:c>
      <x:c r="X221" s="18" t="n">
        <x:v>32</x:v>
      </x:c>
      <x:c r="Y221" s="18" t="n">
        <x:v>43</x:v>
      </x:c>
      <x:c r="Z221" s="18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3</x:v>
      </x:c>
      <x:c r="AE221" s="18" t="n">
        <x:v>0</x:v>
      </x:c>
      <x:c r="AF221" s="18" t="n">
        <x:v>2</x:v>
      </x:c>
      <x:c r="AG221" s="18" t="n">
        <x:v>0</x:v>
      </x:c>
      <x:c r="AH221" s="18" t="n">
        <x:v>0</x:v>
      </x:c>
      <x:c r="AI221" s="18" t="n">
        <x:v>0</x:v>
      </x:c>
      <x:c r="AJ221" s="18" t="n">
        <x:v>10</x:v>
      </x:c>
      <x:c r="AK221" s="18" t="n">
        <x:v>0</x:v>
      </x:c>
      <x:c r="AL221" s="18" t="n">
        <x:v>18</x:v>
      </x:c>
      <x:c r="AM221" s="18" t="n">
        <x:v>32</x:v>
      </x:c>
      <x:c r="AN221" s="18" t="n">
        <x:v>18</x:v>
      </x:c>
      <x:c r="AO221" s="18" t="n">
        <x:v>0</x:v>
      </x:c>
      <x:c r="AP221" s="18" t="n">
        <x:v>0</x:v>
      </x:c>
      <x:c r="AQ221" s="18" t="n">
        <x:v>1</x:v>
      </x:c>
      <x:c r="AR221" s="18" t="n">
        <x:v>0</x:v>
      </x:c>
      <x:c r="AS221" s="18" t="n">
        <x:v>1</x:v>
      </x:c>
      <x:c r="AT221" s="18" t="n">
        <x:v>0</x:v>
      </x:c>
      <x:c r="AU221" s="18" t="n">
        <x:v>6</x:v>
      </x:c>
      <x:c r="AV221" s="18" t="n">
        <x:v>30</x:v>
      </x:c>
      <x:c r="AW221" s="18" t="n">
        <x:v>0</x:v>
      </x:c>
      <x:c r="AX221" s="18" t="n">
        <x:v>1</x:v>
      </x:c>
      <x:c r="AY221" s="18" t="n">
        <x:v>0</x:v>
      </x:c>
      <x:c r="AZ221" s="18" t="n">
        <x:v>0</x:v>
      </x:c>
      <x:c r="BA221" s="18" t="n">
        <x:v>0</x:v>
      </x:c>
      <x:c r="BB221" s="18" t="n">
        <x:v>0</x:v>
      </x:c>
      <x:c r="BC221" s="18" t="n">
        <x:v>0</x:v>
      </x:c>
      <x:c r="BD221" s="18" t="n">
        <x:v>3</x:v>
      </x:c>
      <x:c r="BE221" s="18" t="n">
        <x:v>0</x:v>
      </x:c>
      <x:c r="BF221" s="18" t="n">
        <x:v>2</x:v>
      </x:c>
      <x:c r="BG221" s="18" t="n">
        <x:v>0</x:v>
      </x:c>
    </x:row>
    <x:row r="222">
      <x:c r="A222" s="29" t="str">
        <x:v>297</x:v>
      </x:c>
      <x:c r="B222" s="17" t="n">
        <x:v>2833</x:v>
      </x:c>
      <x:c r="C222" s="17" t="str">
        <x:v>מרכז "ערבי יהודי" תיאטרון</x:v>
      </x:c>
      <x:c r="D222" s="17" t="str">
        <x:v>שד הציונות 33</x:v>
      </x:c>
      <x:c r="E222" s="17" t="str">
        <x:v>גבוה מאוד</x:v>
      </x:c>
      <x:c r="F222" s="18" t="n">
        <x:v>594</x:v>
      </x:c>
      <x:c r="G222" s="18" t="n">
        <x:v>226</x:v>
      </x:c>
      <x:c r="H222" s="19" t="n">
        <x:f>IFERROR(G222/F222,0)</x:f>
        <x:v>0.38047138047138046</x:v>
      </x:c>
      <x:c r="I222" s="18" t="n">
        <x:v>4</x:v>
      </x:c>
      <x:c r="J222" s="18" t="n">
        <x:v>222</x:v>
      </x:c>
      <x:c r="K222" s="18" t="n">
        <x:f>SUM(AM222,BF222,W222,AD222)</x:f>
        <x:v>37</x:v>
      </x:c>
      <x:c r="L222" s="18" t="n">
        <x:f>Q222+R222</x:f>
        <x:v>180</x:v>
      </x:c>
      <x:c r="M222" s="19" t="n">
        <x:f>IFERROR(K222/J222,0)</x:f>
        <x:v>0.16666666666666666</x:v>
      </x:c>
      <x:c r="N222" s="19" t="n">
        <x:f>IFERROR(L222/J222,0)</x:f>
        <x:v>0.8108108108108109</x:v>
      </x:c>
      <x:c r="O222" s="17" t="str">
        <x:f>IF(K222&gt;MAX(L222,S222),"קואליציית ההקמה 2022",IF(L222&gt;MAX(K222,S222),"אופוזיציה רחבה 2022","רשימות אחרות"))</x:f>
        <x:v>אופוזיציה רחבה 2022</x:v>
      </x:c>
      <x:c r="P222" s="17" t="str">
        <x:f>IF(AND(H222&lt;50%,N222&gt;50%),"כן","לא")</x:f>
        <x:v>כן</x:v>
      </x:c>
      <x:c r="Q222" s="18" t="n">
        <x:f>SUM(AV222,AJ222,AL222,T222,AN222)</x:f>
        <x:v>87</x:v>
      </x:c>
      <x:c r="R222" s="18" t="n">
        <x:f>SUM(Y222,AU222,X222)</x:f>
        <x:v>93</x:v>
      </x:c>
      <x:c r="S222" s="18" t="n">
        <x:f>J222-K222-L222</x:f>
        <x:v>5</x:v>
      </x:c>
      <x:c r="T222" s="18" t="n">
        <x:v>12</x:v>
      </x:c>
      <x:c r="U222" s="18" t="n">
        <x:v>0</x:v>
      </x:c>
      <x:c r="V222" s="18" t="n">
        <x:v>1</x:v>
      </x:c>
      <x:c r="W222" s="18" t="n">
        <x:v>0</x:v>
      </x:c>
      <x:c r="X222" s="18" t="n">
        <x:v>43</x:v>
      </x:c>
      <x:c r="Y222" s="18" t="n">
        <x:v>43</x:v>
      </x:c>
      <x:c r="Z222" s="18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2</x:v>
      </x:c>
      <x:c r="AE222" s="18" t="n">
        <x:v>1</x:v>
      </x:c>
      <x:c r="AF222" s="18" t="n">
        <x:v>1</x:v>
      </x:c>
      <x:c r="AG222" s="18" t="n">
        <x:v>0</x:v>
      </x:c>
      <x:c r="AH222" s="18" t="n">
        <x:v>0</x:v>
      </x:c>
      <x:c r="AI222" s="18" t="n">
        <x:v>0</x:v>
      </x:c>
      <x:c r="AJ222" s="18" t="n">
        <x:v>7</x:v>
      </x:c>
      <x:c r="AK222" s="18" t="n">
        <x:v>0</x:v>
      </x:c>
      <x:c r="AL222" s="18" t="n">
        <x:v>29</x:v>
      </x:c>
      <x:c r="AM222" s="18" t="n">
        <x:v>35</x:v>
      </x:c>
      <x:c r="AN222" s="18" t="n">
        <x:v>10</x:v>
      </x:c>
      <x:c r="AO222" s="18" t="n">
        <x:v>0</x:v>
      </x:c>
      <x:c r="AP222" s="18" t="n">
        <x:v>0</x:v>
      </x:c>
      <x:c r="AQ222" s="18" t="n">
        <x:v>0</x:v>
      </x:c>
      <x:c r="AR222" s="18" t="n">
        <x:v>0</x:v>
      </x:c>
      <x:c r="AS222" s="18" t="n">
        <x:v>0</x:v>
      </x:c>
      <x:c r="AT222" s="18" t="n">
        <x:v>0</x:v>
      </x:c>
      <x:c r="AU222" s="18" t="n">
        <x:v>7</x:v>
      </x:c>
      <x:c r="AV222" s="18" t="n">
        <x:v>29</x:v>
      </x:c>
      <x:c r="AW222" s="18" t="n">
        <x:v>0</x:v>
      </x:c>
      <x:c r="AX222" s="18" t="n">
        <x:v>0</x:v>
      </x:c>
      <x:c r="AY222" s="18" t="n">
        <x:v>0</x:v>
      </x:c>
      <x:c r="AZ222" s="18" t="n">
        <x:v>0</x:v>
      </x:c>
      <x:c r="BA222" s="18" t="n">
        <x:v>0</x:v>
      </x:c>
      <x:c r="BB222" s="18" t="n">
        <x:v>0</x:v>
      </x:c>
      <x:c r="BC222" s="18" t="n">
        <x:v>0</x:v>
      </x:c>
      <x:c r="BD222" s="18" t="n">
        <x:v>2</x:v>
      </x:c>
      <x:c r="BE222" s="18" t="n">
        <x:v>0</x:v>
      </x:c>
      <x:c r="BF222" s="18" t="n">
        <x:v>0</x:v>
      </x:c>
      <x:c r="BG222" s="18" t="n">
        <x:v>0</x:v>
      </x:c>
    </x:row>
    <x:row r="223">
      <x:c r="A223" s="29" t="str">
        <x:v>298.1</x:v>
      </x:c>
      <x:c r="B223" s="17" t="n">
        <x:v>2834</x:v>
      </x:c>
      <x:c r="C223" s="17" t="str">
        <x:v>עיריית חיפה - אגף הביטחון</x:v>
      </x:c>
      <x:c r="D223" s="17" t="str">
        <x:v>שפרעם 10</x:v>
      </x:c>
      <x:c r="E223" s="17" t="str">
        <x:v>גבוה מאוד</x:v>
      </x:c>
      <x:c r="F223" s="18" t="n">
        <x:v>371</x:v>
      </x:c>
      <x:c r="G223" s="18" t="n">
        <x:v>164</x:v>
      </x:c>
      <x:c r="H223" s="19" t="n">
        <x:f>IFERROR(G223/F223,0)</x:f>
        <x:v>0.4420485175202156</x:v>
      </x:c>
      <x:c r="I223" s="18" t="n">
        <x:v>3</x:v>
      </x:c>
      <x:c r="J223" s="18" t="n">
        <x:v>161</x:v>
      </x:c>
      <x:c r="K223" s="18" t="n">
        <x:f>SUM(AM223,BF223,W223,AD223)</x:f>
        <x:v>12</x:v>
      </x:c>
      <x:c r="L223" s="18" t="n">
        <x:f>Q223+R223</x:f>
        <x:v>148</x:v>
      </x:c>
      <x:c r="M223" s="19" t="n">
        <x:f>IFERROR(K223/J223,0)</x:f>
        <x:v>0.07453416149068323</x:v>
      </x:c>
      <x:c r="N223" s="19" t="n">
        <x:f>IFERROR(L223/J223,0)</x:f>
        <x:v>0.9192546583850931</x:v>
      </x:c>
      <x:c r="O223" s="17" t="str">
        <x:f>IF(K223&gt;MAX(L223,S223),"קואליציית ההקמה 2022",IF(L223&gt;MAX(K223,S223),"אופוזיציה רחבה 2022","רשימות אחרות"))</x:f>
        <x:v>אופוזיציה רחבה 2022</x:v>
      </x:c>
      <x:c r="P223" s="17" t="str">
        <x:f>IF(AND(H223&lt;50%,N223&gt;50%),"כן","לא")</x:f>
        <x:v>כן</x:v>
      </x:c>
      <x:c r="Q223" s="18" t="n">
        <x:f>SUM(AV223,AJ223,AL223,T223,AN223)</x:f>
        <x:v>28</x:v>
      </x:c>
      <x:c r="R223" s="18" t="n">
        <x:f>SUM(Y223,AU223,X223)</x:f>
        <x:v>120</x:v>
      </x:c>
      <x:c r="S223" s="18" t="n">
        <x:f>J223-K223-L223</x:f>
        <x:v>1</x:v>
      </x:c>
      <x:c r="T223" s="18" t="n">
        <x:v>2</x:v>
      </x:c>
      <x:c r="U223" s="18" t="n">
        <x:v>0</x:v>
      </x:c>
      <x:c r="V223" s="18" t="n">
        <x:v>0</x:v>
      </x:c>
      <x:c r="W223" s="18" t="n">
        <x:v>0</x:v>
      </x:c>
      <x:c r="X223" s="18" t="n">
        <x:v>36</x:v>
      </x:c>
      <x:c r="Y223" s="18" t="n">
        <x:v>56</x:v>
      </x:c>
      <x:c r="Z223" s="18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2</x:v>
      </x:c>
      <x:c r="AE223" s="18" t="n">
        <x:v>0</x:v>
      </x:c>
      <x:c r="AF223" s="18" t="n">
        <x:v>0</x:v>
      </x:c>
      <x:c r="AG223" s="18" t="n">
        <x:v>0</x:v>
      </x:c>
      <x:c r="AH223" s="18" t="n">
        <x:v>0</x:v>
      </x:c>
      <x:c r="AI223" s="18" t="n">
        <x:v>0</x:v>
      </x:c>
      <x:c r="AJ223" s="18" t="n">
        <x:v>0</x:v>
      </x:c>
      <x:c r="AK223" s="18" t="n">
        <x:v>0</x:v>
      </x:c>
      <x:c r="AL223" s="18" t="n">
        <x:v>6</x:v>
      </x:c>
      <x:c r="AM223" s="18" t="n">
        <x:v>8</x:v>
      </x:c>
      <x:c r="AN223" s="18" t="n">
        <x:v>8</x:v>
      </x:c>
      <x:c r="AO223" s="18" t="n">
        <x:v>0</x:v>
      </x:c>
      <x:c r="AP223" s="18" t="n">
        <x:v>0</x:v>
      </x:c>
      <x:c r="AQ223" s="18" t="n">
        <x:v>0</x:v>
      </x:c>
      <x:c r="AR223" s="18" t="n">
        <x:v>0</x:v>
      </x:c>
      <x:c r="AS223" s="18" t="n">
        <x:v>0</x:v>
      </x:c>
      <x:c r="AT223" s="18" t="n">
        <x:v>0</x:v>
      </x:c>
      <x:c r="AU223" s="18" t="n">
        <x:v>28</x:v>
      </x:c>
      <x:c r="AV223" s="18" t="n">
        <x:v>12</x:v>
      </x:c>
      <x:c r="AW223" s="18" t="n">
        <x:v>1</x:v>
      </x:c>
      <x:c r="AX223" s="18" t="n">
        <x:v>0</x:v>
      </x:c>
      <x:c r="AY223" s="18" t="n">
        <x:v>0</x:v>
      </x:c>
      <x:c r="AZ223" s="18" t="n">
        <x:v>0</x:v>
      </x:c>
      <x:c r="BA223" s="18" t="n">
        <x:v>0</x:v>
      </x:c>
      <x:c r="BB223" s="18" t="n">
        <x:v>0</x:v>
      </x:c>
      <x:c r="BC223" s="18" t="n">
        <x:v>0</x:v>
      </x:c>
      <x:c r="BD223" s="18" t="n">
        <x:v>0</x:v>
      </x:c>
      <x:c r="BE223" s="18" t="n">
        <x:v>0</x:v>
      </x:c>
      <x:c r="BF223" s="18" t="n">
        <x:v>2</x:v>
      </x:c>
      <x:c r="BG223" s="18" t="n">
        <x:v>0</x:v>
      </x:c>
    </x:row>
    <x:row r="224">
      <x:c r="A224" s="29" t="str">
        <x:v>298.2</x:v>
      </x:c>
      <x:c r="B224" s="17" t="n">
        <x:v>2835</x:v>
      </x:c>
      <x:c r="C224" s="17" t="str">
        <x:v>עיריית חיפה - אגף הביטחון</x:v>
      </x:c>
      <x:c r="D224" s="17" t="str">
        <x:v>שפרעם 10</x:v>
      </x:c>
      <x:c r="E224" s="17" t="str">
        <x:v>גבוה מאוד</x:v>
      </x:c>
      <x:c r="F224" s="18" t="n">
        <x:v>370</x:v>
      </x:c>
      <x:c r="G224" s="18" t="n">
        <x:v>143</x:v>
      </x:c>
      <x:c r="H224" s="19" t="n">
        <x:f>IFERROR(G224/F224,0)</x:f>
        <x:v>0.3864864864864865</x:v>
      </x:c>
      <x:c r="I224" s="18" t="n">
        <x:v>0</x:v>
      </x:c>
      <x:c r="J224" s="18" t="n">
        <x:v>143</x:v>
      </x:c>
      <x:c r="K224" s="18" t="n">
        <x:f>SUM(AM224,BF224,W224,AD224)</x:f>
        <x:v>14</x:v>
      </x:c>
      <x:c r="L224" s="18" t="n">
        <x:f>Q224+R224</x:f>
        <x:v>128</x:v>
      </x:c>
      <x:c r="M224" s="19" t="n">
        <x:f>IFERROR(K224/J224,0)</x:f>
        <x:v>0.0979020979020979</x:v>
      </x:c>
      <x:c r="N224" s="19" t="n">
        <x:f>IFERROR(L224/J224,0)</x:f>
        <x:v>0.8951048951048951</x:v>
      </x:c>
      <x:c r="O224" s="17" t="str">
        <x:f>IF(K224&gt;MAX(L224,S224),"קואליציית ההקמה 2022",IF(L224&gt;MAX(K224,S224),"אופוזיציה רחבה 2022","רשימות אחרות"))</x:f>
        <x:v>אופוזיציה רחבה 2022</x:v>
      </x:c>
      <x:c r="P224" s="17" t="str">
        <x:f>IF(AND(H224&lt;50%,N224&gt;50%),"כן","לא")</x:f>
        <x:v>כן</x:v>
      </x:c>
      <x:c r="Q224" s="18" t="n">
        <x:f>SUM(AV224,AJ224,AL224,T224,AN224)</x:f>
        <x:v>35</x:v>
      </x:c>
      <x:c r="R224" s="18" t="n">
        <x:f>SUM(Y224,AU224,X224)</x:f>
        <x:v>93</x:v>
      </x:c>
      <x:c r="S224" s="18" t="n">
        <x:f>J224-K224-L224</x:f>
        <x:v>1</x:v>
      </x:c>
      <x:c r="T224" s="18" t="n">
        <x:v>4</x:v>
      </x:c>
      <x:c r="U224" s="18" t="n">
        <x:v>0</x:v>
      </x:c>
      <x:c r="V224" s="18" t="n">
        <x:v>0</x:v>
      </x:c>
      <x:c r="W224" s="18" t="n">
        <x:v>0</x:v>
      </x:c>
      <x:c r="X224" s="18" t="n">
        <x:v>35</x:v>
      </x:c>
      <x:c r="Y224" s="18" t="n">
        <x:v>42</x:v>
      </x:c>
      <x:c r="Z224" s="18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  <x:c r="AE224" s="18" t="n">
        <x:v>0</x:v>
      </x:c>
      <x:c r="AF224" s="18" t="n">
        <x:v>0</x:v>
      </x:c>
      <x:c r="AG224" s="18" t="n">
        <x:v>0</x:v>
      </x:c>
      <x:c r="AH224" s="18" t="n">
        <x:v>0</x:v>
      </x:c>
      <x:c r="AI224" s="18" t="n">
        <x:v>0</x:v>
      </x:c>
      <x:c r="AJ224" s="18" t="n">
        <x:v>3</x:v>
      </x:c>
      <x:c r="AK224" s="18" t="n">
        <x:v>1</x:v>
      </x:c>
      <x:c r="AL224" s="18" t="n">
        <x:v>4</x:v>
      </x:c>
      <x:c r="AM224" s="18" t="n">
        <x:v>14</x:v>
      </x:c>
      <x:c r="AN224" s="18" t="n">
        <x:v>11</x:v>
      </x:c>
      <x:c r="AO224" s="18" t="n">
        <x:v>0</x:v>
      </x:c>
      <x:c r="AP224" s="18" t="n">
        <x:v>0</x:v>
      </x:c>
      <x:c r="AQ224" s="18" t="n">
        <x:v>0</x:v>
      </x:c>
      <x:c r="AR224" s="18" t="n">
        <x:v>0</x:v>
      </x:c>
      <x:c r="AS224" s="18" t="n">
        <x:v>0</x:v>
      </x:c>
      <x:c r="AT224" s="18" t="n">
        <x:v>0</x:v>
      </x:c>
      <x:c r="AU224" s="18" t="n">
        <x:v>16</x:v>
      </x:c>
      <x:c r="AV224" s="18" t="n">
        <x:v>13</x:v>
      </x:c>
      <x:c r="AW224" s="18" t="n">
        <x:v>0</x:v>
      </x:c>
      <x:c r="AX224" s="18" t="n">
        <x:v>0</x:v>
      </x:c>
      <x:c r="AY224" s="18" t="n">
        <x:v>0</x:v>
      </x:c>
      <x:c r="AZ224" s="18" t="n">
        <x:v>0</x:v>
      </x:c>
      <x:c r="BA224" s="18" t="n">
        <x:v>0</x:v>
      </x:c>
      <x:c r="BB224" s="18" t="n">
        <x:v>0</x:v>
      </x:c>
      <x:c r="BC224" s="18" t="n">
        <x:v>0</x:v>
      </x:c>
      <x:c r="BD224" s="18" t="n">
        <x:v>0</x:v>
      </x:c>
      <x:c r="BE224" s="18" t="n">
        <x:v>0</x:v>
      </x:c>
      <x:c r="BF224" s="18" t="n">
        <x:v>0</x:v>
      </x:c>
      <x:c r="BG224" s="18" t="n">
        <x:v>0</x:v>
      </x:c>
    </x:row>
    <x:row r="225">
      <x:c r="A225" s="29" t="str">
        <x:v>299</x:v>
      </x:c>
      <x:c r="B225" s="17" t="n">
        <x:v>2836</x:v>
      </x:c>
      <x:c r="C225" s="17" t="str">
        <x:v>מרכז "ערבי יהודי" תיאטרון</x:v>
      </x:c>
      <x:c r="D225" s="17" t="str">
        <x:v>שד הציונות 33</x:v>
      </x:c>
      <x:c r="E225" s="17" t="str">
        <x:v>גבוה מאוד</x:v>
      </x:c>
      <x:c r="F225" s="18" t="n">
        <x:v>633</x:v>
      </x:c>
      <x:c r="G225" s="18" t="n">
        <x:v>205</x:v>
      </x:c>
      <x:c r="H225" s="19" t="n">
        <x:f>IFERROR(G225/F225,0)</x:f>
        <x:v>0.32385466034755134</x:v>
      </x:c>
      <x:c r="I225" s="18" t="n">
        <x:v>3</x:v>
      </x:c>
      <x:c r="J225" s="18" t="n">
        <x:v>202</x:v>
      </x:c>
      <x:c r="K225" s="18" t="n">
        <x:f>SUM(AM225,BF225,W225,AD225)</x:f>
        <x:v>31</x:v>
      </x:c>
      <x:c r="L225" s="18" t="n">
        <x:f>Q225+R225</x:f>
        <x:v>167</x:v>
      </x:c>
      <x:c r="M225" s="19" t="n">
        <x:f>IFERROR(K225/J225,0)</x:f>
        <x:v>0.15346534653465346</x:v>
      </x:c>
      <x:c r="N225" s="19" t="n">
        <x:f>IFERROR(L225/J225,0)</x:f>
        <x:v>0.8267326732673267</x:v>
      </x:c>
      <x:c r="O225" s="17" t="str">
        <x:f>IF(K225&gt;MAX(L225,S225),"קואליציית ההקמה 2022",IF(L225&gt;MAX(K225,S225),"אופוזיציה רחבה 2022","רשימות אחרות"))</x:f>
        <x:v>אופוזיציה רחבה 2022</x:v>
      </x:c>
      <x:c r="P225" s="17" t="str">
        <x:f>IF(AND(H225&lt;50%,N225&gt;50%),"כן","לא")</x:f>
        <x:v>כן</x:v>
      </x:c>
      <x:c r="Q225" s="18" t="n">
        <x:f>SUM(AV225,AJ225,AL225,T225,AN225)</x:f>
        <x:v>79</x:v>
      </x:c>
      <x:c r="R225" s="18" t="n">
        <x:f>SUM(Y225,AU225,X225)</x:f>
        <x:v>88</x:v>
      </x:c>
      <x:c r="S225" s="18" t="n">
        <x:f>J225-K225-L225</x:f>
        <x:v>4</x:v>
      </x:c>
      <x:c r="T225" s="18" t="n">
        <x:v>7</x:v>
      </x:c>
      <x:c r="U225" s="18" t="n">
        <x:v>0</x:v>
      </x:c>
      <x:c r="V225" s="18" t="n">
        <x:v>0</x:v>
      </x:c>
      <x:c r="W225" s="18" t="n">
        <x:v>3</x:v>
      </x:c>
      <x:c r="X225" s="18" t="n">
        <x:v>34</x:v>
      </x:c>
      <x:c r="Y225" s="18" t="n">
        <x:v>47</x:v>
      </x:c>
      <x:c r="Z225" s="18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1</x:v>
      </x:c>
      <x:c r="AE225" s="18" t="n">
        <x:v>0</x:v>
      </x:c>
      <x:c r="AF225" s="18" t="n">
        <x:v>0</x:v>
      </x:c>
      <x:c r="AG225" s="18" t="n">
        <x:v>0</x:v>
      </x:c>
      <x:c r="AH225" s="18" t="n">
        <x:v>0</x:v>
      </x:c>
      <x:c r="AI225" s="18" t="n">
        <x:v>0</x:v>
      </x:c>
      <x:c r="AJ225" s="18" t="n">
        <x:v>1</x:v>
      </x:c>
      <x:c r="AK225" s="18" t="n">
        <x:v>0</x:v>
      </x:c>
      <x:c r="AL225" s="18" t="n">
        <x:v>28</x:v>
      </x:c>
      <x:c r="AM225" s="18" t="n">
        <x:v>27</x:v>
      </x:c>
      <x:c r="AN225" s="18" t="n">
        <x:v>12</x:v>
      </x:c>
      <x:c r="AO225" s="18" t="n">
        <x:v>0</x:v>
      </x:c>
      <x:c r="AP225" s="18" t="n">
        <x:v>0</x:v>
      </x:c>
      <x:c r="AQ225" s="18" t="n">
        <x:v>1</x:v>
      </x:c>
      <x:c r="AR225" s="18" t="n">
        <x:v>0</x:v>
      </x:c>
      <x:c r="AS225" s="18" t="n">
        <x:v>0</x:v>
      </x:c>
      <x:c r="AT225" s="18" t="n">
        <x:v>0</x:v>
      </x:c>
      <x:c r="AU225" s="18" t="n">
        <x:v>7</x:v>
      </x:c>
      <x:c r="AV225" s="18" t="n">
        <x:v>31</x:v>
      </x:c>
      <x:c r="AW225" s="18" t="n">
        <x:v>0</x:v>
      </x:c>
      <x:c r="AX225" s="18" t="n">
        <x:v>0</x:v>
      </x:c>
      <x:c r="AY225" s="18" t="n">
        <x:v>0</x:v>
      </x:c>
      <x:c r="AZ225" s="18" t="n">
        <x:v>0</x:v>
      </x:c>
      <x:c r="BA225" s="18" t="n">
        <x:v>1</x:v>
      </x:c>
      <x:c r="BB225" s="18" t="n">
        <x:v>0</x:v>
      </x:c>
      <x:c r="BC225" s="18" t="n">
        <x:v>1</x:v>
      </x:c>
      <x:c r="BD225" s="18" t="n">
        <x:v>1</x:v>
      </x:c>
      <x:c r="BE225" s="18" t="n">
        <x:v>0</x:v>
      </x:c>
      <x:c r="BF225" s="18" t="n">
        <x:v>0</x:v>
      </x:c>
      <x:c r="BG225" s="18" t="n">
        <x:v>0</x:v>
      </x:c>
    </x:row>
    <x:row r="226">
      <x:c r="A226" s="29" t="str">
        <x:v>300</x:v>
      </x:c>
      <x:c r="B226" s="17" t="n">
        <x:v>3002</x:v>
      </x:c>
      <x:c r="C226" s="17" t="str">
        <x:v>אשכול גני ילדים</x:v>
      </x:c>
      <x:c r="D226" s="17" t="str">
        <x:v>שונית 12</x:v>
      </x:c>
      <x:c r="E226" s="17" t="str">
        <x:v>גבוה מאוד</x:v>
      </x:c>
      <x:c r="F226" s="18" t="n">
        <x:v>581</x:v>
      </x:c>
      <x:c r="G226" s="18" t="n">
        <x:v>463</x:v>
      </x:c>
      <x:c r="H226" s="19" t="n">
        <x:f>IFERROR(G226/F226,0)</x:f>
        <x:v>0.7969018932874354</x:v>
      </x:c>
      <x:c r="I226" s="18" t="n">
        <x:v>1</x:v>
      </x:c>
      <x:c r="J226" s="18" t="n">
        <x:v>462</x:v>
      </x:c>
      <x:c r="K226" s="18" t="n">
        <x:f>SUM(AM226,BF226,W226,AD226)</x:f>
        <x:v>167</x:v>
      </x:c>
      <x:c r="L226" s="18" t="n">
        <x:f>Q226+R226</x:f>
        <x:v>288</x:v>
      </x:c>
      <x:c r="M226" s="19" t="n">
        <x:f>IFERROR(K226/J226,0)</x:f>
        <x:v>0.36147186147186144</x:v>
      </x:c>
      <x:c r="N226" s="19" t="n">
        <x:f>IFERROR(L226/J226,0)</x:f>
        <x:v>0.6233766233766234</x:v>
      </x:c>
      <x:c r="O226" s="17" t="str">
        <x:f>IF(K226&gt;MAX(L226,S226),"קואליציית ההקמה 2022",IF(L226&gt;MAX(K226,S226),"אופוזיציה רחבה 2022","רשימות אחרות"))</x:f>
        <x:v>אופוזיציה רחבה 2022</x:v>
      </x:c>
      <x:c r="P226" s="17" t="str">
        <x:f>IF(AND(H226&lt;50%,N226&gt;50%),"כן","לא")</x:f>
        <x:v>לא</x:v>
      </x:c>
      <x:c r="Q226" s="18" t="n">
        <x:f>SUM(AV226,AJ226,AL226,T226,AN226)</x:f>
        <x:v>222</x:v>
      </x:c>
      <x:c r="R226" s="18" t="n">
        <x:f>SUM(Y226,AU226,X226)</x:f>
        <x:v>66</x:v>
      </x:c>
      <x:c r="S226" s="18" t="n">
        <x:f>J226-K226-L226</x:f>
        <x:v>7</x:v>
      </x:c>
      <x:c r="T226" s="18" t="n">
        <x:v>9</x:v>
      </x:c>
      <x:c r="U226" s="18" t="n">
        <x:v>1</x:v>
      </x:c>
      <x:c r="V226" s="18" t="n">
        <x:v>3</x:v>
      </x:c>
      <x:c r="W226" s="18" t="n">
        <x:v>1</x:v>
      </x:c>
      <x:c r="X226" s="18" t="n">
        <x:v>21</x:v>
      </x:c>
      <x:c r="Y226" s="18" t="n">
        <x:v>41</x:v>
      </x:c>
      <x:c r="Z226" s="18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27</x:v>
      </x:c>
      <x:c r="AE226" s="18" t="n">
        <x:v>0</x:v>
      </x:c>
      <x:c r="AF226" s="18" t="n">
        <x:v>1</x:v>
      </x:c>
      <x:c r="AG226" s="18" t="n">
        <x:v>0</x:v>
      </x:c>
      <x:c r="AH226" s="18" t="n">
        <x:v>0</x:v>
      </x:c>
      <x:c r="AI226" s="18" t="n">
        <x:v>0</x:v>
      </x:c>
      <x:c r="AJ226" s="18" t="n">
        <x:v>63</x:v>
      </x:c>
      <x:c r="AK226" s="18" t="n">
        <x:v>0</x:v>
      </x:c>
      <x:c r="AL226" s="18" t="n">
        <x:v>41</x:v>
      </x:c>
      <x:c r="AM226" s="18" t="n">
        <x:v>129</x:v>
      </x:c>
      <x:c r="AN226" s="18" t="n">
        <x:v>12</x:v>
      </x:c>
      <x:c r="AO226" s="18" t="n">
        <x:v>0</x:v>
      </x:c>
      <x:c r="AP226" s="18" t="n">
        <x:v>0</x:v>
      </x:c>
      <x:c r="AQ226" s="18" t="n">
        <x:v>0</x:v>
      </x:c>
      <x:c r="AR226" s="18" t="n">
        <x:v>1</x:v>
      </x:c>
      <x:c r="AS226" s="18" t="n">
        <x:v>0</x:v>
      </x:c>
      <x:c r="AT226" s="18" t="n">
        <x:v>0</x:v>
      </x:c>
      <x:c r="AU226" s="18" t="n">
        <x:v>4</x:v>
      </x:c>
      <x:c r="AV226" s="18" t="n">
        <x:v>97</x:v>
      </x:c>
      <x:c r="AW226" s="18" t="n">
        <x:v>0</x:v>
      </x:c>
      <x:c r="AX226" s="18" t="n">
        <x:v>0</x:v>
      </x:c>
      <x:c r="AY226" s="18" t="n">
        <x:v>0</x:v>
      </x:c>
      <x:c r="AZ226" s="18" t="n">
        <x:v>0</x:v>
      </x:c>
      <x:c r="BA226" s="18" t="n">
        <x:v>0</x:v>
      </x:c>
      <x:c r="BB226" s="18" t="n">
        <x:v>0</x:v>
      </x:c>
      <x:c r="BC226" s="18" t="n">
        <x:v>0</x:v>
      </x:c>
      <x:c r="BD226" s="18" t="n">
        <x:v>1</x:v>
      </x:c>
      <x:c r="BE226" s="18" t="n">
        <x:v>0</x:v>
      </x:c>
      <x:c r="BF226" s="18" t="n">
        <x:v>10</x:v>
      </x:c>
      <x:c r="BG226" s="18" t="n">
        <x:v>0</x:v>
      </x:c>
    </x:row>
    <x:row r="227">
      <x:c r="A227" s="29" t="str">
        <x:v>301</x:v>
      </x:c>
      <x:c r="B227" s="17" t="n">
        <x:v>2837</x:v>
      </x:c>
      <x:c r="C227" s="17" t="str">
        <x:v>בית ארדשטיין</x:v>
      </x:c>
      <x:c r="D227" s="17" t="str">
        <x:v>פרץ י .ל20,.</x:v>
      </x:c>
      <x:c r="E227" s="17" t="str">
        <x:v>גבוה מאוד</x:v>
      </x:c>
      <x:c r="F227" s="18" t="n">
        <x:v>582</x:v>
      </x:c>
      <x:c r="G227" s="18" t="n">
        <x:v>152</x:v>
      </x:c>
      <x:c r="H227" s="19" t="n">
        <x:f>IFERROR(G227/F227,0)</x:f>
        <x:v>0.2611683848797251</x:v>
      </x:c>
      <x:c r="I227" s="18" t="n">
        <x:v>1</x:v>
      </x:c>
      <x:c r="J227" s="18" t="n">
        <x:v>151</x:v>
      </x:c>
      <x:c r="K227" s="18" t="n">
        <x:f>SUM(AM227,BF227,W227,AD227)</x:f>
        <x:v>19</x:v>
      </x:c>
      <x:c r="L227" s="18" t="n">
        <x:f>Q227+R227</x:f>
        <x:v>126</x:v>
      </x:c>
      <x:c r="M227" s="19" t="n">
        <x:f>IFERROR(K227/J227,0)</x:f>
        <x:v>0.12582781456953643</x:v>
      </x:c>
      <x:c r="N227" s="19" t="n">
        <x:f>IFERROR(L227/J227,0)</x:f>
        <x:v>0.8344370860927153</x:v>
      </x:c>
      <x:c r="O227" s="17" t="str">
        <x:f>IF(K227&gt;MAX(L227,S227),"קואליציית ההקמה 2022",IF(L227&gt;MAX(K227,S227),"אופוזיציה רחבה 2022","רשימות אחרות"))</x:f>
        <x:v>אופוזיציה רחבה 2022</x:v>
      </x:c>
      <x:c r="P227" s="17" t="str">
        <x:f>IF(AND(H227&lt;50%,N227&gt;50%),"כן","לא")</x:f>
        <x:v>כן</x:v>
      </x:c>
      <x:c r="Q227" s="18" t="n">
        <x:f>SUM(AV227,AJ227,AL227,T227,AN227)</x:f>
        <x:v>30</x:v>
      </x:c>
      <x:c r="R227" s="18" t="n">
        <x:f>SUM(Y227,AU227,X227)</x:f>
        <x:v>96</x:v>
      </x:c>
      <x:c r="S227" s="18" t="n">
        <x:f>J227-K227-L227</x:f>
        <x:v>6</x:v>
      </x:c>
      <x:c r="T227" s="18" t="n">
        <x:v>3</x:v>
      </x:c>
      <x:c r="U227" s="18" t="n">
        <x:v>0</x:v>
      </x:c>
      <x:c r="V227" s="18" t="n">
        <x:v>0</x:v>
      </x:c>
      <x:c r="W227" s="18" t="n">
        <x:v>1</x:v>
      </x:c>
      <x:c r="X227" s="18" t="n">
        <x:v>30</x:v>
      </x:c>
      <x:c r="Y227" s="18" t="n">
        <x:v>60</x:v>
      </x:c>
      <x:c r="Z227" s="18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1</x:v>
      </x:c>
      <x:c r="AE227" s="18" t="n">
        <x:v>0</x:v>
      </x:c>
      <x:c r="AF227" s="18" t="n">
        <x:v>1</x:v>
      </x:c>
      <x:c r="AG227" s="18" t="n">
        <x:v>0</x:v>
      </x:c>
      <x:c r="AH227" s="18" t="n">
        <x:v>0</x:v>
      </x:c>
      <x:c r="AI227" s="18" t="n">
        <x:v>0</x:v>
      </x:c>
      <x:c r="AJ227" s="18" t="n">
        <x:v>3</x:v>
      </x:c>
      <x:c r="AK227" s="18" t="n">
        <x:v>0</x:v>
      </x:c>
      <x:c r="AL227" s="18" t="n">
        <x:v>12</x:v>
      </x:c>
      <x:c r="AM227" s="18" t="n">
        <x:v>16</x:v>
      </x:c>
      <x:c r="AN227" s="18" t="n">
        <x:v>5</x:v>
      </x:c>
      <x:c r="AO227" s="18" t="n">
        <x:v>0</x:v>
      </x:c>
      <x:c r="AP227" s="18" t="n">
        <x:v>0</x:v>
      </x:c>
      <x:c r="AQ227" s="18" t="n">
        <x:v>0</x:v>
      </x:c>
      <x:c r="AR227" s="18" t="n">
        <x:v>0</x:v>
      </x:c>
      <x:c r="AS227" s="18" t="n">
        <x:v>0</x:v>
      </x:c>
      <x:c r="AT227" s="18" t="n">
        <x:v>0</x:v>
      </x:c>
      <x:c r="AU227" s="18" t="n">
        <x:v>6</x:v>
      </x:c>
      <x:c r="AV227" s="18" t="n">
        <x:v>7</x:v>
      </x:c>
      <x:c r="AW227" s="18" t="n">
        <x:v>0</x:v>
      </x:c>
      <x:c r="AX227" s="18" t="n">
        <x:v>1</x:v>
      </x:c>
      <x:c r="AY227" s="18" t="n">
        <x:v>0</x:v>
      </x:c>
      <x:c r="AZ227" s="18" t="n">
        <x:v>2</x:v>
      </x:c>
      <x:c r="BA227" s="18" t="n">
        <x:v>0</x:v>
      </x:c>
      <x:c r="BB227" s="18" t="n">
        <x:v>1</x:v>
      </x:c>
      <x:c r="BC227" s="18" t="n">
        <x:v>0</x:v>
      </x:c>
      <x:c r="BD227" s="18" t="n">
        <x:v>1</x:v>
      </x:c>
      <x:c r="BE227" s="18" t="n">
        <x:v>0</x:v>
      </x:c>
      <x:c r="BF227" s="18" t="n">
        <x:v>1</x:v>
      </x:c>
      <x:c r="BG227" s="18" t="n">
        <x:v>0</x:v>
      </x:c>
    </x:row>
    <x:row r="228">
      <x:c r="A228" s="29" t="str">
        <x:v>302</x:v>
      </x:c>
      <x:c r="B228" s="17" t="n">
        <x:v>3042</x:v>
      </x:c>
      <x:c r="C228" s="17" t="str">
        <x:v>גן שקמה</x:v>
      </x:c>
      <x:c r="D228" s="17" t="str">
        <x:v>הלילך 26</x:v>
      </x:c>
      <x:c r="E228" s="17" t="str">
        <x:v>גבוה מאוד</x:v>
      </x:c>
      <x:c r="F228" s="18" t="n">
        <x:v>498</x:v>
      </x:c>
      <x:c r="G228" s="18" t="n">
        <x:v>288</x:v>
      </x:c>
      <x:c r="H228" s="19" t="n">
        <x:f>IFERROR(G228/F228,0)</x:f>
        <x:v>0.5783132530120482</x:v>
      </x:c>
      <x:c r="I228" s="18" t="n">
        <x:v>2</x:v>
      </x:c>
      <x:c r="J228" s="18" t="n">
        <x:v>286</x:v>
      </x:c>
      <x:c r="K228" s="18" t="n">
        <x:f>SUM(AM228,BF228,W228,AD228)</x:f>
        <x:v>34</x:v>
      </x:c>
      <x:c r="L228" s="18" t="n">
        <x:f>Q228+R228</x:f>
        <x:v>250</x:v>
      </x:c>
      <x:c r="M228" s="19" t="n">
        <x:f>IFERROR(K228/J228,0)</x:f>
        <x:v>0.11888111888111888</x:v>
      </x:c>
      <x:c r="N228" s="19" t="n">
        <x:f>IFERROR(L228/J228,0)</x:f>
        <x:v>0.8741258741258742</x:v>
      </x:c>
      <x:c r="O228" s="17" t="str">
        <x:f>IF(K228&gt;MAX(L228,S228),"קואליציית ההקמה 2022",IF(L228&gt;MAX(K228,S228),"אופוזיציה רחבה 2022","רשימות אחרות"))</x:f>
        <x:v>אופוזיציה רחבה 2022</x:v>
      </x:c>
      <x:c r="P228" s="17" t="str">
        <x:f>IF(AND(H228&lt;50%,N228&gt;50%),"כן","לא")</x:f>
        <x:v>לא</x:v>
      </x:c>
      <x:c r="Q228" s="18" t="n">
        <x:f>SUM(AV228,AJ228,AL228,T228,AN228)</x:f>
        <x:v>244</x:v>
      </x:c>
      <x:c r="R228" s="18" t="n">
        <x:f>SUM(Y228,AU228,X228)</x:f>
        <x:v>6</x:v>
      </x:c>
      <x:c r="S228" s="18" t="n">
        <x:f>J228-K228-L228</x:f>
        <x:v>2</x:v>
      </x:c>
      <x:c r="T228" s="18" t="n">
        <x:v>35</x:v>
      </x:c>
      <x:c r="U228" s="18" t="n">
        <x:v>0</x:v>
      </x:c>
      <x:c r="V228" s="18" t="n">
        <x:v>0</x:v>
      </x:c>
      <x:c r="W228" s="18" t="n">
        <x:v>1</x:v>
      </x:c>
      <x:c r="X228" s="18" t="n">
        <x:v>2</x:v>
      </x:c>
      <x:c r="Y228" s="18" t="n">
        <x:v>2</x:v>
      </x:c>
      <x:c r="Z228" s="18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3</x:v>
      </x:c>
      <x:c r="AE228" s="18" t="n">
        <x:v>0</x:v>
      </x:c>
      <x:c r="AF228" s="18" t="n">
        <x:v>0</x:v>
      </x:c>
      <x:c r="AG228" s="18" t="n">
        <x:v>0</x:v>
      </x:c>
      <x:c r="AH228" s="18" t="n">
        <x:v>0</x:v>
      </x:c>
      <x:c r="AI228" s="18" t="n">
        <x:v>0</x:v>
      </x:c>
      <x:c r="AJ228" s="18" t="n">
        <x:v>31</x:v>
      </x:c>
      <x:c r="AK228" s="18" t="n">
        <x:v>0</x:v>
      </x:c>
      <x:c r="AL228" s="18" t="n">
        <x:v>7</x:v>
      </x:c>
      <x:c r="AM228" s="18" t="n">
        <x:v>30</x:v>
      </x:c>
      <x:c r="AN228" s="18" t="n">
        <x:v>36</x:v>
      </x:c>
      <x:c r="AO228" s="18" t="n">
        <x:v>0</x:v>
      </x:c>
      <x:c r="AP228" s="18" t="n">
        <x:v>0</x:v>
      </x:c>
      <x:c r="AQ228" s="18" t="n">
        <x:v>0</x:v>
      </x:c>
      <x:c r="AR228" s="18" t="n">
        <x:v>0</x:v>
      </x:c>
      <x:c r="AS228" s="18" t="n">
        <x:v>1</x:v>
      </x:c>
      <x:c r="AT228" s="18" t="n">
        <x:v>0</x:v>
      </x:c>
      <x:c r="AU228" s="18" t="n">
        <x:v>2</x:v>
      </x:c>
      <x:c r="AV228" s="18" t="n">
        <x:v>135</x:v>
      </x:c>
      <x:c r="AW228" s="18" t="n">
        <x:v>0</x:v>
      </x:c>
      <x:c r="AX228" s="18" t="n">
        <x:v>0</x:v>
      </x:c>
      <x:c r="AY228" s="18" t="n">
        <x:v>0</x:v>
      </x:c>
      <x:c r="AZ228" s="18" t="n">
        <x:v>0</x:v>
      </x:c>
      <x:c r="BA228" s="18" t="n">
        <x:v>0</x:v>
      </x:c>
      <x:c r="BB228" s="18" t="n">
        <x:v>0</x:v>
      </x:c>
      <x:c r="BC228" s="18" t="n">
        <x:v>0</x:v>
      </x:c>
      <x:c r="BD228" s="18" t="n">
        <x:v>1</x:v>
      </x:c>
      <x:c r="BE228" s="18" t="n">
        <x:v>0</x:v>
      </x:c>
      <x:c r="BF228" s="18" t="n">
        <x:v>0</x:v>
      </x:c>
      <x:c r="BG228" s="18" t="n">
        <x:v>0</x:v>
      </x:c>
    </x:row>
    <x:row r="229">
      <x:c r="A229" s="29" t="str">
        <x:v>304.1</x:v>
      </x:c>
      <x:c r="B229" s="17" t="n">
        <x:v>2858</x:v>
      </x:c>
      <x:c r="C229" s="17" t="str">
        <x:v>ערית חיפה אגף האכיפה והגביה</x:v>
      </x:c>
      <x:c r="D229" s="17" t="str">
        <x:v>ברוואלד 5</x:v>
      </x:c>
      <x:c r="E229" s="17" t="str">
        <x:v>גבוה מאוד</x:v>
      </x:c>
      <x:c r="F229" s="18" t="n">
        <x:v>681</x:v>
      </x:c>
      <x:c r="G229" s="18" t="n">
        <x:v>214</x:v>
      </x:c>
      <x:c r="H229" s="19" t="n">
        <x:f>IFERROR(G229/F229,0)</x:f>
        <x:v>0.3142437591776799</x:v>
      </x:c>
      <x:c r="I229" s="18" t="n">
        <x:v>1</x:v>
      </x:c>
      <x:c r="J229" s="18" t="n">
        <x:v>213</x:v>
      </x:c>
      <x:c r="K229" s="18" t="n">
        <x:f>SUM(AM229,BF229,W229,AD229)</x:f>
        <x:v>63</x:v>
      </x:c>
      <x:c r="L229" s="18" t="n">
        <x:f>Q229+R229</x:f>
        <x:v>144</x:v>
      </x:c>
      <x:c r="M229" s="19" t="n">
        <x:f>IFERROR(K229/J229,0)</x:f>
        <x:v>0.29577464788732394</x:v>
      </x:c>
      <x:c r="N229" s="19" t="n">
        <x:f>IFERROR(L229/J229,0)</x:f>
        <x:v>0.676056338028169</x:v>
      </x:c>
      <x:c r="O229" s="17" t="str">
        <x:f>IF(K229&gt;MAX(L229,S229),"קואליציית ההקמה 2022",IF(L229&gt;MAX(K229,S229),"אופוזיציה רחבה 2022","רשימות אחרות"))</x:f>
        <x:v>אופוזיציה רחבה 2022</x:v>
      </x:c>
      <x:c r="P229" s="17" t="str">
        <x:f>IF(AND(H229&lt;50%,N229&gt;50%),"כן","לא")</x:f>
        <x:v>כן</x:v>
      </x:c>
      <x:c r="Q229" s="18" t="n">
        <x:f>SUM(AV229,AJ229,AL229,T229,AN229)</x:f>
        <x:v>72</x:v>
      </x:c>
      <x:c r="R229" s="18" t="n">
        <x:f>SUM(Y229,AU229,X229)</x:f>
        <x:v>72</x:v>
      </x:c>
      <x:c r="S229" s="18" t="n">
        <x:f>J229-K229-L229</x:f>
        <x:v>6</x:v>
      </x:c>
      <x:c r="T229" s="18" t="n">
        <x:v>15</x:v>
      </x:c>
      <x:c r="U229" s="18" t="n">
        <x:v>1</x:v>
      </x:c>
      <x:c r="V229" s="18" t="n">
        <x:v>0</x:v>
      </x:c>
      <x:c r="W229" s="18" t="n">
        <x:v>0</x:v>
      </x:c>
      <x:c r="X229" s="18" t="n">
        <x:v>20</x:v>
      </x:c>
      <x:c r="Y229" s="18" t="n">
        <x:v>42</x:v>
      </x:c>
      <x:c r="Z229" s="18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16</x:v>
      </x:c>
      <x:c r="AE229" s="18" t="n">
        <x:v>0</x:v>
      </x:c>
      <x:c r="AF229" s="18" t="n">
        <x:v>0</x:v>
      </x:c>
      <x:c r="AG229" s="18" t="n">
        <x:v>0</x:v>
      </x:c>
      <x:c r="AH229" s="18" t="n">
        <x:v>0</x:v>
      </x:c>
      <x:c r="AI229" s="18" t="n">
        <x:v>0</x:v>
      </x:c>
      <x:c r="AJ229" s="18" t="n">
        <x:v>5</x:v>
      </x:c>
      <x:c r="AK229" s="18" t="n">
        <x:v>0</x:v>
      </x:c>
      <x:c r="AL229" s="18" t="n">
        <x:v>24</x:v>
      </x:c>
      <x:c r="AM229" s="18" t="n">
        <x:v>38</x:v>
      </x:c>
      <x:c r="AN229" s="18" t="n">
        <x:v>5</x:v>
      </x:c>
      <x:c r="AO229" s="18" t="n">
        <x:v>1</x:v>
      </x:c>
      <x:c r="AP229" s="18" t="n">
        <x:v>0</x:v>
      </x:c>
      <x:c r="AQ229" s="18" t="n">
        <x:v>0</x:v>
      </x:c>
      <x:c r="AR229" s="18" t="n">
        <x:v>0</x:v>
      </x:c>
      <x:c r="AS229" s="18" t="n">
        <x:v>0</x:v>
      </x:c>
      <x:c r="AT229" s="18" t="n">
        <x:v>0</x:v>
      </x:c>
      <x:c r="AU229" s="18" t="n">
        <x:v>10</x:v>
      </x:c>
      <x:c r="AV229" s="18" t="n">
        <x:v>23</x:v>
      </x:c>
      <x:c r="AW229" s="18" t="n">
        <x:v>0</x:v>
      </x:c>
      <x:c r="AX229" s="18" t="n">
        <x:v>0</x:v>
      </x:c>
      <x:c r="AY229" s="18" t="n">
        <x:v>0</x:v>
      </x:c>
      <x:c r="AZ229" s="18" t="n">
        <x:v>0</x:v>
      </x:c>
      <x:c r="BA229" s="18" t="n">
        <x:v>0</x:v>
      </x:c>
      <x:c r="BB229" s="18" t="n">
        <x:v>0</x:v>
      </x:c>
      <x:c r="BC229" s="18" t="n">
        <x:v>0</x:v>
      </x:c>
      <x:c r="BD229" s="18" t="n">
        <x:v>4</x:v>
      </x:c>
      <x:c r="BE229" s="18" t="n">
        <x:v>0</x:v>
      </x:c>
      <x:c r="BF229" s="18" t="n">
        <x:v>9</x:v>
      </x:c>
      <x:c r="BG229" s="18" t="n">
        <x:v>0</x:v>
      </x:c>
    </x:row>
    <x:row r="230">
      <x:c r="A230" s="29" t="str">
        <x:v>304.2</x:v>
      </x:c>
      <x:c r="B230" s="17" t="n">
        <x:v>2859</x:v>
      </x:c>
      <x:c r="C230" s="17" t="str">
        <x:v>ערית חיפה אגף האכיפה והגביה</x:v>
      </x:c>
      <x:c r="D230" s="17" t="str">
        <x:v>ברוואלד 5</x:v>
      </x:c>
      <x:c r="E230" s="17" t="str">
        <x:v>גבוה מאוד</x:v>
      </x:c>
      <x:c r="F230" s="18" t="n">
        <x:v>680</x:v>
      </x:c>
      <x:c r="G230" s="18" t="n">
        <x:v>225</x:v>
      </x:c>
      <x:c r="H230" s="19" t="n">
        <x:f>IFERROR(G230/F230,0)</x:f>
        <x:v>0.33088235294117646</x:v>
      </x:c>
      <x:c r="I230" s="18" t="n">
        <x:v>0</x:v>
      </x:c>
      <x:c r="J230" s="18" t="n">
        <x:v>225</x:v>
      </x:c>
      <x:c r="K230" s="18" t="n">
        <x:f>SUM(AM230,BF230,W230,AD230)</x:f>
        <x:v>44</x:v>
      </x:c>
      <x:c r="L230" s="18" t="n">
        <x:f>Q230+R230</x:f>
        <x:v>175</x:v>
      </x:c>
      <x:c r="M230" s="19" t="n">
        <x:f>IFERROR(K230/J230,0)</x:f>
        <x:v>0.19555555555555557</x:v>
      </x:c>
      <x:c r="N230" s="19" t="n">
        <x:f>IFERROR(L230/J230,0)</x:f>
        <x:v>0.7777777777777778</x:v>
      </x:c>
      <x:c r="O230" s="17" t="str">
        <x:f>IF(K230&gt;MAX(L230,S230),"קואליציית ההקמה 2022",IF(L230&gt;MAX(K230,S230),"אופוזיציה רחבה 2022","רשימות אחרות"))</x:f>
        <x:v>אופוזיציה רחבה 2022</x:v>
      </x:c>
      <x:c r="P230" s="17" t="str">
        <x:f>IF(AND(H230&lt;50%,N230&gt;50%),"כן","לא")</x:f>
        <x:v>כן</x:v>
      </x:c>
      <x:c r="Q230" s="18" t="n">
        <x:f>SUM(AV230,AJ230,AL230,T230,AN230)</x:f>
        <x:v>106</x:v>
      </x:c>
      <x:c r="R230" s="18" t="n">
        <x:f>SUM(Y230,AU230,X230)</x:f>
        <x:v>69</x:v>
      </x:c>
      <x:c r="S230" s="18" t="n">
        <x:f>J230-K230-L230</x:f>
        <x:v>6</x:v>
      </x:c>
      <x:c r="T230" s="18" t="n">
        <x:v>19</x:v>
      </x:c>
      <x:c r="U230" s="18" t="n">
        <x:v>0</x:v>
      </x:c>
      <x:c r="V230" s="18" t="n">
        <x:v>0</x:v>
      </x:c>
      <x:c r="W230" s="18" t="n">
        <x:v>3</x:v>
      </x:c>
      <x:c r="X230" s="18" t="n">
        <x:v>17</x:v>
      </x:c>
      <x:c r="Y230" s="18" t="n">
        <x:v>43</x:v>
      </x:c>
      <x:c r="Z230" s="18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8</x:v>
      </x:c>
      <x:c r="AE230" s="18" t="n">
        <x:v>0</x:v>
      </x:c>
      <x:c r="AF230" s="18" t="n">
        <x:v>1</x:v>
      </x:c>
      <x:c r="AG230" s="18" t="n">
        <x:v>0</x:v>
      </x:c>
      <x:c r="AH230" s="18" t="n">
        <x:v>0</x:v>
      </x:c>
      <x:c r="AI230" s="18" t="n">
        <x:v>0</x:v>
      </x:c>
      <x:c r="AJ230" s="18" t="n">
        <x:v>14</x:v>
      </x:c>
      <x:c r="AK230" s="18" t="n">
        <x:v>0</x:v>
      </x:c>
      <x:c r="AL230" s="18" t="n">
        <x:v>43</x:v>
      </x:c>
      <x:c r="AM230" s="18" t="n">
        <x:v>33</x:v>
      </x:c>
      <x:c r="AN230" s="18" t="n">
        <x:v>7</x:v>
      </x:c>
      <x:c r="AO230" s="18" t="n">
        <x:v>0</x:v>
      </x:c>
      <x:c r="AP230" s="18" t="n">
        <x:v>0</x:v>
      </x:c>
      <x:c r="AQ230" s="18" t="n">
        <x:v>0</x:v>
      </x:c>
      <x:c r="AR230" s="18" t="n">
        <x:v>0</x:v>
      </x:c>
      <x:c r="AS230" s="18" t="n">
        <x:v>0</x:v>
      </x:c>
      <x:c r="AT230" s="18" t="n">
        <x:v>0</x:v>
      </x:c>
      <x:c r="AU230" s="18" t="n">
        <x:v>9</x:v>
      </x:c>
      <x:c r="AV230" s="18" t="n">
        <x:v>23</x:v>
      </x:c>
      <x:c r="AW230" s="18" t="n">
        <x:v>1</x:v>
      </x:c>
      <x:c r="AX230" s="18" t="n">
        <x:v>0</x:v>
      </x:c>
      <x:c r="AY230" s="18" t="n">
        <x:v>0</x:v>
      </x:c>
      <x:c r="AZ230" s="18" t="n">
        <x:v>0</x:v>
      </x:c>
      <x:c r="BA230" s="18" t="n">
        <x:v>0</x:v>
      </x:c>
      <x:c r="BB230" s="18" t="n">
        <x:v>0</x:v>
      </x:c>
      <x:c r="BC230" s="18" t="n">
        <x:v>0</x:v>
      </x:c>
      <x:c r="BD230" s="18" t="n">
        <x:v>3</x:v>
      </x:c>
      <x:c r="BE230" s="18" t="n">
        <x:v>0</x:v>
      </x:c>
      <x:c r="BF230" s="18" t="n">
        <x:v>0</x:v>
      </x:c>
      <x:c r="BG230" s="18" t="n">
        <x:v>1</x:v>
      </x:c>
    </x:row>
    <x:row r="231">
      <x:c r="A231" s="29" t="str">
        <x:v>306</x:v>
      </x:c>
      <x:c r="B231" s="17" t="n">
        <x:v>2842</x:v>
      </x:c>
      <x:c r="C231" s="17" t="str">
        <x:v>מועדונית יודפת</x:v>
      </x:c>
      <x:c r="D231" s="17" t="str">
        <x:v>אימבר נפתלי 1</x:v>
      </x:c>
      <x:c r="E231" s="17" t="str">
        <x:v>גבוה מאוד</x:v>
      </x:c>
      <x:c r="F231" s="18" t="n">
        <x:v>532</x:v>
      </x:c>
      <x:c r="G231" s="18" t="n">
        <x:v>140</x:v>
      </x:c>
      <x:c r="H231" s="19" t="n">
        <x:f>IFERROR(G231/F231,0)</x:f>
        <x:v>0.2631578947368421</x:v>
      </x:c>
      <x:c r="I231" s="18" t="n">
        <x:v>5</x:v>
      </x:c>
      <x:c r="J231" s="18" t="n">
        <x:v>135</x:v>
      </x:c>
      <x:c r="K231" s="18" t="n">
        <x:f>SUM(AM231,BF231,W231,AD231)</x:f>
        <x:v>44</x:v>
      </x:c>
      <x:c r="L231" s="18" t="n">
        <x:f>Q231+R231</x:f>
        <x:v>87</x:v>
      </x:c>
      <x:c r="M231" s="19" t="n">
        <x:f>IFERROR(K231/J231,0)</x:f>
        <x:v>0.32592592592592595</x:v>
      </x:c>
      <x:c r="N231" s="19" t="n">
        <x:f>IFERROR(L231/J231,0)</x:f>
        <x:v>0.6444444444444445</x:v>
      </x:c>
      <x:c r="O231" s="17" t="str">
        <x:f>IF(K231&gt;MAX(L231,S231),"קואליציית ההקמה 2022",IF(L231&gt;MAX(K231,S231),"אופוזיציה רחבה 2022","רשימות אחרות"))</x:f>
        <x:v>אופוזיציה רחבה 2022</x:v>
      </x:c>
      <x:c r="P231" s="17" t="str">
        <x:f>IF(AND(H231&lt;50%,N231&gt;50%),"כן","לא")</x:f>
        <x:v>כן</x:v>
      </x:c>
      <x:c r="Q231" s="18" t="n">
        <x:f>SUM(AV231,AJ231,AL231,T231,AN231)</x:f>
        <x:v>58</x:v>
      </x:c>
      <x:c r="R231" s="18" t="n">
        <x:f>SUM(Y231,AU231,X231)</x:f>
        <x:v>29</x:v>
      </x:c>
      <x:c r="S231" s="18" t="n">
        <x:f>J231-K231-L231</x:f>
        <x:v>4</x:v>
      </x:c>
      <x:c r="T231" s="18" t="n">
        <x:v>8</x:v>
      </x:c>
      <x:c r="U231" s="18" t="n">
        <x:v>1</x:v>
      </x:c>
      <x:c r="V231" s="18" t="n">
        <x:v>1</x:v>
      </x:c>
      <x:c r="W231" s="18" t="n">
        <x:v>1</x:v>
      </x:c>
      <x:c r="X231" s="18" t="n">
        <x:v>7</x:v>
      </x:c>
      <x:c r="Y231" s="18" t="n">
        <x:v>20</x:v>
      </x:c>
      <x:c r="Z231" s="18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6</x:v>
      </x:c>
      <x:c r="AE231" s="18" t="n">
        <x:v>0</x:v>
      </x:c>
      <x:c r="AF231" s="18" t="n">
        <x:v>2</x:v>
      </x:c>
      <x:c r="AG231" s="18" t="n">
        <x:v>0</x:v>
      </x:c>
      <x:c r="AH231" s="18" t="n">
        <x:v>0</x:v>
      </x:c>
      <x:c r="AI231" s="18" t="n">
        <x:v>0</x:v>
      </x:c>
      <x:c r="AJ231" s="18" t="n">
        <x:v>1</x:v>
      </x:c>
      <x:c r="AK231" s="18" t="n">
        <x:v>0</x:v>
      </x:c>
      <x:c r="AL231" s="18" t="n">
        <x:v>19</x:v>
      </x:c>
      <x:c r="AM231" s="18" t="n">
        <x:v>34</x:v>
      </x:c>
      <x:c r="AN231" s="18" t="n">
        <x:v>10</x:v>
      </x:c>
      <x:c r="AO231" s="18" t="n">
        <x:v>0</x:v>
      </x:c>
      <x:c r="AP231" s="18" t="n">
        <x:v>0</x:v>
      </x:c>
      <x:c r="AQ231" s="18" t="n">
        <x:v>0</x:v>
      </x:c>
      <x:c r="AR231" s="18" t="n">
        <x:v>0</x:v>
      </x:c>
      <x:c r="AS231" s="18" t="n">
        <x:v>0</x:v>
      </x:c>
      <x:c r="AT231" s="18" t="n">
        <x:v>0</x:v>
      </x:c>
      <x:c r="AU231" s="18" t="n">
        <x:v>2</x:v>
      </x:c>
      <x:c r="AV231" s="18" t="n">
        <x:v>20</x:v>
      </x:c>
      <x:c r="AW231" s="18" t="n">
        <x:v>0</x:v>
      </x:c>
      <x:c r="AX231" s="18" t="n">
        <x:v>0</x:v>
      </x:c>
      <x:c r="AY231" s="18" t="n">
        <x:v>0</x:v>
      </x:c>
      <x:c r="AZ231" s="18" t="n">
        <x:v>0</x:v>
      </x:c>
      <x:c r="BA231" s="18" t="n">
        <x:v>0</x:v>
      </x:c>
      <x:c r="BB231" s="18" t="n">
        <x:v>0</x:v>
      </x:c>
      <x:c r="BC231" s="18" t="n">
        <x:v>0</x:v>
      </x:c>
      <x:c r="BD231" s="18" t="n">
        <x:v>0</x:v>
      </x:c>
      <x:c r="BE231" s="18" t="n">
        <x:v>0</x:v>
      </x:c>
      <x:c r="BF231" s="18" t="n">
        <x:v>3</x:v>
      </x:c>
      <x:c r="BG231" s="18" t="n">
        <x:v>0</x:v>
      </x:c>
    </x:row>
    <x:row r="232">
      <x:c r="A232" s="29" t="str">
        <x:v>318.1</x:v>
      </x:c>
      <x:c r="B232" s="17" t="n">
        <x:v>2860</x:v>
      </x:c>
      <x:c r="C232" s="17" t="str">
        <x:v>ספריה עירונית "פבזנר"</x:v>
      </x:c>
      <x:c r="D232" s="17" t="str">
        <x:v>פבזנר 54</x:v>
      </x:c>
      <x:c r="E232" s="17" t="str">
        <x:v>גבוה מאוד</x:v>
      </x:c>
      <x:c r="F232" s="18" t="n">
        <x:v>469</x:v>
      </x:c>
      <x:c r="G232" s="18" t="n">
        <x:v>200</x:v>
      </x:c>
      <x:c r="H232" s="19" t="n">
        <x:f>IFERROR(G232/F232,0)</x:f>
        <x:v>0.42643923240938164</x:v>
      </x:c>
      <x:c r="I232" s="18" t="n">
        <x:v>0</x:v>
      </x:c>
      <x:c r="J232" s="18" t="n">
        <x:v>200</x:v>
      </x:c>
      <x:c r="K232" s="18" t="n">
        <x:f>SUM(AM232,BF232,W232,AD232)</x:f>
        <x:v>118</x:v>
      </x:c>
      <x:c r="L232" s="18" t="n">
        <x:f>Q232+R232</x:f>
        <x:v>79</x:v>
      </x:c>
      <x:c r="M232" s="19" t="n">
        <x:f>IFERROR(K232/J232,0)</x:f>
        <x:v>0.59</x:v>
      </x:c>
      <x:c r="N232" s="19" t="n">
        <x:f>IFERROR(L232/J232,0)</x:f>
        <x:v>0.395</x:v>
      </x:c>
      <x:c r="O232" s="17" t="str">
        <x:f>IF(K232&gt;MAX(L232,S232),"קואליציית ההקמה 2022",IF(L232&gt;MAX(K232,S232),"אופוזיציה רחבה 2022","רשימות אחרות"))</x:f>
        <x:v>קואליציית ההקמה 2022</x:v>
      </x:c>
      <x:c r="P232" s="17" t="str">
        <x:f>IF(AND(H232&lt;50%,N232&gt;50%),"כן","לא")</x:f>
        <x:v>לא</x:v>
      </x:c>
      <x:c r="Q232" s="18" t="n">
        <x:f>SUM(AV232,AJ232,AL232,T232,AN232)</x:f>
        <x:v>76</x:v>
      </x:c>
      <x:c r="R232" s="18" t="n">
        <x:f>SUM(Y232,AU232,X232)</x:f>
        <x:v>3</x:v>
      </x:c>
      <x:c r="S232" s="18" t="n">
        <x:f>J232-K232-L232</x:f>
        <x:v>3</x:v>
      </x:c>
      <x:c r="T232" s="18" t="n">
        <x:v>14</x:v>
      </x:c>
      <x:c r="U232" s="18" t="n">
        <x:v>1</x:v>
      </x:c>
      <x:c r="V232" s="18" t="n">
        <x:v>1</x:v>
      </x:c>
      <x:c r="W232" s="18" t="n">
        <x:v>53</x:v>
      </x:c>
      <x:c r="X232" s="18" t="n">
        <x:v>0</x:v>
      </x:c>
      <x:c r="Y232" s="18" t="n">
        <x:v>3</x:v>
      </x:c>
      <x:c r="Z232" s="18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13</x:v>
      </x:c>
      <x:c r="AE232" s="18" t="n">
        <x:v>0</x:v>
      </x:c>
      <x:c r="AF232" s="18" t="n">
        <x:v>0</x:v>
      </x:c>
      <x:c r="AG232" s="18" t="n">
        <x:v>0</x:v>
      </x:c>
      <x:c r="AH232" s="18" t="n">
        <x:v>0</x:v>
      </x:c>
      <x:c r="AI232" s="18" t="n">
        <x:v>0</x:v>
      </x:c>
      <x:c r="AJ232" s="18" t="n">
        <x:v>3</x:v>
      </x:c>
      <x:c r="AK232" s="18" t="n">
        <x:v>0</x:v>
      </x:c>
      <x:c r="AL232" s="18" t="n">
        <x:v>20</x:v>
      </x:c>
      <x:c r="AM232" s="18" t="n">
        <x:v>26</x:v>
      </x:c>
      <x:c r="AN232" s="18" t="n">
        <x:v>15</x:v>
      </x:c>
      <x:c r="AO232" s="18" t="n">
        <x:v>0</x:v>
      </x:c>
      <x:c r="AP232" s="18" t="n">
        <x:v>0</x:v>
      </x:c>
      <x:c r="AQ232" s="18" t="n">
        <x:v>0</x:v>
      </x:c>
      <x:c r="AR232" s="18" t="n">
        <x:v>0</x:v>
      </x:c>
      <x:c r="AS232" s="18" t="n">
        <x:v>0</x:v>
      </x:c>
      <x:c r="AT232" s="18" t="n">
        <x:v>0</x:v>
      </x:c>
      <x:c r="AU232" s="18" t="n">
        <x:v>0</x:v>
      </x:c>
      <x:c r="AV232" s="18" t="n">
        <x:v>24</x:v>
      </x:c>
      <x:c r="AW232" s="18" t="n">
        <x:v>0</x:v>
      </x:c>
      <x:c r="AX232" s="18" t="n">
        <x:v>1</x:v>
      </x:c>
      <x:c r="AY232" s="18" t="n">
        <x:v>0</x:v>
      </x:c>
      <x:c r="AZ232" s="18" t="n">
        <x:v>0</x:v>
      </x:c>
      <x:c r="BA232" s="18" t="n">
        <x:v>0</x:v>
      </x:c>
      <x:c r="BB232" s="18" t="n">
        <x:v>0</x:v>
      </x:c>
      <x:c r="BC232" s="18" t="n">
        <x:v>0</x:v>
      </x:c>
      <x:c r="BD232" s="18" t="n">
        <x:v>0</x:v>
      </x:c>
      <x:c r="BE232" s="18" t="n">
        <x:v>0</x:v>
      </x:c>
      <x:c r="BF232" s="18" t="n">
        <x:v>26</x:v>
      </x:c>
      <x:c r="BG232" s="18" t="n">
        <x:v>0</x:v>
      </x:c>
    </x:row>
    <x:row r="233">
      <x:c r="A233" s="29" t="str">
        <x:v>318.2</x:v>
      </x:c>
      <x:c r="B233" s="17" t="n">
        <x:v>2861</x:v>
      </x:c>
      <x:c r="C233" s="17" t="str">
        <x:v>ספריה עירונית "פבזנר"</x:v>
      </x:c>
      <x:c r="D233" s="17" t="str">
        <x:v>פבזנר 54</x:v>
      </x:c>
      <x:c r="E233" s="17" t="str">
        <x:v>גבוה מאוד</x:v>
      </x:c>
      <x:c r="F233" s="18" t="n">
        <x:v>469</x:v>
      </x:c>
      <x:c r="G233" s="18" t="n">
        <x:v>169</x:v>
      </x:c>
      <x:c r="H233" s="19" t="n">
        <x:f>IFERROR(G233/F233,0)</x:f>
        <x:v>0.3603411513859275</x:v>
      </x:c>
      <x:c r="I233" s="18" t="n">
        <x:v>1</x:v>
      </x:c>
      <x:c r="J233" s="18" t="n">
        <x:v>168</x:v>
      </x:c>
      <x:c r="K233" s="18" t="n">
        <x:f>SUM(AM233,BF233,W233,AD233)</x:f>
        <x:v>84</x:v>
      </x:c>
      <x:c r="L233" s="18" t="n">
        <x:f>Q233+R233</x:f>
        <x:v>81</x:v>
      </x:c>
      <x:c r="M233" s="19" t="n">
        <x:f>IFERROR(K233/J233,0)</x:f>
        <x:v>0.5</x:v>
      </x:c>
      <x:c r="N233" s="19" t="n">
        <x:f>IFERROR(L233/J233,0)</x:f>
        <x:v>0.48214285714285715</x:v>
      </x:c>
      <x:c r="O233" s="17" t="str">
        <x:f>IF(K233&gt;MAX(L233,S233),"קואליציית ההקמה 2022",IF(L233&gt;MAX(K233,S233),"אופוזיציה רחבה 2022","רשימות אחרות"))</x:f>
        <x:v>קואליציית ההקמה 2022</x:v>
      </x:c>
      <x:c r="P233" s="17" t="str">
        <x:f>IF(AND(H233&lt;50%,N233&gt;50%),"כן","לא")</x:f>
        <x:v>לא</x:v>
      </x:c>
      <x:c r="Q233" s="18" t="n">
        <x:f>SUM(AV233,AJ233,AL233,T233,AN233)</x:f>
        <x:v>79</x:v>
      </x:c>
      <x:c r="R233" s="18" t="n">
        <x:f>SUM(Y233,AU233,X233)</x:f>
        <x:v>2</x:v>
      </x:c>
      <x:c r="S233" s="18" t="n">
        <x:f>J233-K233-L233</x:f>
        <x:v>3</x:v>
      </x:c>
      <x:c r="T233" s="18" t="n">
        <x:v>10</x:v>
      </x:c>
      <x:c r="U233" s="18" t="n">
        <x:v>0</x:v>
      </x:c>
      <x:c r="V233" s="18" t="n">
        <x:v>1</x:v>
      </x:c>
      <x:c r="W233" s="18" t="n">
        <x:v>29</x:v>
      </x:c>
      <x:c r="X233" s="18" t="n">
        <x:v>1</x:v>
      </x:c>
      <x:c r="Y233" s="18" t="n">
        <x:v>1</x:v>
      </x:c>
      <x:c r="Z233" s="18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15</x:v>
      </x:c>
      <x:c r="AE233" s="18" t="n">
        <x:v>0</x:v>
      </x:c>
      <x:c r="AF233" s="18" t="n">
        <x:v>1</x:v>
      </x:c>
      <x:c r="AG233" s="18" t="n">
        <x:v>0</x:v>
      </x:c>
      <x:c r="AH233" s="18" t="n">
        <x:v>0</x:v>
      </x:c>
      <x:c r="AI233" s="18" t="n">
        <x:v>0</x:v>
      </x:c>
      <x:c r="AJ233" s="18" t="n">
        <x:v>6</x:v>
      </x:c>
      <x:c r="AK233" s="18" t="n">
        <x:v>1</x:v>
      </x:c>
      <x:c r="AL233" s="18" t="n">
        <x:v>40</x:v>
      </x:c>
      <x:c r="AM233" s="18" t="n">
        <x:v>32</x:v>
      </x:c>
      <x:c r="AN233" s="18" t="n">
        <x:v>6</x:v>
      </x:c>
      <x:c r="AO233" s="18" t="n">
        <x:v>0</x:v>
      </x:c>
      <x:c r="AP233" s="18" t="n">
        <x:v>0</x:v>
      </x:c>
      <x:c r="AQ233" s="18" t="n">
        <x:v>0</x:v>
      </x:c>
      <x:c r="AR233" s="18" t="n">
        <x:v>0</x:v>
      </x:c>
      <x:c r="AS233" s="18" t="n">
        <x:v>0</x:v>
      </x:c>
      <x:c r="AT233" s="18" t="n">
        <x:v>0</x:v>
      </x:c>
      <x:c r="AU233" s="18" t="n">
        <x:v>0</x:v>
      </x:c>
      <x:c r="AV233" s="18" t="n">
        <x:v>17</x:v>
      </x:c>
      <x:c r="AW233" s="18" t="n">
        <x:v>0</x:v>
      </x:c>
      <x:c r="AX233" s="18" t="n">
        <x:v>0</x:v>
      </x:c>
      <x:c r="AY233" s="18" t="n">
        <x:v>0</x:v>
      </x:c>
      <x:c r="AZ233" s="18" t="n">
        <x:v>0</x:v>
      </x:c>
      <x:c r="BA233" s="18" t="n">
        <x:v>0</x:v>
      </x:c>
      <x:c r="BB233" s="18" t="n">
        <x:v>0</x:v>
      </x:c>
      <x:c r="BC233" s="18" t="n">
        <x:v>0</x:v>
      </x:c>
      <x:c r="BD233" s="18" t="n">
        <x:v>0</x:v>
      </x:c>
      <x:c r="BE233" s="18" t="n">
        <x:v>0</x:v>
      </x:c>
      <x:c r="BF233" s="18" t="n">
        <x:v>8</x:v>
      </x:c>
      <x:c r="BG233" s="18" t="n">
        <x:v>0</x:v>
      </x:c>
    </x:row>
    <x:row r="234">
      <x:c r="A234" s="29" t="str">
        <x:v>318.3</x:v>
      </x:c>
      <x:c r="B234" s="17" t="n">
        <x:v>2862</x:v>
      </x:c>
      <x:c r="C234" s="17" t="str">
        <x:v>בית ההגנה "צוות"</x:v>
      </x:c>
      <x:c r="D234" s="17" t="str">
        <x:v>פבזנר 33</x:v>
      </x:c>
      <x:c r="E234" s="17" t="str">
        <x:v>בינוני-גבוה</x:v>
      </x:c>
      <x:c r="F234" s="18" t="n">
        <x:v>468</x:v>
      </x:c>
      <x:c r="G234" s="18" t="n">
        <x:v>209</x:v>
      </x:c>
      <x:c r="H234" s="19" t="n">
        <x:f>IFERROR(G234/F234,0)</x:f>
        <x:v>0.4465811965811966</x:v>
      </x:c>
      <x:c r="I234" s="18" t="n">
        <x:v>0</x:v>
      </x:c>
      <x:c r="J234" s="18" t="n">
        <x:v>209</x:v>
      </x:c>
      <x:c r="K234" s="18" t="n">
        <x:f>SUM(AM234,BF234,W234,AD234)</x:f>
        <x:v>117</x:v>
      </x:c>
      <x:c r="L234" s="18" t="n">
        <x:f>Q234+R234</x:f>
        <x:v>87</x:v>
      </x:c>
      <x:c r="M234" s="19" t="n">
        <x:f>IFERROR(K234/J234,0)</x:f>
        <x:v>0.5598086124401914</x:v>
      </x:c>
      <x:c r="N234" s="19" t="n">
        <x:f>IFERROR(L234/J234,0)</x:f>
        <x:v>0.41626794258373206</x:v>
      </x:c>
      <x:c r="O234" s="17" t="str">
        <x:f>IF(K234&gt;MAX(L234,S234),"קואליציית ההקמה 2022",IF(L234&gt;MAX(K234,S234),"אופוזיציה רחבה 2022","רשימות אחרות"))</x:f>
        <x:v>קואליציית ההקמה 2022</x:v>
      </x:c>
      <x:c r="P234" s="17" t="str">
        <x:f>IF(AND(H234&lt;50%,N234&gt;50%),"כן","לא")</x:f>
        <x:v>לא</x:v>
      </x:c>
      <x:c r="Q234" s="18" t="n">
        <x:f>SUM(AV234,AJ234,AL234,T234,AN234)</x:f>
        <x:v>85</x:v>
      </x:c>
      <x:c r="R234" s="18" t="n">
        <x:f>SUM(Y234,AU234,X234)</x:f>
        <x:v>2</x:v>
      </x:c>
      <x:c r="S234" s="18" t="n">
        <x:f>J234-K234-L234</x:f>
        <x:v>5</x:v>
      </x:c>
      <x:c r="T234" s="18" t="n">
        <x:v>10</x:v>
      </x:c>
      <x:c r="U234" s="18" t="n">
        <x:v>0</x:v>
      </x:c>
      <x:c r="V234" s="18" t="n">
        <x:v>0</x:v>
      </x:c>
      <x:c r="W234" s="18" t="n">
        <x:v>59</x:v>
      </x:c>
      <x:c r="X234" s="18" t="n">
        <x:v>0</x:v>
      </x:c>
      <x:c r="Y234" s="18" t="n">
        <x:v>2</x:v>
      </x:c>
      <x:c r="Z234" s="18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14</x:v>
      </x:c>
      <x:c r="AE234" s="18" t="n">
        <x:v>0</x:v>
      </x:c>
      <x:c r="AF234" s="18" t="n">
        <x:v>0</x:v>
      </x:c>
      <x:c r="AG234" s="18" t="n">
        <x:v>0</x:v>
      </x:c>
      <x:c r="AH234" s="18" t="n">
        <x:v>0</x:v>
      </x:c>
      <x:c r="AI234" s="18" t="n">
        <x:v>0</x:v>
      </x:c>
      <x:c r="AJ234" s="18" t="n">
        <x:v>5</x:v>
      </x:c>
      <x:c r="AK234" s="18" t="n">
        <x:v>1</x:v>
      </x:c>
      <x:c r="AL234" s="18" t="n">
        <x:v>38</x:v>
      </x:c>
      <x:c r="AM234" s="18" t="n">
        <x:v>25</x:v>
      </x:c>
      <x:c r="AN234" s="18" t="n">
        <x:v>12</x:v>
      </x:c>
      <x:c r="AO234" s="18" t="n">
        <x:v>1</x:v>
      </x:c>
      <x:c r="AP234" s="18" t="n">
        <x:v>1</x:v>
      </x:c>
      <x:c r="AQ234" s="18" t="n">
        <x:v>0</x:v>
      </x:c>
      <x:c r="AR234" s="18" t="n">
        <x:v>0</x:v>
      </x:c>
      <x:c r="AS234" s="18" t="n">
        <x:v>0</x:v>
      </x:c>
      <x:c r="AT234" s="18" t="n">
        <x:v>0</x:v>
      </x:c>
      <x:c r="AU234" s="18" t="n">
        <x:v>0</x:v>
      </x:c>
      <x:c r="AV234" s="18" t="n">
        <x:v>20</x:v>
      </x:c>
      <x:c r="AW234" s="18" t="n">
        <x:v>0</x:v>
      </x:c>
      <x:c r="AX234" s="18" t="n">
        <x:v>2</x:v>
      </x:c>
      <x:c r="AY234" s="18" t="n">
        <x:v>0</x:v>
      </x:c>
      <x:c r="AZ234" s="18" t="n">
        <x:v>0</x:v>
      </x:c>
      <x:c r="BA234" s="18" t="n">
        <x:v>0</x:v>
      </x:c>
      <x:c r="BB234" s="18" t="n">
        <x:v>0</x:v>
      </x:c>
      <x:c r="BC234" s="18" t="n">
        <x:v>0</x:v>
      </x:c>
      <x:c r="BD234" s="18" t="n">
        <x:v>0</x:v>
      </x:c>
      <x:c r="BE234" s="18" t="n">
        <x:v>0</x:v>
      </x:c>
      <x:c r="BF234" s="18" t="n">
        <x:v>19</x:v>
      </x:c>
      <x:c r="BG234" s="18" t="n">
        <x:v>0</x:v>
      </x:c>
    </x:row>
    <x:row r="235">
      <x:c r="A235" s="29" t="str">
        <x:v>319</x:v>
      </x:c>
      <x:c r="B235" s="17" t="n">
        <x:v>2895</x:v>
      </x:c>
      <x:c r="C235" s="17" t="str">
        <x:v>בי"ס בית יעקב לבנות</x:v>
      </x:c>
      <x:c r="D235" s="17" t="str">
        <x:v>המימוני 2</x:v>
      </x:c>
      <x:c r="E235" s="17" t="str">
        <x:v>גבוה מאוד</x:v>
      </x:c>
      <x:c r="F235" s="18" t="n">
        <x:v>502</x:v>
      </x:c>
      <x:c r="G235" s="18" t="n">
        <x:v>315</x:v>
      </x:c>
      <x:c r="H235" s="19" t="n">
        <x:f>IFERROR(G235/F235,0)</x:f>
        <x:v>0.6274900398406374</x:v>
      </x:c>
      <x:c r="I235" s="18" t="n">
        <x:v>1</x:v>
      </x:c>
      <x:c r="J235" s="18" t="n">
        <x:v>314</x:v>
      </x:c>
      <x:c r="K235" s="18" t="n">
        <x:f>SUM(AM235,BF235,W235,AD235)</x:f>
        <x:v>152</x:v>
      </x:c>
      <x:c r="L235" s="18" t="n">
        <x:f>Q235+R235</x:f>
        <x:v>159</x:v>
      </x:c>
      <x:c r="M235" s="19" t="n">
        <x:f>IFERROR(K235/J235,0)</x:f>
        <x:v>0.4840764331210191</x:v>
      </x:c>
      <x:c r="N235" s="19" t="n">
        <x:f>IFERROR(L235/J235,0)</x:f>
        <x:v>0.5063694267515924</x:v>
      </x:c>
      <x:c r="O235" s="17" t="str">
        <x:f>IF(K235&gt;MAX(L235,S235),"קואליציית ההקמה 2022",IF(L235&gt;MAX(K235,S235),"אופוזיציה רחבה 2022","רשימות אחרות"))</x:f>
        <x:v>אופוזיציה רחבה 2022</x:v>
      </x:c>
      <x:c r="P235" s="17" t="str">
        <x:f>IF(AND(H235&lt;50%,N235&gt;50%),"כן","לא")</x:f>
        <x:v>לא</x:v>
      </x:c>
      <x:c r="Q235" s="18" t="n">
        <x:f>SUM(AV235,AJ235,AL235,T235,AN235)</x:f>
        <x:v>155</x:v>
      </x:c>
      <x:c r="R235" s="18" t="n">
        <x:f>SUM(Y235,AU235,X235)</x:f>
        <x:v>4</x:v>
      </x:c>
      <x:c r="S235" s="18" t="n">
        <x:f>J235-K235-L235</x:f>
        <x:v>3</x:v>
      </x:c>
      <x:c r="T235" s="18" t="n">
        <x:v>6</x:v>
      </x:c>
      <x:c r="U235" s="18" t="n">
        <x:v>0</x:v>
      </x:c>
      <x:c r="V235" s="18" t="n">
        <x:v>3</x:v>
      </x:c>
      <x:c r="W235" s="18" t="n">
        <x:v>2</x:v>
      </x:c>
      <x:c r="X235" s="18" t="n">
        <x:v>3</x:v>
      </x:c>
      <x:c r="Y235" s="18" t="n">
        <x:v>1</x:v>
      </x:c>
      <x:c r="Z235" s="18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22</x:v>
      </x:c>
      <x:c r="AE235" s="18" t="n">
        <x:v>0</x:v>
      </x:c>
      <x:c r="AF235" s="18" t="n">
        <x:v>0</x:v>
      </x:c>
      <x:c r="AG235" s="18" t="n">
        <x:v>0</x:v>
      </x:c>
      <x:c r="AH235" s="18" t="n">
        <x:v>0</x:v>
      </x:c>
      <x:c r="AI235" s="18" t="n">
        <x:v>0</x:v>
      </x:c>
      <x:c r="AJ235" s="18" t="n">
        <x:v>39</x:v>
      </x:c>
      <x:c r="AK235" s="18" t="n">
        <x:v>0</x:v>
      </x:c>
      <x:c r="AL235" s="18" t="n">
        <x:v>36</x:v>
      </x:c>
      <x:c r="AM235" s="18" t="n">
        <x:v>107</x:v>
      </x:c>
      <x:c r="AN235" s="18" t="n">
        <x:v>6</x:v>
      </x:c>
      <x:c r="AO235" s="18" t="n">
        <x:v>0</x:v>
      </x:c>
      <x:c r="AP235" s="18" t="n">
        <x:v>0</x:v>
      </x:c>
      <x:c r="AQ235" s="18" t="n">
        <x:v>0</x:v>
      </x:c>
      <x:c r="AR235" s="18" t="n">
        <x:v>0</x:v>
      </x:c>
      <x:c r="AS235" s="18" t="n">
        <x:v>0</x:v>
      </x:c>
      <x:c r="AT235" s="18" t="n">
        <x:v>0</x:v>
      </x:c>
      <x:c r="AU235" s="18" t="n">
        <x:v>0</x:v>
      </x:c>
      <x:c r="AV235" s="18" t="n">
        <x:v>68</x:v>
      </x:c>
      <x:c r="AW235" s="18" t="n">
        <x:v>0</x:v>
      </x:c>
      <x:c r="AX235" s="18" t="n">
        <x:v>0</x:v>
      </x:c>
      <x:c r="AY235" s="18" t="n">
        <x:v>0</x:v>
      </x:c>
      <x:c r="AZ235" s="18" t="n">
        <x:v>0</x:v>
      </x:c>
      <x:c r="BA235" s="18" t="n">
        <x:v>0</x:v>
      </x:c>
      <x:c r="BB235" s="18" t="n">
        <x:v>0</x:v>
      </x:c>
      <x:c r="BC235" s="18" t="n">
        <x:v>0</x:v>
      </x:c>
      <x:c r="BD235" s="18" t="n">
        <x:v>0</x:v>
      </x:c>
      <x:c r="BE235" s="18" t="n">
        <x:v>0</x:v>
      </x:c>
      <x:c r="BF235" s="18" t="n">
        <x:v>21</x:v>
      </x:c>
      <x:c r="BG235" s="18" t="n">
        <x:v>0</x:v>
      </x:c>
    </x:row>
    <x:row r="236">
      <x:c r="A236" s="29" t="str">
        <x:v>320.1</x:v>
      </x:c>
      <x:c r="B236" s="17" t="n">
        <x:v>2863</x:v>
      </x:c>
      <x:c r="C236" s="17" t="str">
        <x:v>ת.דתי לבנות בית יעקב</x:v>
      </x:c>
      <x:c r="D236" s="17" t="str">
        <x:v>בצלאל 5</x:v>
      </x:c>
      <x:c r="E236" s="17" t="str">
        <x:v>גבוה מאוד</x:v>
      </x:c>
      <x:c r="F236" s="18" t="n">
        <x:v>621</x:v>
      </x:c>
      <x:c r="G236" s="18" t="n">
        <x:v>351</x:v>
      </x:c>
      <x:c r="H236" s="19" t="n">
        <x:f>IFERROR(G236/F236,0)</x:f>
        <x:v>0.5652173913043478</x:v>
      </x:c>
      <x:c r="I236" s="18" t="n">
        <x:v>1</x:v>
      </x:c>
      <x:c r="J236" s="18" t="n">
        <x:v>350</x:v>
      </x:c>
      <x:c r="K236" s="18" t="n">
        <x:f>SUM(AM236,BF236,W236,AD236)</x:f>
        <x:v>283</x:v>
      </x:c>
      <x:c r="L236" s="18" t="n">
        <x:f>Q236+R236</x:f>
        <x:v>62</x:v>
      </x:c>
      <x:c r="M236" s="19" t="n">
        <x:f>IFERROR(K236/J236,0)</x:f>
        <x:v>0.8085714285714286</x:v>
      </x:c>
      <x:c r="N236" s="19" t="n">
        <x:f>IFERROR(L236/J236,0)</x:f>
        <x:v>0.17714285714285713</x:v>
      </x:c>
      <x:c r="O236" s="17" t="str">
        <x:f>IF(K236&gt;MAX(L236,S236),"קואליציית ההקמה 2022",IF(L236&gt;MAX(K236,S236),"אופוזיציה רחבה 2022","רשימות אחרות"))</x:f>
        <x:v>קואליציית ההקמה 2022</x:v>
      </x:c>
      <x:c r="P236" s="17" t="str">
        <x:f>IF(AND(H236&lt;50%,N236&gt;50%),"כן","לא")</x:f>
        <x:v>לא</x:v>
      </x:c>
      <x:c r="Q236" s="18" t="n">
        <x:f>SUM(AV236,AJ236,AL236,T236,AN236)</x:f>
        <x:v>59</x:v>
      </x:c>
      <x:c r="R236" s="18" t="n">
        <x:f>SUM(Y236,AU236,X236)</x:f>
        <x:v>3</x:v>
      </x:c>
      <x:c r="S236" s="18" t="n">
        <x:f>J236-K236-L236</x:f>
        <x:v>5</x:v>
      </x:c>
      <x:c r="T236" s="18" t="n">
        <x:v>1</x:v>
      </x:c>
      <x:c r="U236" s="18" t="n">
        <x:v>0</x:v>
      </x:c>
      <x:c r="V236" s="18" t="n">
        <x:v>2</x:v>
      </x:c>
      <x:c r="W236" s="18" t="n">
        <x:v>125</x:v>
      </x:c>
      <x:c r="X236" s="18" t="n">
        <x:v>0</x:v>
      </x:c>
      <x:c r="Y236" s="18" t="n">
        <x:v>3</x:v>
      </x:c>
      <x:c r="Z236" s="18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20</x:v>
      </x:c>
      <x:c r="AE236" s="18" t="n">
        <x:v>0</x:v>
      </x:c>
      <x:c r="AF236" s="18" t="n">
        <x:v>0</x:v>
      </x:c>
      <x:c r="AG236" s="18" t="n">
        <x:v>0</x:v>
      </x:c>
      <x:c r="AH236" s="18" t="n">
        <x:v>0</x:v>
      </x:c>
      <x:c r="AI236" s="18" t="n">
        <x:v>0</x:v>
      </x:c>
      <x:c r="AJ236" s="18" t="n">
        <x:v>7</x:v>
      </x:c>
      <x:c r="AK236" s="18" t="n">
        <x:v>0</x:v>
      </x:c>
      <x:c r="AL236" s="18" t="n">
        <x:v>27</x:v>
      </x:c>
      <x:c r="AM236" s="18" t="n">
        <x:v>38</x:v>
      </x:c>
      <x:c r="AN236" s="18" t="n">
        <x:v>0</x:v>
      </x:c>
      <x:c r="AO236" s="18" t="n">
        <x:v>0</x:v>
      </x:c>
      <x:c r="AP236" s="18" t="n">
        <x:v>0</x:v>
      </x:c>
      <x:c r="AQ236" s="18" t="n">
        <x:v>0</x:v>
      </x:c>
      <x:c r="AR236" s="18" t="n">
        <x:v>0</x:v>
      </x:c>
      <x:c r="AS236" s="18" t="n">
        <x:v>0</x:v>
      </x:c>
      <x:c r="AT236" s="18" t="n">
        <x:v>0</x:v>
      </x:c>
      <x:c r="AU236" s="18" t="n">
        <x:v>0</x:v>
      </x:c>
      <x:c r="AV236" s="18" t="n">
        <x:v>24</x:v>
      </x:c>
      <x:c r="AW236" s="18" t="n">
        <x:v>0</x:v>
      </x:c>
      <x:c r="AX236" s="18" t="n">
        <x:v>0</x:v>
      </x:c>
      <x:c r="AY236" s="18" t="n">
        <x:v>0</x:v>
      </x:c>
      <x:c r="AZ236" s="18" t="n">
        <x:v>1</x:v>
      </x:c>
      <x:c r="BA236" s="18" t="n">
        <x:v>0</x:v>
      </x:c>
      <x:c r="BB236" s="18" t="n">
        <x:v>0</x:v>
      </x:c>
      <x:c r="BC236" s="18" t="n">
        <x:v>0</x:v>
      </x:c>
      <x:c r="BD236" s="18" t="n">
        <x:v>1</x:v>
      </x:c>
      <x:c r="BE236" s="18" t="n">
        <x:v>1</x:v>
      </x:c>
      <x:c r="BF236" s="18" t="n">
        <x:v>100</x:v>
      </x:c>
      <x:c r="BG236" s="18" t="n">
        <x:v>0</x:v>
      </x:c>
    </x:row>
    <x:row r="237">
      <x:c r="A237" s="29" t="str">
        <x:v>320.2</x:v>
      </x:c>
      <x:c r="B237" s="17" t="n">
        <x:v>2864</x:v>
      </x:c>
      <x:c r="C237" s="17" t="str">
        <x:v>ת.דתי לבנות בית יעקב</x:v>
      </x:c>
      <x:c r="D237" s="17" t="str">
        <x:v>בצלאל 5</x:v>
      </x:c>
      <x:c r="E237" s="17" t="str">
        <x:v>גבוה מאוד</x:v>
      </x:c>
      <x:c r="F237" s="18" t="n">
        <x:v>621</x:v>
      </x:c>
      <x:c r="G237" s="18" t="n">
        <x:v>377</x:v>
      </x:c>
      <x:c r="H237" s="19" t="n">
        <x:f>IFERROR(G237/F237,0)</x:f>
        <x:v>0.607085346215781</x:v>
      </x:c>
      <x:c r="I237" s="18" t="n">
        <x:v>2</x:v>
      </x:c>
      <x:c r="J237" s="18" t="n">
        <x:v>375</x:v>
      </x:c>
      <x:c r="K237" s="18" t="n">
        <x:f>SUM(AM237,BF237,W237,AD237)</x:f>
        <x:v>327</x:v>
      </x:c>
      <x:c r="L237" s="18" t="n">
        <x:f>Q237+R237</x:f>
        <x:v>46</x:v>
      </x:c>
      <x:c r="M237" s="19" t="n">
        <x:f>IFERROR(K237/J237,0)</x:f>
        <x:v>0.872</x:v>
      </x:c>
      <x:c r="N237" s="19" t="n">
        <x:f>IFERROR(L237/J237,0)</x:f>
        <x:v>0.12266666666666666</x:v>
      </x:c>
      <x:c r="O237" s="17" t="str">
        <x:f>IF(K237&gt;MAX(L237,S237),"קואליציית ההקמה 2022",IF(L237&gt;MAX(K237,S237),"אופוזיציה רחבה 2022","רשימות אחרות"))</x:f>
        <x:v>קואליציית ההקמה 2022</x:v>
      </x:c>
      <x:c r="P237" s="17" t="str">
        <x:f>IF(AND(H237&lt;50%,N237&gt;50%),"כן","לא")</x:f>
        <x:v>לא</x:v>
      </x:c>
      <x:c r="Q237" s="18" t="n">
        <x:f>SUM(AV237,AJ237,AL237,T237,AN237)</x:f>
        <x:v>46</x:v>
      </x:c>
      <x:c r="R237" s="18" t="n">
        <x:f>SUM(Y237,AU237,X237)</x:f>
        <x:v>0</x:v>
      </x:c>
      <x:c r="S237" s="18" t="n">
        <x:f>J237-K237-L237</x:f>
        <x:v>2</x:v>
      </x:c>
      <x:c r="T237" s="18" t="n">
        <x:v>1</x:v>
      </x:c>
      <x:c r="U237" s="18" t="n">
        <x:v>0</x:v>
      </x:c>
      <x:c r="V237" s="18" t="n">
        <x:v>0</x:v>
      </x:c>
      <x:c r="W237" s="18" t="n">
        <x:v>241</x:v>
      </x:c>
      <x:c r="X237" s="18" t="n">
        <x:v>0</x:v>
      </x:c>
      <x:c r="Y237" s="18" t="n">
        <x:v>0</x:v>
      </x:c>
      <x:c r="Z237" s="18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16</x:v>
      </x:c>
      <x:c r="AE237" s="18" t="n">
        <x:v>0</x:v>
      </x:c>
      <x:c r="AF237" s="18" t="n">
        <x:v>1</x:v>
      </x:c>
      <x:c r="AG237" s="18" t="n">
        <x:v>0</x:v>
      </x:c>
      <x:c r="AH237" s="18" t="n">
        <x:v>0</x:v>
      </x:c>
      <x:c r="AI237" s="18" t="n">
        <x:v>0</x:v>
      </x:c>
      <x:c r="AJ237" s="18" t="n">
        <x:v>1</x:v>
      </x:c>
      <x:c r="AK237" s="18" t="n">
        <x:v>0</x:v>
      </x:c>
      <x:c r="AL237" s="18" t="n">
        <x:v>24</x:v>
      </x:c>
      <x:c r="AM237" s="18" t="n">
        <x:v>32</x:v>
      </x:c>
      <x:c r="AN237" s="18" t="n">
        <x:v>2</x:v>
      </x:c>
      <x:c r="AO237" s="18" t="n">
        <x:v>0</x:v>
      </x:c>
      <x:c r="AP237" s="18" t="n">
        <x:v>0</x:v>
      </x:c>
      <x:c r="AQ237" s="18" t="n">
        <x:v>0</x:v>
      </x:c>
      <x:c r="AR237" s="18" t="n">
        <x:v>0</x:v>
      </x:c>
      <x:c r="AS237" s="18" t="n">
        <x:v>0</x:v>
      </x:c>
      <x:c r="AT237" s="18" t="n">
        <x:v>0</x:v>
      </x:c>
      <x:c r="AU237" s="18" t="n">
        <x:v>0</x:v>
      </x:c>
      <x:c r="AV237" s="18" t="n">
        <x:v>18</x:v>
      </x:c>
      <x:c r="AW237" s="18" t="n">
        <x:v>0</x:v>
      </x:c>
      <x:c r="AX237" s="18" t="n">
        <x:v>0</x:v>
      </x:c>
      <x:c r="AY237" s="18" t="n">
        <x:v>0</x:v>
      </x:c>
      <x:c r="AZ237" s="18" t="n">
        <x:v>0</x:v>
      </x:c>
      <x:c r="BA237" s="18" t="n">
        <x:v>0</x:v>
      </x:c>
      <x:c r="BB237" s="18" t="n">
        <x:v>0</x:v>
      </x:c>
      <x:c r="BC237" s="18" t="n">
        <x:v>0</x:v>
      </x:c>
      <x:c r="BD237" s="18" t="n">
        <x:v>0</x:v>
      </x:c>
      <x:c r="BE237" s="18" t="n">
        <x:v>0</x:v>
      </x:c>
      <x:c r="BF237" s="18" t="n">
        <x:v>38</x:v>
      </x:c>
      <x:c r="BG237" s="18" t="n">
        <x:v>1</x:v>
      </x:c>
    </x:row>
    <x:row r="238">
      <x:c r="A238" s="29" t="str">
        <x:v>320.3</x:v>
      </x:c>
      <x:c r="B238" s="17" t="n">
        <x:v>2865</x:v>
      </x:c>
      <x:c r="C238" s="17" t="str">
        <x:v>ת.דתי לבנות בית יעקב</x:v>
      </x:c>
      <x:c r="D238" s="17" t="str">
        <x:v>בצלאל 5</x:v>
      </x:c>
      <x:c r="E238" s="17" t="str">
        <x:v>גבוה מאוד</x:v>
      </x:c>
      <x:c r="F238" s="18" t="n">
        <x:v>621</x:v>
      </x:c>
      <x:c r="G238" s="18" t="n">
        <x:v>359</x:v>
      </x:c>
      <x:c r="H238" s="19" t="n">
        <x:f>IFERROR(G238/F238,0)</x:f>
        <x:v>0.5780998389694042</x:v>
      </x:c>
      <x:c r="I238" s="18" t="n">
        <x:v>4</x:v>
      </x:c>
      <x:c r="J238" s="18" t="n">
        <x:v>355</x:v>
      </x:c>
      <x:c r="K238" s="18" t="n">
        <x:f>SUM(AM238,BF238,W238,AD238)</x:f>
        <x:v>294</x:v>
      </x:c>
      <x:c r="L238" s="18" t="n">
        <x:f>Q238+R238</x:f>
        <x:v>59</x:v>
      </x:c>
      <x:c r="M238" s="19" t="n">
        <x:f>IFERROR(K238/J238,0)</x:f>
        <x:v>0.828169014084507</x:v>
      </x:c>
      <x:c r="N238" s="19" t="n">
        <x:f>IFERROR(L238/J238,0)</x:f>
        <x:v>0.16619718309859155</x:v>
      </x:c>
      <x:c r="O238" s="17" t="str">
        <x:f>IF(K238&gt;MAX(L238,S238),"קואליציית ההקמה 2022",IF(L238&gt;MAX(K238,S238),"אופוזיציה רחבה 2022","רשימות אחרות"))</x:f>
        <x:v>קואליציית ההקמה 2022</x:v>
      </x:c>
      <x:c r="P238" s="17" t="str">
        <x:f>IF(AND(H238&lt;50%,N238&gt;50%),"כן","לא")</x:f>
        <x:v>לא</x:v>
      </x:c>
      <x:c r="Q238" s="18" t="n">
        <x:f>SUM(AV238,AJ238,AL238,T238,AN238)</x:f>
        <x:v>58</x:v>
      </x:c>
      <x:c r="R238" s="18" t="n">
        <x:f>SUM(Y238,AU238,X238)</x:f>
        <x:v>1</x:v>
      </x:c>
      <x:c r="S238" s="18" t="n">
        <x:f>J238-K238-L238</x:f>
        <x:v>2</x:v>
      </x:c>
      <x:c r="T238" s="18" t="n">
        <x:v>1</x:v>
      </x:c>
      <x:c r="U238" s="18" t="n">
        <x:v>0</x:v>
      </x:c>
      <x:c r="V238" s="18" t="n">
        <x:v>0</x:v>
      </x:c>
      <x:c r="W238" s="18" t="n">
        <x:v>211</x:v>
      </x:c>
      <x:c r="X238" s="18" t="n">
        <x:v>0</x:v>
      </x:c>
      <x:c r="Y238" s="18" t="n">
        <x:v>0</x:v>
      </x:c>
      <x:c r="Z238" s="18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11</x:v>
      </x:c>
      <x:c r="AE238" s="18" t="n">
        <x:v>0</x:v>
      </x:c>
      <x:c r="AF238" s="18" t="n">
        <x:v>0</x:v>
      </x:c>
      <x:c r="AG238" s="18" t="n">
        <x:v>0</x:v>
      </x:c>
      <x:c r="AH238" s="18" t="n">
        <x:v>0</x:v>
      </x:c>
      <x:c r="AI238" s="18" t="n">
        <x:v>0</x:v>
      </x:c>
      <x:c r="AJ238" s="18" t="n">
        <x:v>9</x:v>
      </x:c>
      <x:c r="AK238" s="18" t="n">
        <x:v>0</x:v>
      </x:c>
      <x:c r="AL238" s="18" t="n">
        <x:v>23</x:v>
      </x:c>
      <x:c r="AM238" s="18" t="n">
        <x:v>32</x:v>
      </x:c>
      <x:c r="AN238" s="18" t="n">
        <x:v>6</x:v>
      </x:c>
      <x:c r="AO238" s="18" t="n">
        <x:v>0</x:v>
      </x:c>
      <x:c r="AP238" s="18" t="n">
        <x:v>0</x:v>
      </x:c>
      <x:c r="AQ238" s="18" t="n">
        <x:v>0</x:v>
      </x:c>
      <x:c r="AR238" s="18" t="n">
        <x:v>0</x:v>
      </x:c>
      <x:c r="AS238" s="18" t="n">
        <x:v>0</x:v>
      </x:c>
      <x:c r="AT238" s="18" t="n">
        <x:v>0</x:v>
      </x:c>
      <x:c r="AU238" s="18" t="n">
        <x:v>1</x:v>
      </x:c>
      <x:c r="AV238" s="18" t="n">
        <x:v>19</x:v>
      </x:c>
      <x:c r="AW238" s="18" t="n">
        <x:v>0</x:v>
      </x:c>
      <x:c r="AX238" s="18" t="n">
        <x:v>0</x:v>
      </x:c>
      <x:c r="AY238" s="18" t="n">
        <x:v>0</x:v>
      </x:c>
      <x:c r="AZ238" s="18" t="n">
        <x:v>0</x:v>
      </x:c>
      <x:c r="BA238" s="18" t="n">
        <x:v>0</x:v>
      </x:c>
      <x:c r="BB238" s="18" t="n">
        <x:v>0</x:v>
      </x:c>
      <x:c r="BC238" s="18" t="n">
        <x:v>0</x:v>
      </x:c>
      <x:c r="BD238" s="18" t="n">
        <x:v>2</x:v>
      </x:c>
      <x:c r="BE238" s="18" t="n">
        <x:v>0</x:v>
      </x:c>
      <x:c r="BF238" s="18" t="n">
        <x:v>40</x:v>
      </x:c>
      <x:c r="BG238" s="18" t="n">
        <x:v>0</x:v>
      </x:c>
    </x:row>
    <x:row r="239">
      <x:c r="A239" s="29" t="str">
        <x:v>320.4</x:v>
      </x:c>
      <x:c r="B239" s="17" t="n">
        <x:v>2866</x:v>
      </x:c>
      <x:c r="C239" s="17" t="str">
        <x:v>ת.דתי לבנות בית יעקב</x:v>
      </x:c>
      <x:c r="D239" s="17" t="str">
        <x:v>בצלאל 5</x:v>
      </x:c>
      <x:c r="E239" s="17" t="str">
        <x:v>גבוה מאוד</x:v>
      </x:c>
      <x:c r="F239" s="18" t="n">
        <x:v>621</x:v>
      </x:c>
      <x:c r="G239" s="18" t="n">
        <x:v>354</x:v>
      </x:c>
      <x:c r="H239" s="19" t="n">
        <x:f>IFERROR(G239/F239,0)</x:f>
        <x:v>0.5700483091787439</x:v>
      </x:c>
      <x:c r="I239" s="18" t="n">
        <x:v>1</x:v>
      </x:c>
      <x:c r="J239" s="18" t="n">
        <x:v>353</x:v>
      </x:c>
      <x:c r="K239" s="18" t="n">
        <x:f>SUM(AM239,BF239,W239,AD239)</x:f>
        <x:v>256</x:v>
      </x:c>
      <x:c r="L239" s="18" t="n">
        <x:f>Q239+R239</x:f>
        <x:v>92</x:v>
      </x:c>
      <x:c r="M239" s="19" t="n">
        <x:f>IFERROR(K239/J239,0)</x:f>
        <x:v>0.7252124645892352</x:v>
      </x:c>
      <x:c r="N239" s="19" t="n">
        <x:f>IFERROR(L239/J239,0)</x:f>
        <x:v>0.26062322946175637</x:v>
      </x:c>
      <x:c r="O239" s="17" t="str">
        <x:f>IF(K239&gt;MAX(L239,S239),"קואליציית ההקמה 2022",IF(L239&gt;MAX(K239,S239),"אופוזיציה רחבה 2022","רשימות אחרות"))</x:f>
        <x:v>קואליציית ההקמה 2022</x:v>
      </x:c>
      <x:c r="P239" s="17" t="str">
        <x:f>IF(AND(H239&lt;50%,N239&gt;50%),"כן","לא")</x:f>
        <x:v>לא</x:v>
      </x:c>
      <x:c r="Q239" s="18" t="n">
        <x:f>SUM(AV239,AJ239,AL239,T239,AN239)</x:f>
        <x:v>88</x:v>
      </x:c>
      <x:c r="R239" s="18" t="n">
        <x:f>SUM(Y239,AU239,X239)</x:f>
        <x:v>4</x:v>
      </x:c>
      <x:c r="S239" s="18" t="n">
        <x:f>J239-K239-L239</x:f>
        <x:v>5</x:v>
      </x:c>
      <x:c r="T239" s="18" t="n">
        <x:v>1</x:v>
      </x:c>
      <x:c r="U239" s="18" t="n">
        <x:v>0</x:v>
      </x:c>
      <x:c r="V239" s="18" t="n">
        <x:v>2</x:v>
      </x:c>
      <x:c r="W239" s="18" t="n">
        <x:v>157</x:v>
      </x:c>
      <x:c r="X239" s="18" t="n">
        <x:v>0</x:v>
      </x:c>
      <x:c r="Y239" s="18" t="n">
        <x:v>4</x:v>
      </x:c>
      <x:c r="Z239" s="18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14</x:v>
      </x:c>
      <x:c r="AE239" s="18" t="n">
        <x:v>0</x:v>
      </x:c>
      <x:c r="AF239" s="18" t="n">
        <x:v>2</x:v>
      </x:c>
      <x:c r="AG239" s="18" t="n">
        <x:v>0</x:v>
      </x:c>
      <x:c r="AH239" s="18" t="n">
        <x:v>0</x:v>
      </x:c>
      <x:c r="AI239" s="18" t="n">
        <x:v>0</x:v>
      </x:c>
      <x:c r="AJ239" s="18" t="n">
        <x:v>12</x:v>
      </x:c>
      <x:c r="AK239" s="18" t="n">
        <x:v>0</x:v>
      </x:c>
      <x:c r="AL239" s="18" t="n">
        <x:v>25</x:v>
      </x:c>
      <x:c r="AM239" s="18" t="n">
        <x:v>36</x:v>
      </x:c>
      <x:c r="AN239" s="18" t="n">
        <x:v>6</x:v>
      </x:c>
      <x:c r="AO239" s="18" t="n">
        <x:v>0</x:v>
      </x:c>
      <x:c r="AP239" s="18" t="n">
        <x:v>1</x:v>
      </x:c>
      <x:c r="AQ239" s="18" t="n">
        <x:v>0</x:v>
      </x:c>
      <x:c r="AR239" s="18" t="n">
        <x:v>0</x:v>
      </x:c>
      <x:c r="AS239" s="18" t="n">
        <x:v>0</x:v>
      </x:c>
      <x:c r="AT239" s="18" t="n">
        <x:v>0</x:v>
      </x:c>
      <x:c r="AU239" s="18" t="n">
        <x:v>0</x:v>
      </x:c>
      <x:c r="AV239" s="18" t="n">
        <x:v>44</x:v>
      </x:c>
      <x:c r="AW239" s="18" t="n">
        <x:v>0</x:v>
      </x:c>
      <x:c r="AX239" s="18" t="n">
        <x:v>0</x:v>
      </x:c>
      <x:c r="AY239" s="18" t="n">
        <x:v>0</x:v>
      </x:c>
      <x:c r="AZ239" s="18" t="n">
        <x:v>0</x:v>
      </x:c>
      <x:c r="BA239" s="18" t="n">
        <x:v>0</x:v>
      </x:c>
      <x:c r="BB239" s="18" t="n">
        <x:v>0</x:v>
      </x:c>
      <x:c r="BC239" s="18" t="n">
        <x:v>0</x:v>
      </x:c>
      <x:c r="BD239" s="18" t="n">
        <x:v>0</x:v>
      </x:c>
      <x:c r="BE239" s="18" t="n">
        <x:v>0</x:v>
      </x:c>
      <x:c r="BF239" s="18" t="n">
        <x:v>49</x:v>
      </x:c>
      <x:c r="BG239" s="18" t="n">
        <x:v>0</x:v>
      </x:c>
    </x:row>
    <x:row r="240">
      <x:c r="A240" s="29" t="str">
        <x:v>320.5</x:v>
      </x:c>
      <x:c r="B240" s="17" t="n">
        <x:v>2867</x:v>
      </x:c>
      <x:c r="C240" s="17" t="str">
        <x:v>ת.דתי לבנות בית יעקב</x:v>
      </x:c>
      <x:c r="D240" s="17" t="str">
        <x:v>בצלאל 5</x:v>
      </x:c>
      <x:c r="E240" s="17" t="str">
        <x:v>גבוה מאוד</x:v>
      </x:c>
      <x:c r="F240" s="18" t="n">
        <x:v>621</x:v>
      </x:c>
      <x:c r="G240" s="18" t="n">
        <x:v>399</x:v>
      </x:c>
      <x:c r="H240" s="19" t="n">
        <x:f>IFERROR(G240/F240,0)</x:f>
        <x:v>0.642512077294686</x:v>
      </x:c>
      <x:c r="I240" s="18" t="n">
        <x:v>3</x:v>
      </x:c>
      <x:c r="J240" s="18" t="n">
        <x:v>396</x:v>
      </x:c>
      <x:c r="K240" s="18" t="n">
        <x:f>SUM(AM240,BF240,W240,AD240)</x:f>
        <x:v>305</x:v>
      </x:c>
      <x:c r="L240" s="18" t="n">
        <x:f>Q240+R240</x:f>
        <x:v>86</x:v>
      </x:c>
      <x:c r="M240" s="19" t="n">
        <x:f>IFERROR(K240/J240,0)</x:f>
        <x:v>0.7702020202020202</x:v>
      </x:c>
      <x:c r="N240" s="19" t="n">
        <x:f>IFERROR(L240/J240,0)</x:f>
        <x:v>0.21717171717171718</x:v>
      </x:c>
      <x:c r="O240" s="17" t="str">
        <x:f>IF(K240&gt;MAX(L240,S240),"קואליציית ההקמה 2022",IF(L240&gt;MAX(K240,S240),"אופוזיציה רחבה 2022","רשימות אחרות"))</x:f>
        <x:v>קואליציית ההקמה 2022</x:v>
      </x:c>
      <x:c r="P240" s="17" t="str">
        <x:f>IF(AND(H240&lt;50%,N240&gt;50%),"כן","לא")</x:f>
        <x:v>לא</x:v>
      </x:c>
      <x:c r="Q240" s="18" t="n">
        <x:f>SUM(AV240,AJ240,AL240,T240,AN240)</x:f>
        <x:v>85</x:v>
      </x:c>
      <x:c r="R240" s="18" t="n">
        <x:f>SUM(Y240,AU240,X240)</x:f>
        <x:v>1</x:v>
      </x:c>
      <x:c r="S240" s="18" t="n">
        <x:f>J240-K240-L240</x:f>
        <x:v>5</x:v>
      </x:c>
      <x:c r="T240" s="18" t="n">
        <x:v>4</x:v>
      </x:c>
      <x:c r="U240" s="18" t="n">
        <x:v>0</x:v>
      </x:c>
      <x:c r="V240" s="18" t="n">
        <x:v>1</x:v>
      </x:c>
      <x:c r="W240" s="18" t="n">
        <x:v>246</x:v>
      </x:c>
      <x:c r="X240" s="18" t="n">
        <x:v>0</x:v>
      </x:c>
      <x:c r="Y240" s="18" t="n">
        <x:v>1</x:v>
      </x:c>
      <x:c r="Z240" s="18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13</x:v>
      </x:c>
      <x:c r="AE240" s="18" t="n">
        <x:v>0</x:v>
      </x:c>
      <x:c r="AF240" s="18" t="n">
        <x:v>0</x:v>
      </x:c>
      <x:c r="AG240" s="18" t="n">
        <x:v>0</x:v>
      </x:c>
      <x:c r="AH240" s="18" t="n">
        <x:v>0</x:v>
      </x:c>
      <x:c r="AI240" s="18" t="n">
        <x:v>0</x:v>
      </x:c>
      <x:c r="AJ240" s="18" t="n">
        <x:v>8</x:v>
      </x:c>
      <x:c r="AK240" s="18" t="n">
        <x:v>1</x:v>
      </x:c>
      <x:c r="AL240" s="18" t="n">
        <x:v>47</x:v>
      </x:c>
      <x:c r="AM240" s="18" t="n">
        <x:v>17</x:v>
      </x:c>
      <x:c r="AN240" s="18" t="n">
        <x:v>3</x:v>
      </x:c>
      <x:c r="AO240" s="18" t="n">
        <x:v>0</x:v>
      </x:c>
      <x:c r="AP240" s="18" t="n">
        <x:v>1</x:v>
      </x:c>
      <x:c r="AQ240" s="18" t="n">
        <x:v>0</x:v>
      </x:c>
      <x:c r="AR240" s="18" t="n">
        <x:v>0</x:v>
      </x:c>
      <x:c r="AS240" s="18" t="n">
        <x:v>0</x:v>
      </x:c>
      <x:c r="AT240" s="18" t="n">
        <x:v>1</x:v>
      </x:c>
      <x:c r="AU240" s="18" t="n">
        <x:v>0</x:v>
      </x:c>
      <x:c r="AV240" s="18" t="n">
        <x:v>23</x:v>
      </x:c>
      <x:c r="AW240" s="18" t="n">
        <x:v>0</x:v>
      </x:c>
      <x:c r="AX240" s="18" t="n">
        <x:v>0</x:v>
      </x:c>
      <x:c r="AY240" s="18" t="n">
        <x:v>0</x:v>
      </x:c>
      <x:c r="AZ240" s="18" t="n">
        <x:v>1</x:v>
      </x:c>
      <x:c r="BA240" s="18" t="n">
        <x:v>0</x:v>
      </x:c>
      <x:c r="BB240" s="18" t="n">
        <x:v>0</x:v>
      </x:c>
      <x:c r="BC240" s="18" t="n">
        <x:v>0</x:v>
      </x:c>
      <x:c r="BD240" s="18" t="n">
        <x:v>0</x:v>
      </x:c>
      <x:c r="BE240" s="18" t="n">
        <x:v>0</x:v>
      </x:c>
      <x:c r="BF240" s="18" t="n">
        <x:v>29</x:v>
      </x:c>
      <x:c r="BG240" s="18" t="n">
        <x:v>0</x:v>
      </x:c>
    </x:row>
    <x:row r="241">
      <x:c r="A241" s="29" t="str">
        <x:v>320.6</x:v>
      </x:c>
      <x:c r="B241" s="17" t="n">
        <x:v>2868</x:v>
      </x:c>
      <x:c r="C241" s="17" t="str">
        <x:v>ת.דתי לבנות בית יעקב</x:v>
      </x:c>
      <x:c r="D241" s="17" t="str">
        <x:v>בצלאל 5</x:v>
      </x:c>
      <x:c r="E241" s="17" t="str">
        <x:v>גבוה מאוד</x:v>
      </x:c>
      <x:c r="F241" s="18" t="n">
        <x:v>617</x:v>
      </x:c>
      <x:c r="G241" s="18" t="n">
        <x:v>375</x:v>
      </x:c>
      <x:c r="H241" s="19" t="n">
        <x:f>IFERROR(G241/F241,0)</x:f>
        <x:v>0.6077795786061588</x:v>
      </x:c>
      <x:c r="I241" s="18" t="n">
        <x:v>0</x:v>
      </x:c>
      <x:c r="J241" s="18" t="n">
        <x:v>375</x:v>
      </x:c>
      <x:c r="K241" s="18" t="n">
        <x:f>SUM(AM241,BF241,W241,AD241)</x:f>
        <x:v>302</x:v>
      </x:c>
      <x:c r="L241" s="18" t="n">
        <x:f>Q241+R241</x:f>
        <x:v>70</x:v>
      </x:c>
      <x:c r="M241" s="19" t="n">
        <x:f>IFERROR(K241/J241,0)</x:f>
        <x:v>0.8053333333333333</x:v>
      </x:c>
      <x:c r="N241" s="19" t="n">
        <x:f>IFERROR(L241/J241,0)</x:f>
        <x:v>0.18666666666666668</x:v>
      </x:c>
      <x:c r="O241" s="17" t="str">
        <x:f>IF(K241&gt;MAX(L241,S241),"קואליציית ההקמה 2022",IF(L241&gt;MAX(K241,S241),"אופוזיציה רחבה 2022","רשימות אחרות"))</x:f>
        <x:v>קואליציית ההקמה 2022</x:v>
      </x:c>
      <x:c r="P241" s="17" t="str">
        <x:f>IF(AND(H241&lt;50%,N241&gt;50%),"כן","לא")</x:f>
        <x:v>לא</x:v>
      </x:c>
      <x:c r="Q241" s="18" t="n">
        <x:f>SUM(AV241,AJ241,AL241,T241,AN241)</x:f>
        <x:v>70</x:v>
      </x:c>
      <x:c r="R241" s="18" t="n">
        <x:f>SUM(Y241,AU241,X241)</x:f>
        <x:v>0</x:v>
      </x:c>
      <x:c r="S241" s="18" t="n">
        <x:f>J241-K241-L241</x:f>
        <x:v>3</x:v>
      </x:c>
      <x:c r="T241" s="18" t="n">
        <x:v>0</x:v>
      </x:c>
      <x:c r="U241" s="18" t="n">
        <x:v>0</x:v>
      </x:c>
      <x:c r="V241" s="18" t="n">
        <x:v>1</x:v>
      </x:c>
      <x:c r="W241" s="18" t="n">
        <x:v>219</x:v>
      </x:c>
      <x:c r="X241" s="18" t="n">
        <x:v>0</x:v>
      </x:c>
      <x:c r="Y241" s="18" t="n">
        <x:v>0</x:v>
      </x:c>
      <x:c r="Z241" s="18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8</x:v>
      </x:c>
      <x:c r="AE241" s="18" t="n">
        <x:v>0</x:v>
      </x:c>
      <x:c r="AF241" s="18" t="n">
        <x:v>0</x:v>
      </x:c>
      <x:c r="AG241" s="18" t="n">
        <x:v>0</x:v>
      </x:c>
      <x:c r="AH241" s="18" t="n">
        <x:v>0</x:v>
      </x:c>
      <x:c r="AI241" s="18" t="n">
        <x:v>0</x:v>
      </x:c>
      <x:c r="AJ241" s="18" t="n">
        <x:v>12</x:v>
      </x:c>
      <x:c r="AK241" s="18" t="n">
        <x:v>0</x:v>
      </x:c>
      <x:c r="AL241" s="18" t="n">
        <x:v>29</x:v>
      </x:c>
      <x:c r="AM241" s="18" t="n">
        <x:v>20</x:v>
      </x:c>
      <x:c r="AN241" s="18" t="n">
        <x:v>4</x:v>
      </x:c>
      <x:c r="AO241" s="18" t="n">
        <x:v>0</x:v>
      </x:c>
      <x:c r="AP241" s="18" t="n">
        <x:v>0</x:v>
      </x:c>
      <x:c r="AQ241" s="18" t="n">
        <x:v>0</x:v>
      </x:c>
      <x:c r="AR241" s="18" t="n">
        <x:v>0</x:v>
      </x:c>
      <x:c r="AS241" s="18" t="n">
        <x:v>0</x:v>
      </x:c>
      <x:c r="AT241" s="18" t="n">
        <x:v>0</x:v>
      </x:c>
      <x:c r="AU241" s="18" t="n">
        <x:v>0</x:v>
      </x:c>
      <x:c r="AV241" s="18" t="n">
        <x:v>25</x:v>
      </x:c>
      <x:c r="AW241" s="18" t="n">
        <x:v>0</x:v>
      </x:c>
      <x:c r="AX241" s="18" t="n">
        <x:v>2</x:v>
      </x:c>
      <x:c r="AY241" s="18" t="n">
        <x:v>0</x:v>
      </x:c>
      <x:c r="AZ241" s="18" t="n">
        <x:v>0</x:v>
      </x:c>
      <x:c r="BA241" s="18" t="n">
        <x:v>0</x:v>
      </x:c>
      <x:c r="BB241" s="18" t="n">
        <x:v>0</x:v>
      </x:c>
      <x:c r="BC241" s="18" t="n">
        <x:v>0</x:v>
      </x:c>
      <x:c r="BD241" s="18" t="n">
        <x:v>0</x:v>
      </x:c>
      <x:c r="BE241" s="18" t="n">
        <x:v>0</x:v>
      </x:c>
      <x:c r="BF241" s="18" t="n">
        <x:v>55</x:v>
      </x:c>
      <x:c r="BG241" s="18" t="n">
        <x:v>0</x:v>
      </x:c>
    </x:row>
    <x:row r="242">
      <x:c r="A242" s="29" t="str">
        <x:v>322</x:v>
      </x:c>
      <x:c r="B242" s="17" t="n">
        <x:v>3043</x:v>
      </x:c>
      <x:c r="C242" s="17" t="str">
        <x:v>עירוני ה חטיבת בינים</x:v>
      </x:c>
      <x:c r="D242" s="17" t="str">
        <x:v>הטנא 2</x:v>
      </x:c>
      <x:c r="E242" s="17" t="str">
        <x:v>גבוה</x:v>
      </x:c>
      <x:c r="F242" s="18" t="n">
        <x:v>547</x:v>
      </x:c>
      <x:c r="G242" s="18" t="n">
        <x:v>311</x:v>
      </x:c>
      <x:c r="H242" s="19" t="n">
        <x:f>IFERROR(G242/F242,0)</x:f>
        <x:v>0.5685557586837294</x:v>
      </x:c>
      <x:c r="I242" s="18" t="n">
        <x:v>1</x:v>
      </x:c>
      <x:c r="J242" s="18" t="n">
        <x:v>310</x:v>
      </x:c>
      <x:c r="K242" s="18" t="n">
        <x:f>SUM(AM242,BF242,W242,AD242)</x:f>
        <x:v>115</x:v>
      </x:c>
      <x:c r="L242" s="18" t="n">
        <x:f>Q242+R242</x:f>
        <x:v>189</x:v>
      </x:c>
      <x:c r="M242" s="19" t="n">
        <x:f>IFERROR(K242/J242,0)</x:f>
        <x:v>0.3709677419354839</x:v>
      </x:c>
      <x:c r="N242" s="19" t="n">
        <x:f>IFERROR(L242/J242,0)</x:f>
        <x:v>0.6096774193548387</x:v>
      </x:c>
      <x:c r="O242" s="17" t="str">
        <x:f>IF(K242&gt;MAX(L242,S242),"קואליציית ההקמה 2022",IF(L242&gt;MAX(K242,S242),"אופוזיציה רחבה 2022","רשימות אחרות"))</x:f>
        <x:v>אופוזיציה רחבה 2022</x:v>
      </x:c>
      <x:c r="P242" s="17" t="str">
        <x:f>IF(AND(H242&lt;50%,N242&gt;50%),"כן","לא")</x:f>
        <x:v>לא</x:v>
      </x:c>
      <x:c r="Q242" s="18" t="n">
        <x:f>SUM(AV242,AJ242,AL242,T242,AN242)</x:f>
        <x:v>169</x:v>
      </x:c>
      <x:c r="R242" s="18" t="n">
        <x:f>SUM(Y242,AU242,X242)</x:f>
        <x:v>20</x:v>
      </x:c>
      <x:c r="S242" s="18" t="n">
        <x:f>J242-K242-L242</x:f>
        <x:v>6</x:v>
      </x:c>
      <x:c r="T242" s="18" t="n">
        <x:v>14</x:v>
      </x:c>
      <x:c r="U242" s="18" t="n">
        <x:v>1</x:v>
      </x:c>
      <x:c r="V242" s="18" t="n">
        <x:v>2</x:v>
      </x:c>
      <x:c r="W242" s="18" t="n">
        <x:v>0</x:v>
      </x:c>
      <x:c r="X242" s="18" t="n">
        <x:v>5</x:v>
      </x:c>
      <x:c r="Y242" s="18" t="n">
        <x:v>12</x:v>
      </x:c>
      <x:c r="Z242" s="18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20</x:v>
      </x:c>
      <x:c r="AE242" s="18" t="n">
        <x:v>0</x:v>
      </x:c>
      <x:c r="AF242" s="18" t="n">
        <x:v>2</x:v>
      </x:c>
      <x:c r="AG242" s="18" t="n">
        <x:v>0</x:v>
      </x:c>
      <x:c r="AH242" s="18" t="n">
        <x:v>0</x:v>
      </x:c>
      <x:c r="AI242" s="18" t="n">
        <x:v>0</x:v>
      </x:c>
      <x:c r="AJ242" s="18" t="n">
        <x:v>26</x:v>
      </x:c>
      <x:c r="AK242" s="18" t="n">
        <x:v>0</x:v>
      </x:c>
      <x:c r="AL242" s="18" t="n">
        <x:v>13</x:v>
      </x:c>
      <x:c r="AM242" s="18" t="n">
        <x:v>95</x:v>
      </x:c>
      <x:c r="AN242" s="18" t="n">
        <x:v>14</x:v>
      </x:c>
      <x:c r="AO242" s="18" t="n">
        <x:v>0</x:v>
      </x:c>
      <x:c r="AP242" s="18" t="n">
        <x:v>0</x:v>
      </x:c>
      <x:c r="AQ242" s="18" t="n">
        <x:v>0</x:v>
      </x:c>
      <x:c r="AR242" s="18" t="n">
        <x:v>0</x:v>
      </x:c>
      <x:c r="AS242" s="18" t="n">
        <x:v>0</x:v>
      </x:c>
      <x:c r="AT242" s="18" t="n">
        <x:v>0</x:v>
      </x:c>
      <x:c r="AU242" s="18" t="n">
        <x:v>3</x:v>
      </x:c>
      <x:c r="AV242" s="18" t="n">
        <x:v>102</x:v>
      </x:c>
      <x:c r="AW242" s="18" t="n">
        <x:v>0</x:v>
      </x:c>
      <x:c r="AX242" s="18" t="n">
        <x:v>0</x:v>
      </x:c>
      <x:c r="AY242" s="18" t="n">
        <x:v>0</x:v>
      </x:c>
      <x:c r="AZ242" s="18" t="n">
        <x:v>0</x:v>
      </x:c>
      <x:c r="BA242" s="18" t="n">
        <x:v>0</x:v>
      </x:c>
      <x:c r="BB242" s="18" t="n">
        <x:v>0</x:v>
      </x:c>
      <x:c r="BC242" s="18" t="n">
        <x:v>0</x:v>
      </x:c>
      <x:c r="BD242" s="18" t="n">
        <x:v>1</x:v>
      </x:c>
      <x:c r="BE242" s="18" t="n">
        <x:v>0</x:v>
      </x:c>
      <x:c r="BF242" s="18" t="n">
        <x:v>0</x:v>
      </x:c>
      <x:c r="BG242" s="18" t="n">
        <x:v>0</x:v>
      </x:c>
    </x:row>
    <x:row r="243">
      <x:c r="A243" s="29" t="str">
        <x:v>325</x:v>
      </x:c>
      <x:c r="B243" s="17" t="n">
        <x:v>2896</x:v>
      </x:c>
      <x:c r="C243" s="17" t="str">
        <x:v>בי"ס בית יעקב לבנות</x:v>
      </x:c>
      <x:c r="D243" s="17" t="str">
        <x:v>המימוני 2</x:v>
      </x:c>
      <x:c r="E243" s="17" t="str">
        <x:v>גבוה מאוד</x:v>
      </x:c>
      <x:c r="F243" s="18" t="n">
        <x:v>438</x:v>
      </x:c>
      <x:c r="G243" s="18" t="n">
        <x:v>269</x:v>
      </x:c>
      <x:c r="H243" s="19" t="n">
        <x:f>IFERROR(G243/F243,0)</x:f>
        <x:v>0.6141552511415526</x:v>
      </x:c>
      <x:c r="I243" s="18" t="n">
        <x:v>2</x:v>
      </x:c>
      <x:c r="J243" s="18" t="n">
        <x:v>267</x:v>
      </x:c>
      <x:c r="K243" s="18" t="n">
        <x:f>SUM(AM243,BF243,W243,AD243)</x:f>
        <x:v>87</x:v>
      </x:c>
      <x:c r="L243" s="18" t="n">
        <x:f>Q243+R243</x:f>
        <x:v>177</x:v>
      </x:c>
      <x:c r="M243" s="19" t="n">
        <x:f>IFERROR(K243/J243,0)</x:f>
        <x:v>0.3258426966292135</x:v>
      </x:c>
      <x:c r="N243" s="19" t="n">
        <x:f>IFERROR(L243/J243,0)</x:f>
        <x:v>0.6629213483146067</x:v>
      </x:c>
      <x:c r="O243" s="17" t="str">
        <x:f>IF(K243&gt;MAX(L243,S243),"קואליציית ההקמה 2022",IF(L243&gt;MAX(K243,S243),"אופוזיציה רחבה 2022","רשימות אחרות"))</x:f>
        <x:v>אופוזיציה רחבה 2022</x:v>
      </x:c>
      <x:c r="P243" s="17" t="str">
        <x:f>IF(AND(H243&lt;50%,N243&gt;50%),"כן","לא")</x:f>
        <x:v>לא</x:v>
      </x:c>
      <x:c r="Q243" s="18" t="n">
        <x:f>SUM(AV243,AJ243,AL243,T243,AN243)</x:f>
        <x:v>160</x:v>
      </x:c>
      <x:c r="R243" s="18" t="n">
        <x:f>SUM(Y243,AU243,X243)</x:f>
        <x:v>17</x:v>
      </x:c>
      <x:c r="S243" s="18" t="n">
        <x:f>J243-K243-L243</x:f>
        <x:v>3</x:v>
      </x:c>
      <x:c r="T243" s="18" t="n">
        <x:v>16</x:v>
      </x:c>
      <x:c r="U243" s="18" t="n">
        <x:v>0</x:v>
      </x:c>
      <x:c r="V243" s="18" t="n">
        <x:v>1</x:v>
      </x:c>
      <x:c r="W243" s="18" t="n">
        <x:v>6</x:v>
      </x:c>
      <x:c r="X243" s="18" t="n">
        <x:v>5</x:v>
      </x:c>
      <x:c r="Y243" s="18" t="n">
        <x:v>11</x:v>
      </x:c>
      <x:c r="Z243" s="18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12</x:v>
      </x:c>
      <x:c r="AE243" s="18" t="n">
        <x:v>1</x:v>
      </x:c>
      <x:c r="AF243" s="18" t="n">
        <x:v>0</x:v>
      </x:c>
      <x:c r="AG243" s="18" t="n">
        <x:v>0</x:v>
      </x:c>
      <x:c r="AH243" s="18" t="n">
        <x:v>0</x:v>
      </x:c>
      <x:c r="AI243" s="18" t="n">
        <x:v>0</x:v>
      </x:c>
      <x:c r="AJ243" s="18" t="n">
        <x:v>29</x:v>
      </x:c>
      <x:c r="AK243" s="18" t="n">
        <x:v>0</x:v>
      </x:c>
      <x:c r="AL243" s="18" t="n">
        <x:v>30</x:v>
      </x:c>
      <x:c r="AM243" s="18" t="n">
        <x:v>60</x:v>
      </x:c>
      <x:c r="AN243" s="18" t="n">
        <x:v>10</x:v>
      </x:c>
      <x:c r="AO243" s="18" t="n">
        <x:v>0</x:v>
      </x:c>
      <x:c r="AP243" s="18" t="n">
        <x:v>0</x:v>
      </x:c>
      <x:c r="AQ243" s="18" t="n">
        <x:v>0</x:v>
      </x:c>
      <x:c r="AR243" s="18" t="n">
        <x:v>0</x:v>
      </x:c>
      <x:c r="AS243" s="18" t="n">
        <x:v>0</x:v>
      </x:c>
      <x:c r="AT243" s="18" t="n">
        <x:v>0</x:v>
      </x:c>
      <x:c r="AU243" s="18" t="n">
        <x:v>1</x:v>
      </x:c>
      <x:c r="AV243" s="18" t="n">
        <x:v>75</x:v>
      </x:c>
      <x:c r="AW243" s="18" t="n">
        <x:v>0</x:v>
      </x:c>
      <x:c r="AX243" s="18" t="n">
        <x:v>1</x:v>
      </x:c>
      <x:c r="AY243" s="18" t="n">
        <x:v>0</x:v>
      </x:c>
      <x:c r="AZ243" s="18" t="n">
        <x:v>0</x:v>
      </x:c>
      <x:c r="BA243" s="18" t="n">
        <x:v>0</x:v>
      </x:c>
      <x:c r="BB243" s="18" t="n">
        <x:v>0</x:v>
      </x:c>
      <x:c r="BC243" s="18" t="n">
        <x:v>0</x:v>
      </x:c>
      <x:c r="BD243" s="18" t="n">
        <x:v>0</x:v>
      </x:c>
      <x:c r="BE243" s="18" t="n">
        <x:v>0</x:v>
      </x:c>
      <x:c r="BF243" s="18" t="n">
        <x:v>9</x:v>
      </x:c>
      <x:c r="BG243" s="18" t="n">
        <x:v>0</x:v>
      </x:c>
    </x:row>
    <x:row r="244">
      <x:c r="A244" s="29" t="str">
        <x:v>327</x:v>
      </x:c>
      <x:c r="B244" s="17" t="n">
        <x:v>2869</x:v>
      </x:c>
      <x:c r="C244" s="17" t="str">
        <x:v>מתנ"ס הדר</x:v>
      </x:c>
      <x:c r="D244" s="17" t="str">
        <x:v>בית"ר 8</x:v>
      </x:c>
      <x:c r="E244" s="17" t="str">
        <x:v>גבוה מאוד</x:v>
      </x:c>
      <x:c r="F244" s="18" t="n">
        <x:v>561</x:v>
      </x:c>
      <x:c r="G244" s="18" t="n">
        <x:v>237</x:v>
      </x:c>
      <x:c r="H244" s="19" t="n">
        <x:f>IFERROR(G244/F244,0)</x:f>
        <x:v>0.42245989304812837</x:v>
      </x:c>
      <x:c r="I244" s="18" t="n">
        <x:v>0</x:v>
      </x:c>
      <x:c r="J244" s="18" t="n">
        <x:v>237</x:v>
      </x:c>
      <x:c r="K244" s="18" t="n">
        <x:f>SUM(AM244,BF244,W244,AD244)</x:f>
        <x:v>143</x:v>
      </x:c>
      <x:c r="L244" s="18" t="n">
        <x:f>Q244+R244</x:f>
        <x:v>89</x:v>
      </x:c>
      <x:c r="M244" s="19" t="n">
        <x:f>IFERROR(K244/J244,0)</x:f>
        <x:v>0.6033755274261603</x:v>
      </x:c>
      <x:c r="N244" s="19" t="n">
        <x:f>IFERROR(L244/J244,0)</x:f>
        <x:v>0.3755274261603376</x:v>
      </x:c>
      <x:c r="O244" s="17" t="str">
        <x:f>IF(K244&gt;MAX(L244,S244),"קואליציית ההקמה 2022",IF(L244&gt;MAX(K244,S244),"אופוזיציה רחבה 2022","רשימות אחרות"))</x:f>
        <x:v>קואליציית ההקמה 2022</x:v>
      </x:c>
      <x:c r="P244" s="17" t="str">
        <x:f>IF(AND(H244&lt;50%,N244&gt;50%),"כן","לא")</x:f>
        <x:v>לא</x:v>
      </x:c>
      <x:c r="Q244" s="18" t="n">
        <x:f>SUM(AV244,AJ244,AL244,T244,AN244)</x:f>
        <x:v>87</x:v>
      </x:c>
      <x:c r="R244" s="18" t="n">
        <x:f>SUM(Y244,AU244,X244)</x:f>
        <x:v>2</x:v>
      </x:c>
      <x:c r="S244" s="18" t="n">
        <x:f>J244-K244-L244</x:f>
        <x:v>5</x:v>
      </x:c>
      <x:c r="T244" s="18" t="n">
        <x:v>6</x:v>
      </x:c>
      <x:c r="U244" s="18" t="n">
        <x:v>3</x:v>
      </x:c>
      <x:c r="V244" s="18" t="n">
        <x:v>0</x:v>
      </x:c>
      <x:c r="W244" s="18" t="n">
        <x:v>71</x:v>
      </x:c>
      <x:c r="X244" s="18" t="n">
        <x:v>1</x:v>
      </x:c>
      <x:c r="Y244" s="18" t="n">
        <x:v>1</x:v>
      </x:c>
      <x:c r="Z244" s="18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11</x:v>
      </x:c>
      <x:c r="AE244" s="18" t="n">
        <x:v>0</x:v>
      </x:c>
      <x:c r="AF244" s="18" t="n">
        <x:v>0</x:v>
      </x:c>
      <x:c r="AG244" s="18" t="n">
        <x:v>0</x:v>
      </x:c>
      <x:c r="AH244" s="18" t="n">
        <x:v>0</x:v>
      </x:c>
      <x:c r="AI244" s="18" t="n">
        <x:v>0</x:v>
      </x:c>
      <x:c r="AJ244" s="18" t="n">
        <x:v>12</x:v>
      </x:c>
      <x:c r="AK244" s="18" t="n">
        <x:v>0</x:v>
      </x:c>
      <x:c r="AL244" s="18" t="n">
        <x:v>36</x:v>
      </x:c>
      <x:c r="AM244" s="18" t="n">
        <x:v>48</x:v>
      </x:c>
      <x:c r="AN244" s="18" t="n">
        <x:v>10</x:v>
      </x:c>
      <x:c r="AO244" s="18" t="n">
        <x:v>0</x:v>
      </x:c>
      <x:c r="AP244" s="18" t="n">
        <x:v>0</x:v>
      </x:c>
      <x:c r="AQ244" s="18" t="n">
        <x:v>0</x:v>
      </x:c>
      <x:c r="AR244" s="18" t="n">
        <x:v>0</x:v>
      </x:c>
      <x:c r="AS244" s="18" t="n">
        <x:v>0</x:v>
      </x:c>
      <x:c r="AT244" s="18" t="n">
        <x:v>0</x:v>
      </x:c>
      <x:c r="AU244" s="18" t="n">
        <x:v>0</x:v>
      </x:c>
      <x:c r="AV244" s="18" t="n">
        <x:v>23</x:v>
      </x:c>
      <x:c r="AW244" s="18" t="n">
        <x:v>0</x:v>
      </x:c>
      <x:c r="AX244" s="18" t="n">
        <x:v>1</x:v>
      </x:c>
      <x:c r="AY244" s="18" t="n">
        <x:v>0</x:v>
      </x:c>
      <x:c r="AZ244" s="18" t="n">
        <x:v>0</x:v>
      </x:c>
      <x:c r="BA244" s="18" t="n">
        <x:v>0</x:v>
      </x:c>
      <x:c r="BB244" s="18" t="n">
        <x:v>0</x:v>
      </x:c>
      <x:c r="BC244" s="18" t="n">
        <x:v>0</x:v>
      </x:c>
      <x:c r="BD244" s="18" t="n">
        <x:v>1</x:v>
      </x:c>
      <x:c r="BE244" s="18" t="n">
        <x:v>0</x:v>
      </x:c>
      <x:c r="BF244" s="18" t="n">
        <x:v>13</x:v>
      </x:c>
      <x:c r="BG244" s="18" t="n">
        <x:v>0</x:v>
      </x:c>
    </x:row>
    <x:row r="245">
      <x:c r="A245" s="29" t="str">
        <x:v>328</x:v>
      </x:c>
      <x:c r="B245" s="17" t="n">
        <x:v>2870</x:v>
      </x:c>
      <x:c r="C245" s="17" t="str">
        <x:v>מתנ"ס הדר</x:v>
      </x:c>
      <x:c r="D245" s="17" t="str">
        <x:v>בית"ר 8</x:v>
      </x:c>
      <x:c r="E245" s="17" t="str">
        <x:v>גבוה מאוד</x:v>
      </x:c>
      <x:c r="F245" s="18" t="n">
        <x:v>573</x:v>
      </x:c>
      <x:c r="G245" s="18" t="n">
        <x:v>367</x:v>
      </x:c>
      <x:c r="H245" s="19" t="n">
        <x:f>IFERROR(G245/F245,0)</x:f>
        <x:v>0.6404886561954625</x:v>
      </x:c>
      <x:c r="I245" s="18" t="n">
        <x:v>0</x:v>
      </x:c>
      <x:c r="J245" s="18" t="n">
        <x:v>367</x:v>
      </x:c>
      <x:c r="K245" s="18" t="n">
        <x:f>SUM(AM245,BF245,W245,AD245)</x:f>
        <x:v>333</x:v>
      </x:c>
      <x:c r="L245" s="18" t="n">
        <x:f>Q245+R245</x:f>
        <x:v>28</x:v>
      </x:c>
      <x:c r="M245" s="19" t="n">
        <x:f>IFERROR(K245/J245,0)</x:f>
        <x:v>0.9073569482288828</x:v>
      </x:c>
      <x:c r="N245" s="19" t="n">
        <x:f>IFERROR(L245/J245,0)</x:f>
        <x:v>0.07629427792915532</x:v>
      </x:c>
      <x:c r="O245" s="17" t="str">
        <x:f>IF(K245&gt;MAX(L245,S245),"קואליציית ההקמה 2022",IF(L245&gt;MAX(K245,S245),"אופוזיציה רחבה 2022","רשימות אחרות"))</x:f>
        <x:v>קואליציית ההקמה 2022</x:v>
      </x:c>
      <x:c r="P245" s="17" t="str">
        <x:f>IF(AND(H245&lt;50%,N245&gt;50%),"כן","לא")</x:f>
        <x:v>לא</x:v>
      </x:c>
      <x:c r="Q245" s="18" t="n">
        <x:f>SUM(AV245,AJ245,AL245,T245,AN245)</x:f>
        <x:v>27</x:v>
      </x:c>
      <x:c r="R245" s="18" t="n">
        <x:f>SUM(Y245,AU245,X245)</x:f>
        <x:v>1</x:v>
      </x:c>
      <x:c r="S245" s="18" t="n">
        <x:f>J245-K245-L245</x:f>
        <x:v>6</x:v>
      </x:c>
      <x:c r="T245" s="18" t="n">
        <x:v>2</x:v>
      </x:c>
      <x:c r="U245" s="18" t="n">
        <x:v>0</x:v>
      </x:c>
      <x:c r="V245" s="18" t="n">
        <x:v>4</x:v>
      </x:c>
      <x:c r="W245" s="18" t="n">
        <x:v>237</x:v>
      </x:c>
      <x:c r="X245" s="18" t="n">
        <x:v>1</x:v>
      </x:c>
      <x:c r="Y245" s="18" t="n">
        <x:v>0</x:v>
      </x:c>
      <x:c r="Z245" s="18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19</x:v>
      </x:c>
      <x:c r="AE245" s="18" t="n">
        <x:v>0</x:v>
      </x:c>
      <x:c r="AF245" s="18" t="n">
        <x:v>1</x:v>
      </x:c>
      <x:c r="AG245" s="18" t="n">
        <x:v>0</x:v>
      </x:c>
      <x:c r="AH245" s="18" t="n">
        <x:v>0</x:v>
      </x:c>
      <x:c r="AI245" s="18" t="n">
        <x:v>0</x:v>
      </x:c>
      <x:c r="AJ245" s="18" t="n">
        <x:v>3</x:v>
      </x:c>
      <x:c r="AK245" s="18" t="n">
        <x:v>0</x:v>
      </x:c>
      <x:c r="AL245" s="18" t="n">
        <x:v>14</x:v>
      </x:c>
      <x:c r="AM245" s="18" t="n">
        <x:v>32</x:v>
      </x:c>
      <x:c r="AN245" s="18" t="n">
        <x:v>0</x:v>
      </x:c>
      <x:c r="AO245" s="18" t="n">
        <x:v>1</x:v>
      </x:c>
      <x:c r="AP245" s="18" t="n">
        <x:v>0</x:v>
      </x:c>
      <x:c r="AQ245" s="18" t="n">
        <x:v>0</x:v>
      </x:c>
      <x:c r="AR245" s="18" t="n">
        <x:v>0</x:v>
      </x:c>
      <x:c r="AS245" s="18" t="n">
        <x:v>0</x:v>
      </x:c>
      <x:c r="AT245" s="18" t="n">
        <x:v>0</x:v>
      </x:c>
      <x:c r="AU245" s="18" t="n">
        <x:v>0</x:v>
      </x:c>
      <x:c r="AV245" s="18" t="n">
        <x:v>8</x:v>
      </x:c>
      <x:c r="AW245" s="18" t="n">
        <x:v>0</x:v>
      </x:c>
      <x:c r="AX245" s="18" t="n">
        <x:v>0</x:v>
      </x:c>
      <x:c r="AY245" s="18" t="n">
        <x:v>0</x:v>
      </x:c>
      <x:c r="AZ245" s="18" t="n">
        <x:v>0</x:v>
      </x:c>
      <x:c r="BA245" s="18" t="n">
        <x:v>0</x:v>
      </x:c>
      <x:c r="BB245" s="18" t="n">
        <x:v>0</x:v>
      </x:c>
      <x:c r="BC245" s="18" t="n">
        <x:v>0</x:v>
      </x:c>
      <x:c r="BD245" s="18" t="n">
        <x:v>0</x:v>
      </x:c>
      <x:c r="BE245" s="18" t="n">
        <x:v>0</x:v>
      </x:c>
      <x:c r="BF245" s="18" t="n">
        <x:v>45</x:v>
      </x:c>
      <x:c r="BG245" s="18" t="n">
        <x:v>0</x:v>
      </x:c>
    </x:row>
    <x:row r="246">
      <x:c r="A246" s="29" t="str">
        <x:v>334</x:v>
      </x:c>
      <x:c r="B246" s="17" t="n">
        <x:v>2973</x:v>
      </x:c>
      <x:c r="C246" s="17" t="str">
        <x:v>בי"ס אילנשיל אופקים</x:v>
      </x:c>
      <x:c r="D246" s="17" t="str">
        <x:v>דרך הים 44</x:v>
      </x:c>
      <x:c r="E246" s="17" t="str">
        <x:v>גבוה מאוד</x:v>
      </x:c>
      <x:c r="F246" s="18" t="n">
        <x:v>506</x:v>
      </x:c>
      <x:c r="G246" s="18" t="n">
        <x:v>349</x:v>
      </x:c>
      <x:c r="H246" s="19" t="n">
        <x:f>IFERROR(G246/F246,0)</x:f>
        <x:v>0.6897233201581028</x:v>
      </x:c>
      <x:c r="I246" s="18" t="n">
        <x:v>2</x:v>
      </x:c>
      <x:c r="J246" s="18" t="n">
        <x:v>347</x:v>
      </x:c>
      <x:c r="K246" s="18" t="n">
        <x:f>SUM(AM246,BF246,W246,AD246)</x:f>
        <x:v>73</x:v>
      </x:c>
      <x:c r="L246" s="18" t="n">
        <x:f>Q246+R246</x:f>
        <x:v>268</x:v>
      </x:c>
      <x:c r="M246" s="19" t="n">
        <x:f>IFERROR(K246/J246,0)</x:f>
        <x:v>0.21037463976945245</x:v>
      </x:c>
      <x:c r="N246" s="19" t="n">
        <x:f>IFERROR(L246/J246,0)</x:f>
        <x:v>0.7723342939481268</x:v>
      </x:c>
      <x:c r="O246" s="17" t="str">
        <x:f>IF(K246&gt;MAX(L246,S246),"קואליציית ההקמה 2022",IF(L246&gt;MAX(K246,S246),"אופוזיציה רחבה 2022","רשימות אחרות"))</x:f>
        <x:v>אופוזיציה רחבה 2022</x:v>
      </x:c>
      <x:c r="P246" s="17" t="str">
        <x:f>IF(AND(H246&lt;50%,N246&gt;50%),"כן","לא")</x:f>
        <x:v>לא</x:v>
      </x:c>
      <x:c r="Q246" s="18" t="n">
        <x:f>SUM(AV246,AJ246,AL246,T246,AN246)</x:f>
        <x:v>263</x:v>
      </x:c>
      <x:c r="R246" s="18" t="n">
        <x:f>SUM(Y246,AU246,X246)</x:f>
        <x:v>5</x:v>
      </x:c>
      <x:c r="S246" s="18" t="n">
        <x:f>J246-K246-L246</x:f>
        <x:v>6</x:v>
      </x:c>
      <x:c r="T246" s="18" t="n">
        <x:v>29</x:v>
      </x:c>
      <x:c r="U246" s="18" t="n">
        <x:v>0</x:v>
      </x:c>
      <x:c r="V246" s="18" t="n">
        <x:v>4</x:v>
      </x:c>
      <x:c r="W246" s="18" t="n">
        <x:v>0</x:v>
      </x:c>
      <x:c r="X246" s="18" t="n">
        <x:v>2</x:v>
      </x:c>
      <x:c r="Y246" s="18" t="n">
        <x:v>3</x:v>
      </x:c>
      <x:c r="Z246" s="18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9</x:v>
      </x:c>
      <x:c r="AE246" s="18" t="n">
        <x:v>0</x:v>
      </x:c>
      <x:c r="AF246" s="18" t="n">
        <x:v>2</x:v>
      </x:c>
      <x:c r="AG246" s="18" t="n">
        <x:v>0</x:v>
      </x:c>
      <x:c r="AH246" s="18" t="n">
        <x:v>0</x:v>
      </x:c>
      <x:c r="AI246" s="18" t="n">
        <x:v>0</x:v>
      </x:c>
      <x:c r="AJ246" s="18" t="n">
        <x:v>45</x:v>
      </x:c>
      <x:c r="AK246" s="18" t="n">
        <x:v>0</x:v>
      </x:c>
      <x:c r="AL246" s="18" t="n">
        <x:v>18</x:v>
      </x:c>
      <x:c r="AM246" s="18" t="n">
        <x:v>60</x:v>
      </x:c>
      <x:c r="AN246" s="18" t="n">
        <x:v>30</x:v>
      </x:c>
      <x:c r="AO246" s="18" t="n">
        <x:v>0</x:v>
      </x:c>
      <x:c r="AP246" s="18" t="n">
        <x:v>0</x:v>
      </x:c>
      <x:c r="AQ246" s="18" t="n">
        <x:v>0</x:v>
      </x:c>
      <x:c r="AR246" s="18" t="n">
        <x:v>0</x:v>
      </x:c>
      <x:c r="AS246" s="18" t="n">
        <x:v>0</x:v>
      </x:c>
      <x:c r="AT246" s="18" t="n">
        <x:v>0</x:v>
      </x:c>
      <x:c r="AU246" s="18" t="n">
        <x:v>0</x:v>
      </x:c>
      <x:c r="AV246" s="18" t="n">
        <x:v>141</x:v>
      </x:c>
      <x:c r="AW246" s="18" t="n">
        <x:v>0</x:v>
      </x:c>
      <x:c r="AX246" s="18" t="n">
        <x:v>0</x:v>
      </x:c>
      <x:c r="AY246" s="18" t="n">
        <x:v>0</x:v>
      </x:c>
      <x:c r="AZ246" s="18" t="n">
        <x:v>0</x:v>
      </x:c>
      <x:c r="BA246" s="18" t="n">
        <x:v>0</x:v>
      </x:c>
      <x:c r="BB246" s="18" t="n">
        <x:v>0</x:v>
      </x:c>
      <x:c r="BC246" s="18" t="n">
        <x:v>0</x:v>
      </x:c>
      <x:c r="BD246" s="18" t="n">
        <x:v>0</x:v>
      </x:c>
      <x:c r="BE246" s="18" t="n">
        <x:v>0</x:v>
      </x:c>
      <x:c r="BF246" s="18" t="n">
        <x:v>4</x:v>
      </x:c>
      <x:c r="BG246" s="18" t="n">
        <x:v>0</x:v>
      </x:c>
    </x:row>
    <x:row r="247">
      <x:c r="A247" s="29" t="str">
        <x:v>335.1</x:v>
      </x:c>
      <x:c r="B247" s="17" t="n">
        <x:v>2843</x:v>
      </x:c>
      <x:c r="C247" s="17" t="str">
        <x:v>מרכז קהילתי "עציון"</x:v>
      </x:c>
      <x:c r="D247" s="17" t="str">
        <x:v>יל"ג 7</x:v>
      </x:c>
      <x:c r="E247" s="17" t="str">
        <x:v>גבוה מאוד</x:v>
      </x:c>
      <x:c r="F247" s="18" t="n">
        <x:v>534</x:v>
      </x:c>
      <x:c r="G247" s="18" t="n">
        <x:v>209</x:v>
      </x:c>
      <x:c r="H247" s="19" t="n">
        <x:f>IFERROR(G247/F247,0)</x:f>
        <x:v>0.3913857677902622</x:v>
      </x:c>
      <x:c r="I247" s="18" t="n">
        <x:v>0</x:v>
      </x:c>
      <x:c r="J247" s="18" t="n">
        <x:v>209</x:v>
      </x:c>
      <x:c r="K247" s="18" t="n">
        <x:f>SUM(AM247,BF247,W247,AD247)</x:f>
        <x:v>107</x:v>
      </x:c>
      <x:c r="L247" s="18" t="n">
        <x:f>Q247+R247</x:f>
        <x:v>97</x:v>
      </x:c>
      <x:c r="M247" s="19" t="n">
        <x:f>IFERROR(K247/J247,0)</x:f>
        <x:v>0.5119617224880383</x:v>
      </x:c>
      <x:c r="N247" s="19" t="n">
        <x:f>IFERROR(L247/J247,0)</x:f>
        <x:v>0.46411483253588515</x:v>
      </x:c>
      <x:c r="O247" s="17" t="str">
        <x:f>IF(K247&gt;MAX(L247,S247),"קואליציית ההקמה 2022",IF(L247&gt;MAX(K247,S247),"אופוזיציה רחבה 2022","רשימות אחרות"))</x:f>
        <x:v>קואליציית ההקמה 2022</x:v>
      </x:c>
      <x:c r="P247" s="17" t="str">
        <x:f>IF(AND(H247&lt;50%,N247&gt;50%),"כן","לא")</x:f>
        <x:v>לא</x:v>
      </x:c>
      <x:c r="Q247" s="18" t="n">
        <x:f>SUM(AV247,AJ247,AL247,T247,AN247)</x:f>
        <x:v>83</x:v>
      </x:c>
      <x:c r="R247" s="18" t="n">
        <x:f>SUM(Y247,AU247,X247)</x:f>
        <x:v>14</x:v>
      </x:c>
      <x:c r="S247" s="18" t="n">
        <x:f>J247-K247-L247</x:f>
        <x:v>5</x:v>
      </x:c>
      <x:c r="T247" s="18" t="n">
        <x:v>4</x:v>
      </x:c>
      <x:c r="U247" s="18" t="n">
        <x:v>0</x:v>
      </x:c>
      <x:c r="V247" s="18" t="n">
        <x:v>1</x:v>
      </x:c>
      <x:c r="W247" s="18" t="n">
        <x:v>43</x:v>
      </x:c>
      <x:c r="X247" s="18" t="n">
        <x:v>1</x:v>
      </x:c>
      <x:c r="Y247" s="18" t="n">
        <x:v>6</x:v>
      </x:c>
      <x:c r="Z247" s="18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8</x:v>
      </x:c>
      <x:c r="AE247" s="18" t="n">
        <x:v>0</x:v>
      </x:c>
      <x:c r="AF247" s="18" t="n">
        <x:v>0</x:v>
      </x:c>
      <x:c r="AG247" s="18" t="n">
        <x:v>1</x:v>
      </x:c>
      <x:c r="AH247" s="18" t="n">
        <x:v>0</x:v>
      </x:c>
      <x:c r="AI247" s="18" t="n">
        <x:v>1</x:v>
      </x:c>
      <x:c r="AJ247" s="18" t="n">
        <x:v>7</x:v>
      </x:c>
      <x:c r="AK247" s="18" t="n">
        <x:v>1</x:v>
      </x:c>
      <x:c r="AL247" s="18" t="n">
        <x:v>38</x:v>
      </x:c>
      <x:c r="AM247" s="18" t="n">
        <x:v>41</x:v>
      </x:c>
      <x:c r="AN247" s="18" t="n">
        <x:v>3</x:v>
      </x:c>
      <x:c r="AO247" s="18" t="n">
        <x:v>0</x:v>
      </x:c>
      <x:c r="AP247" s="18" t="n">
        <x:v>0</x:v>
      </x:c>
      <x:c r="AQ247" s="18" t="n">
        <x:v>0</x:v>
      </x:c>
      <x:c r="AR247" s="18" t="n">
        <x:v>0</x:v>
      </x:c>
      <x:c r="AS247" s="18" t="n">
        <x:v>0</x:v>
      </x:c>
      <x:c r="AT247" s="18" t="n">
        <x:v>0</x:v>
      </x:c>
      <x:c r="AU247" s="18" t="n">
        <x:v>7</x:v>
      </x:c>
      <x:c r="AV247" s="18" t="n">
        <x:v>31</x:v>
      </x:c>
      <x:c r="AW247" s="18" t="n">
        <x:v>0</x:v>
      </x:c>
      <x:c r="AX247" s="18" t="n">
        <x:v>0</x:v>
      </x:c>
      <x:c r="AY247" s="18" t="n">
        <x:v>0</x:v>
      </x:c>
      <x:c r="AZ247" s="18" t="n">
        <x:v>0</x:v>
      </x:c>
      <x:c r="BA247" s="18" t="n">
        <x:v>0</x:v>
      </x:c>
      <x:c r="BB247" s="18" t="n">
        <x:v>0</x:v>
      </x:c>
      <x:c r="BC247" s="18" t="n">
        <x:v>0</x:v>
      </x:c>
      <x:c r="BD247" s="18" t="n">
        <x:v>0</x:v>
      </x:c>
      <x:c r="BE247" s="18" t="n">
        <x:v>1</x:v>
      </x:c>
      <x:c r="BF247" s="18" t="n">
        <x:v>15</x:v>
      </x:c>
      <x:c r="BG247" s="18" t="n">
        <x:v>0</x:v>
      </x:c>
    </x:row>
    <x:row r="248">
      <x:c r="A248" s="29" t="str">
        <x:v>335.2</x:v>
      </x:c>
      <x:c r="B248" s="17" t="n">
        <x:v>2844</x:v>
      </x:c>
      <x:c r="C248" s="17" t="str">
        <x:v>מרכז קהילתי "עציון"</x:v>
      </x:c>
      <x:c r="D248" s="17" t="str">
        <x:v>יל"ג 7</x:v>
      </x:c>
      <x:c r="E248" s="17" t="str">
        <x:v>גבוה מאוד</x:v>
      </x:c>
      <x:c r="F248" s="18" t="n">
        <x:v>534</x:v>
      </x:c>
      <x:c r="G248" s="18" t="n">
        <x:v>214</x:v>
      </x:c>
      <x:c r="H248" s="19" t="n">
        <x:f>IFERROR(G248/F248,0)</x:f>
        <x:v>0.40074906367041196</x:v>
      </x:c>
      <x:c r="I248" s="18" t="n">
        <x:v>3</x:v>
      </x:c>
      <x:c r="J248" s="18" t="n">
        <x:v>211</x:v>
      </x:c>
      <x:c r="K248" s="18" t="n">
        <x:f>SUM(AM248,BF248,W248,AD248)</x:f>
        <x:v>110</x:v>
      </x:c>
      <x:c r="L248" s="18" t="n">
        <x:f>Q248+R248</x:f>
        <x:v>96</x:v>
      </x:c>
      <x:c r="M248" s="19" t="n">
        <x:f>IFERROR(K248/J248,0)</x:f>
        <x:v>0.5213270142180095</x:v>
      </x:c>
      <x:c r="N248" s="19" t="n">
        <x:f>IFERROR(L248/J248,0)</x:f>
        <x:v>0.4549763033175355</x:v>
      </x:c>
      <x:c r="O248" s="17" t="str">
        <x:f>IF(K248&gt;MAX(L248,S248),"קואליציית ההקמה 2022",IF(L248&gt;MAX(K248,S248),"אופוזיציה רחבה 2022","רשימות אחרות"))</x:f>
        <x:v>קואליציית ההקמה 2022</x:v>
      </x:c>
      <x:c r="P248" s="17" t="str">
        <x:f>IF(AND(H248&lt;50%,N248&gt;50%),"כן","לא")</x:f>
        <x:v>לא</x:v>
      </x:c>
      <x:c r="Q248" s="18" t="n">
        <x:f>SUM(AV248,AJ248,AL248,T248,AN248)</x:f>
        <x:v>85</x:v>
      </x:c>
      <x:c r="R248" s="18" t="n">
        <x:f>SUM(Y248,AU248,X248)</x:f>
        <x:v>11</x:v>
      </x:c>
      <x:c r="S248" s="18" t="n">
        <x:f>J248-K248-L248</x:f>
        <x:v>5</x:v>
      </x:c>
      <x:c r="T248" s="18" t="n">
        <x:v>4</x:v>
      </x:c>
      <x:c r="U248" s="18" t="n">
        <x:v>0</x:v>
      </x:c>
      <x:c r="V248" s="18" t="n">
        <x:v>1</x:v>
      </x:c>
      <x:c r="W248" s="18" t="n">
        <x:v>66</x:v>
      </x:c>
      <x:c r="X248" s="18" t="n">
        <x:v>2</x:v>
      </x:c>
      <x:c r="Y248" s="18" t="n">
        <x:v>8</x:v>
      </x:c>
      <x:c r="Z248" s="18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6</x:v>
      </x:c>
      <x:c r="AE248" s="18" t="n">
        <x:v>1</x:v>
      </x:c>
      <x:c r="AF248" s="18" t="n">
        <x:v>0</x:v>
      </x:c>
      <x:c r="AG248" s="18" t="n">
        <x:v>0</x:v>
      </x:c>
      <x:c r="AH248" s="18" t="n">
        <x:v>0</x:v>
      </x:c>
      <x:c r="AI248" s="18" t="n">
        <x:v>0</x:v>
      </x:c>
      <x:c r="AJ248" s="18" t="n">
        <x:v>5</x:v>
      </x:c>
      <x:c r="AK248" s="18" t="n">
        <x:v>0</x:v>
      </x:c>
      <x:c r="AL248" s="18" t="n">
        <x:v>44</x:v>
      </x:c>
      <x:c r="AM248" s="18" t="n">
        <x:v>34</x:v>
      </x:c>
      <x:c r="AN248" s="18" t="n">
        <x:v>5</x:v>
      </x:c>
      <x:c r="AO248" s="18" t="n">
        <x:v>0</x:v>
      </x:c>
      <x:c r="AP248" s="18" t="n">
        <x:v>2</x:v>
      </x:c>
      <x:c r="AQ248" s="18" t="n">
        <x:v>0</x:v>
      </x:c>
      <x:c r="AR248" s="18" t="n">
        <x:v>0</x:v>
      </x:c>
      <x:c r="AS248" s="18" t="n">
        <x:v>0</x:v>
      </x:c>
      <x:c r="AT248" s="18" t="n">
        <x:v>0</x:v>
      </x:c>
      <x:c r="AU248" s="18" t="n">
        <x:v>1</x:v>
      </x:c>
      <x:c r="AV248" s="18" t="n">
        <x:v>27</x:v>
      </x:c>
      <x:c r="AW248" s="18" t="n">
        <x:v>0</x:v>
      </x:c>
      <x:c r="AX248" s="18" t="n">
        <x:v>0</x:v>
      </x:c>
      <x:c r="AY248" s="18" t="n">
        <x:v>0</x:v>
      </x:c>
      <x:c r="AZ248" s="18" t="n">
        <x:v>0</x:v>
      </x:c>
      <x:c r="BA248" s="18" t="n">
        <x:v>0</x:v>
      </x:c>
      <x:c r="BB248" s="18" t="n">
        <x:v>1</x:v>
      </x:c>
      <x:c r="BC248" s="18" t="n">
        <x:v>0</x:v>
      </x:c>
      <x:c r="BD248" s="18" t="n">
        <x:v>0</x:v>
      </x:c>
      <x:c r="BE248" s="18" t="n">
        <x:v>0</x:v>
      </x:c>
      <x:c r="BF248" s="18" t="n">
        <x:v>4</x:v>
      </x:c>
      <x:c r="BG248" s="18" t="n">
        <x:v>0</x:v>
      </x:c>
    </x:row>
    <x:row r="249">
      <x:c r="A249" s="29" t="str">
        <x:v>337.1</x:v>
      </x:c>
      <x:c r="B249" s="17" t="n">
        <x:v>2897</x:v>
      </x:c>
      <x:c r="C249" s="17" t="str">
        <x:v>מתנ"ס הדר-ביתנו</x:v>
      </x:c>
      <x:c r="D249" s="17" t="str">
        <x:v>ירושלים 29</x:v>
      </x:c>
      <x:c r="E249" s="17" t="str">
        <x:v>גבוה מאוד</x:v>
      </x:c>
      <x:c r="F249" s="18" t="n">
        <x:v>584</x:v>
      </x:c>
      <x:c r="G249" s="18" t="n">
        <x:v>235</x:v>
      </x:c>
      <x:c r="H249" s="19" t="n">
        <x:f>IFERROR(G249/F249,0)</x:f>
        <x:v>0.4023972602739726</x:v>
      </x:c>
      <x:c r="I249" s="18" t="n">
        <x:v>2</x:v>
      </x:c>
      <x:c r="J249" s="18" t="n">
        <x:v>233</x:v>
      </x:c>
      <x:c r="K249" s="18" t="n">
        <x:f>SUM(AM249,BF249,W249,AD249)</x:f>
        <x:v>162</x:v>
      </x:c>
      <x:c r="L249" s="18" t="n">
        <x:f>Q249+R249</x:f>
        <x:v>68</x:v>
      </x:c>
      <x:c r="M249" s="19" t="n">
        <x:f>IFERROR(K249/J249,0)</x:f>
        <x:v>0.6952789699570815</x:v>
      </x:c>
      <x:c r="N249" s="19" t="n">
        <x:f>IFERROR(L249/J249,0)</x:f>
        <x:v>0.2918454935622318</x:v>
      </x:c>
      <x:c r="O249" s="17" t="str">
        <x:f>IF(K249&gt;MAX(L249,S249),"קואליציית ההקמה 2022",IF(L249&gt;MAX(K249,S249),"אופוזיציה רחבה 2022","רשימות אחרות"))</x:f>
        <x:v>קואליציית ההקמה 2022</x:v>
      </x:c>
      <x:c r="P249" s="17" t="str">
        <x:f>IF(AND(H249&lt;50%,N249&gt;50%),"כן","לא")</x:f>
        <x:v>לא</x:v>
      </x:c>
      <x:c r="Q249" s="18" t="n">
        <x:f>SUM(AV249,AJ249,AL249,T249,AN249)</x:f>
        <x:v>56</x:v>
      </x:c>
      <x:c r="R249" s="18" t="n">
        <x:f>SUM(Y249,AU249,X249)</x:f>
        <x:v>12</x:v>
      </x:c>
      <x:c r="S249" s="18" t="n">
        <x:f>J249-K249-L249</x:f>
        <x:v>3</x:v>
      </x:c>
      <x:c r="T249" s="18" t="n">
        <x:v>12</x:v>
      </x:c>
      <x:c r="U249" s="18" t="n">
        <x:v>0</x:v>
      </x:c>
      <x:c r="V249" s="18" t="n">
        <x:v>2</x:v>
      </x:c>
      <x:c r="W249" s="18" t="n">
        <x:v>91</x:v>
      </x:c>
      <x:c r="X249" s="18" t="n">
        <x:v>2</x:v>
      </x:c>
      <x:c r="Y249" s="18" t="n">
        <x:v>9</x:v>
      </x:c>
      <x:c r="Z249" s="18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12</x:v>
      </x:c>
      <x:c r="AE249" s="18" t="n">
        <x:v>0</x:v>
      </x:c>
      <x:c r="AF249" s="18" t="n">
        <x:v>0</x:v>
      </x:c>
      <x:c r="AG249" s="18" t="n">
        <x:v>0</x:v>
      </x:c>
      <x:c r="AH249" s="18" t="n">
        <x:v>0</x:v>
      </x:c>
      <x:c r="AI249" s="18" t="n">
        <x:v>0</x:v>
      </x:c>
      <x:c r="AJ249" s="18" t="n">
        <x:v>2</x:v>
      </x:c>
      <x:c r="AK249" s="18" t="n">
        <x:v>0</x:v>
      </x:c>
      <x:c r="AL249" s="18" t="n">
        <x:v>21</x:v>
      </x:c>
      <x:c r="AM249" s="18" t="n">
        <x:v>40</x:v>
      </x:c>
      <x:c r="AN249" s="18" t="n">
        <x:v>3</x:v>
      </x:c>
      <x:c r="AO249" s="18" t="n">
        <x:v>0</x:v>
      </x:c>
      <x:c r="AP249" s="18" t="n">
        <x:v>0</x:v>
      </x:c>
      <x:c r="AQ249" s="18" t="n">
        <x:v>0</x:v>
      </x:c>
      <x:c r="AR249" s="18" t="n">
        <x:v>0</x:v>
      </x:c>
      <x:c r="AS249" s="18" t="n">
        <x:v>0</x:v>
      </x:c>
      <x:c r="AT249" s="18" t="n">
        <x:v>0</x:v>
      </x:c>
      <x:c r="AU249" s="18" t="n">
        <x:v>1</x:v>
      </x:c>
      <x:c r="AV249" s="18" t="n">
        <x:v>18</x:v>
      </x:c>
      <x:c r="AW249" s="18" t="n">
        <x:v>0</x:v>
      </x:c>
      <x:c r="AX249" s="18" t="n">
        <x:v>0</x:v>
      </x:c>
      <x:c r="AY249" s="18" t="n">
        <x:v>0</x:v>
      </x:c>
      <x:c r="AZ249" s="18" t="n">
        <x:v>0</x:v>
      </x:c>
      <x:c r="BA249" s="18" t="n">
        <x:v>0</x:v>
      </x:c>
      <x:c r="BB249" s="18" t="n">
        <x:v>0</x:v>
      </x:c>
      <x:c r="BC249" s="18" t="n">
        <x:v>0</x:v>
      </x:c>
      <x:c r="BD249" s="18" t="n">
        <x:v>1</x:v>
      </x:c>
      <x:c r="BE249" s="18" t="n">
        <x:v>0</x:v>
      </x:c>
      <x:c r="BF249" s="18" t="n">
        <x:v>19</x:v>
      </x:c>
      <x:c r="BG249" s="18" t="n">
        <x:v>0</x:v>
      </x:c>
    </x:row>
    <x:row r="250">
      <x:c r="A250" s="29" t="str">
        <x:v>337.2</x:v>
      </x:c>
      <x:c r="B250" s="17" t="n">
        <x:v>2898</x:v>
      </x:c>
      <x:c r="C250" s="17" t="str">
        <x:v>מתנ"ס הדר-ביתנו</x:v>
      </x:c>
      <x:c r="D250" s="17" t="str">
        <x:v>ירושלים 29</x:v>
      </x:c>
      <x:c r="E250" s="17" t="str">
        <x:v>גבוה מאוד</x:v>
      </x:c>
      <x:c r="F250" s="18" t="n">
        <x:v>584</x:v>
      </x:c>
      <x:c r="G250" s="18" t="n">
        <x:v>234</x:v>
      </x:c>
      <x:c r="H250" s="19" t="n">
        <x:f>IFERROR(G250/F250,0)</x:f>
        <x:v>0.4006849315068493</x:v>
      </x:c>
      <x:c r="I250" s="18" t="n">
        <x:v>0</x:v>
      </x:c>
      <x:c r="J250" s="18" t="n">
        <x:v>234</x:v>
      </x:c>
      <x:c r="K250" s="18" t="n">
        <x:f>SUM(AM250,BF250,W250,AD250)</x:f>
        <x:v>153</x:v>
      </x:c>
      <x:c r="L250" s="18" t="n">
        <x:f>Q250+R250</x:f>
        <x:v>78</x:v>
      </x:c>
      <x:c r="M250" s="19" t="n">
        <x:f>IFERROR(K250/J250,0)</x:f>
        <x:v>0.6538461538461539</x:v>
      </x:c>
      <x:c r="N250" s="19" t="n">
        <x:f>IFERROR(L250/J250,0)</x:f>
        <x:v>0.3333333333333333</x:v>
      </x:c>
      <x:c r="O250" s="17" t="str">
        <x:f>IF(K250&gt;MAX(L250,S250),"קואליציית ההקמה 2022",IF(L250&gt;MAX(K250,S250),"אופוזיציה רחבה 2022","רשימות אחרות"))</x:f>
        <x:v>קואליציית ההקמה 2022</x:v>
      </x:c>
      <x:c r="P250" s="17" t="str">
        <x:f>IF(AND(H250&lt;50%,N250&gt;50%),"כן","לא")</x:f>
        <x:v>לא</x:v>
      </x:c>
      <x:c r="Q250" s="18" t="n">
        <x:f>SUM(AV250,AJ250,AL250,T250,AN250)</x:f>
        <x:v>69</x:v>
      </x:c>
      <x:c r="R250" s="18" t="n">
        <x:f>SUM(Y250,AU250,X250)</x:f>
        <x:v>9</x:v>
      </x:c>
      <x:c r="S250" s="18" t="n">
        <x:f>J250-K250-L250</x:f>
        <x:v>3</x:v>
      </x:c>
      <x:c r="T250" s="18" t="n">
        <x:v>5</x:v>
      </x:c>
      <x:c r="U250" s="18" t="n">
        <x:v>1</x:v>
      </x:c>
      <x:c r="V250" s="18" t="n">
        <x:v>0</x:v>
      </x:c>
      <x:c r="W250" s="18" t="n">
        <x:v>81</x:v>
      </x:c>
      <x:c r="X250" s="18" t="n">
        <x:v>4</x:v>
      </x:c>
      <x:c r="Y250" s="18" t="n">
        <x:v>5</x:v>
      </x:c>
      <x:c r="Z250" s="18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6</x:v>
      </x:c>
      <x:c r="AE250" s="18" t="n">
        <x:v>0</x:v>
      </x:c>
      <x:c r="AF250" s="18" t="n">
        <x:v>0</x:v>
      </x:c>
      <x:c r="AG250" s="18" t="n">
        <x:v>0</x:v>
      </x:c>
      <x:c r="AH250" s="18" t="n">
        <x:v>0</x:v>
      </x:c>
      <x:c r="AI250" s="18" t="n">
        <x:v>0</x:v>
      </x:c>
      <x:c r="AJ250" s="18" t="n">
        <x:v>2</x:v>
      </x:c>
      <x:c r="AK250" s="18" t="n">
        <x:v>0</x:v>
      </x:c>
      <x:c r="AL250" s="18" t="n">
        <x:v>34</x:v>
      </x:c>
      <x:c r="AM250" s="18" t="n">
        <x:v>38</x:v>
      </x:c>
      <x:c r="AN250" s="18" t="n">
        <x:v>6</x:v>
      </x:c>
      <x:c r="AO250" s="18" t="n">
        <x:v>0</x:v>
      </x:c>
      <x:c r="AP250" s="18" t="n">
        <x:v>0</x:v>
      </x:c>
      <x:c r="AQ250" s="18" t="n">
        <x:v>0</x:v>
      </x:c>
      <x:c r="AR250" s="18" t="n">
        <x:v>0</x:v>
      </x:c>
      <x:c r="AS250" s="18" t="n">
        <x:v>0</x:v>
      </x:c>
      <x:c r="AT250" s="18" t="n">
        <x:v>1</x:v>
      </x:c>
      <x:c r="AU250" s="18" t="n">
        <x:v>0</x:v>
      </x:c>
      <x:c r="AV250" s="18" t="n">
        <x:v>22</x:v>
      </x:c>
      <x:c r="AW250" s="18" t="n">
        <x:v>0</x:v>
      </x:c>
      <x:c r="AX250" s="18" t="n">
        <x:v>0</x:v>
      </x:c>
      <x:c r="AY250" s="18" t="n">
        <x:v>0</x:v>
      </x:c>
      <x:c r="AZ250" s="18" t="n">
        <x:v>0</x:v>
      </x:c>
      <x:c r="BA250" s="18" t="n">
        <x:v>0</x:v>
      </x:c>
      <x:c r="BB250" s="18" t="n">
        <x:v>0</x:v>
      </x:c>
      <x:c r="BC250" s="18" t="n">
        <x:v>0</x:v>
      </x:c>
      <x:c r="BD250" s="18" t="n">
        <x:v>0</x:v>
      </x:c>
      <x:c r="BE250" s="18" t="n">
        <x:v>1</x:v>
      </x:c>
      <x:c r="BF250" s="18" t="n">
        <x:v>28</x:v>
      </x:c>
      <x:c r="BG250" s="18" t="n">
        <x:v>0</x:v>
      </x:c>
    </x:row>
    <x:row r="251">
      <x:c r="A251" s="29" t="str">
        <x:v>337.3</x:v>
      </x:c>
      <x:c r="B251" s="17" t="n">
        <x:v>2899</x:v>
      </x:c>
      <x:c r="C251" s="17" t="str">
        <x:v>מתנ"ס הדר-ביתנו</x:v>
      </x:c>
      <x:c r="D251" s="17" t="str">
        <x:v>ירושלים 29</x:v>
      </x:c>
      <x:c r="E251" s="17" t="str">
        <x:v>גבוה מאוד</x:v>
      </x:c>
      <x:c r="F251" s="18" t="n">
        <x:v>582</x:v>
      </x:c>
      <x:c r="G251" s="18" t="n">
        <x:v>228</x:v>
      </x:c>
      <x:c r="H251" s="19" t="n">
        <x:f>IFERROR(G251/F251,0)</x:f>
        <x:v>0.3917525773195876</x:v>
      </x:c>
      <x:c r="I251" s="18" t="n">
        <x:v>2</x:v>
      </x:c>
      <x:c r="J251" s="18" t="n">
        <x:v>226</x:v>
      </x:c>
      <x:c r="K251" s="18" t="n">
        <x:f>SUM(AM251,BF251,W251,AD251)</x:f>
        <x:v>145</x:v>
      </x:c>
      <x:c r="L251" s="18" t="n">
        <x:f>Q251+R251</x:f>
        <x:v>80</x:v>
      </x:c>
      <x:c r="M251" s="19" t="n">
        <x:f>IFERROR(K251/J251,0)</x:f>
        <x:v>0.6415929203539823</x:v>
      </x:c>
      <x:c r="N251" s="19" t="n">
        <x:f>IFERROR(L251/J251,0)</x:f>
        <x:v>0.35398230088495575</x:v>
      </x:c>
      <x:c r="O251" s="17" t="str">
        <x:f>IF(K251&gt;MAX(L251,S251),"קואליציית ההקמה 2022",IF(L251&gt;MAX(K251,S251),"אופוזיציה רחבה 2022","רשימות אחרות"))</x:f>
        <x:v>קואליציית ההקמה 2022</x:v>
      </x:c>
      <x:c r="P251" s="17" t="str">
        <x:f>IF(AND(H251&lt;50%,N251&gt;50%),"כן","לא")</x:f>
        <x:v>לא</x:v>
      </x:c>
      <x:c r="Q251" s="18" t="n">
        <x:f>SUM(AV251,AJ251,AL251,T251,AN251)</x:f>
        <x:v>66</x:v>
      </x:c>
      <x:c r="R251" s="18" t="n">
        <x:f>SUM(Y251,AU251,X251)</x:f>
        <x:v>14</x:v>
      </x:c>
      <x:c r="S251" s="18" t="n">
        <x:f>J251-K251-L251</x:f>
        <x:v>1</x:v>
      </x:c>
      <x:c r="T251" s="18" t="n">
        <x:v>10</x:v>
      </x:c>
      <x:c r="U251" s="18" t="n">
        <x:v>0</x:v>
      </x:c>
      <x:c r="V251" s="18" t="n">
        <x:v>1</x:v>
      </x:c>
      <x:c r="W251" s="18" t="n">
        <x:v>92</x:v>
      </x:c>
      <x:c r="X251" s="18" t="n">
        <x:v>3</x:v>
      </x:c>
      <x:c r="Y251" s="18" t="n">
        <x:v>10</x:v>
      </x:c>
      <x:c r="Z251" s="18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8</x:v>
      </x:c>
      <x:c r="AE251" s="18" t="n">
        <x:v>0</x:v>
      </x:c>
      <x:c r="AF251" s="18" t="n">
        <x:v>0</x:v>
      </x:c>
      <x:c r="AG251" s="18" t="n">
        <x:v>0</x:v>
      </x:c>
      <x:c r="AH251" s="18" t="n">
        <x:v>0</x:v>
      </x:c>
      <x:c r="AI251" s="18" t="n">
        <x:v>0</x:v>
      </x:c>
      <x:c r="AJ251" s="18" t="n">
        <x:v>3</x:v>
      </x:c>
      <x:c r="AK251" s="18" t="n">
        <x:v>0</x:v>
      </x:c>
      <x:c r="AL251" s="18" t="n">
        <x:v>31</x:v>
      </x:c>
      <x:c r="AM251" s="18" t="n">
        <x:v>33</x:v>
      </x:c>
      <x:c r="AN251" s="18" t="n">
        <x:v>5</x:v>
      </x:c>
      <x:c r="AO251" s="18" t="n">
        <x:v>0</x:v>
      </x:c>
      <x:c r="AP251" s="18" t="n">
        <x:v>0</x:v>
      </x:c>
      <x:c r="AQ251" s="18" t="n">
        <x:v>0</x:v>
      </x:c>
      <x:c r="AR251" s="18" t="n">
        <x:v>0</x:v>
      </x:c>
      <x:c r="AS251" s="18" t="n">
        <x:v>0</x:v>
      </x:c>
      <x:c r="AT251" s="18" t="n">
        <x:v>0</x:v>
      </x:c>
      <x:c r="AU251" s="18" t="n">
        <x:v>1</x:v>
      </x:c>
      <x:c r="AV251" s="18" t="n">
        <x:v>17</x:v>
      </x:c>
      <x:c r="AW251" s="18" t="n">
        <x:v>0</x:v>
      </x:c>
      <x:c r="AX251" s="18" t="n">
        <x:v>0</x:v>
      </x:c>
      <x:c r="AY251" s="18" t="n">
        <x:v>0</x:v>
      </x:c>
      <x:c r="AZ251" s="18" t="n">
        <x:v>0</x:v>
      </x:c>
      <x:c r="BA251" s="18" t="n">
        <x:v>0</x:v>
      </x:c>
      <x:c r="BB251" s="18" t="n">
        <x:v>0</x:v>
      </x:c>
      <x:c r="BC251" s="18" t="n">
        <x:v>0</x:v>
      </x:c>
      <x:c r="BD251" s="18" t="n">
        <x:v>0</x:v>
      </x:c>
      <x:c r="BE251" s="18" t="n">
        <x:v>0</x:v>
      </x:c>
      <x:c r="BF251" s="18" t="n">
        <x:v>12</x:v>
      </x:c>
      <x:c r="BG251" s="18" t="n">
        <x:v>0</x:v>
      </x:c>
    </x:row>
    <x:row r="252">
      <x:c r="A252" s="29" t="str">
        <x:v>339</x:v>
      </x:c>
      <x:c r="B252" s="17" t="n">
        <x:v>2845</x:v>
      </x:c>
      <x:c r="C252" s="17" t="str">
        <x:v>מרכז הנוער בית מגנצא</x:v>
      </x:c>
      <x:c r="D252" s="17" t="str">
        <x:v>חטיבת כרמלי 42א</x:v>
      </x:c>
      <x:c r="E252" s="17" t="str">
        <x:v>גבוה מאוד</x:v>
      </x:c>
      <x:c r="F252" s="18" t="n">
        <x:v>597</x:v>
      </x:c>
      <x:c r="G252" s="18" t="n">
        <x:v>232</x:v>
      </x:c>
      <x:c r="H252" s="19" t="n">
        <x:f>IFERROR(G252/F252,0)</x:f>
        <x:v>0.38860971524288107</x:v>
      </x:c>
      <x:c r="I252" s="18" t="n">
        <x:v>4</x:v>
      </x:c>
      <x:c r="J252" s="18" t="n">
        <x:v>228</x:v>
      </x:c>
      <x:c r="K252" s="18" t="n">
        <x:f>SUM(AM252,BF252,W252,AD252)</x:f>
        <x:v>116</x:v>
      </x:c>
      <x:c r="L252" s="18" t="n">
        <x:f>Q252+R252</x:f>
        <x:v>101</x:v>
      </x:c>
      <x:c r="M252" s="19" t="n">
        <x:f>IFERROR(K252/J252,0)</x:f>
        <x:v>0.5087719298245614</x:v>
      </x:c>
      <x:c r="N252" s="19" t="n">
        <x:f>IFERROR(L252/J252,0)</x:f>
        <x:v>0.44298245614035087</x:v>
      </x:c>
      <x:c r="O252" s="17" t="str">
        <x:f>IF(K252&gt;MAX(L252,S252),"קואליציית ההקמה 2022",IF(L252&gt;MAX(K252,S252),"אופוזיציה רחבה 2022","רשימות אחרות"))</x:f>
        <x:v>קואליציית ההקמה 2022</x:v>
      </x:c>
      <x:c r="P252" s="17" t="str">
        <x:f>IF(AND(H252&lt;50%,N252&gt;50%),"כן","לא")</x:f>
        <x:v>לא</x:v>
      </x:c>
      <x:c r="Q252" s="18" t="n">
        <x:f>SUM(AV252,AJ252,AL252,T252,AN252)</x:f>
        <x:v>93</x:v>
      </x:c>
      <x:c r="R252" s="18" t="n">
        <x:f>SUM(Y252,AU252,X252)</x:f>
        <x:v>8</x:v>
      </x:c>
      <x:c r="S252" s="18" t="n">
        <x:f>J252-K252-L252</x:f>
        <x:v>11</x:v>
      </x:c>
      <x:c r="T252" s="18" t="n">
        <x:v>4</x:v>
      </x:c>
      <x:c r="U252" s="18" t="n">
        <x:v>0</x:v>
      </x:c>
      <x:c r="V252" s="18" t="n">
        <x:v>0</x:v>
      </x:c>
      <x:c r="W252" s="18" t="n">
        <x:v>1</x:v>
      </x:c>
      <x:c r="X252" s="18" t="n">
        <x:v>2</x:v>
      </x:c>
      <x:c r="Y252" s="18" t="n">
        <x:v>5</x:v>
      </x:c>
      <x:c r="Z252" s="18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14</x:v>
      </x:c>
      <x:c r="AE252" s="18" t="n">
        <x:v>0</x:v>
      </x:c>
      <x:c r="AF252" s="18" t="n">
        <x:v>1</x:v>
      </x:c>
      <x:c r="AG252" s="18" t="n">
        <x:v>0</x:v>
      </x:c>
      <x:c r="AH252" s="18" t="n">
        <x:v>0</x:v>
      </x:c>
      <x:c r="AI252" s="18" t="n">
        <x:v>1</x:v>
      </x:c>
      <x:c r="AJ252" s="18" t="n">
        <x:v>13</x:v>
      </x:c>
      <x:c r="AK252" s="18" t="n">
        <x:v>0</x:v>
      </x:c>
      <x:c r="AL252" s="18" t="n">
        <x:v>37</x:v>
      </x:c>
      <x:c r="AM252" s="18" t="n">
        <x:v>86</x:v>
      </x:c>
      <x:c r="AN252" s="18" t="n">
        <x:v>3</x:v>
      </x:c>
      <x:c r="AO252" s="18" t="n">
        <x:v>0</x:v>
      </x:c>
      <x:c r="AP252" s="18" t="n">
        <x:v>0</x:v>
      </x:c>
      <x:c r="AQ252" s="18" t="n">
        <x:v>0</x:v>
      </x:c>
      <x:c r="AR252" s="18" t="n">
        <x:v>0</x:v>
      </x:c>
      <x:c r="AS252" s="18" t="n">
        <x:v>0</x:v>
      </x:c>
      <x:c r="AT252" s="18" t="n">
        <x:v>0</x:v>
      </x:c>
      <x:c r="AU252" s="18" t="n">
        <x:v>1</x:v>
      </x:c>
      <x:c r="AV252" s="18" t="n">
        <x:v>36</x:v>
      </x:c>
      <x:c r="AW252" s="18" t="n">
        <x:v>0</x:v>
      </x:c>
      <x:c r="AX252" s="18" t="n">
        <x:v>0</x:v>
      </x:c>
      <x:c r="AY252" s="18" t="n">
        <x:v>0</x:v>
      </x:c>
      <x:c r="AZ252" s="18" t="n">
        <x:v>1</x:v>
      </x:c>
      <x:c r="BA252" s="18" t="n">
        <x:v>1</x:v>
      </x:c>
      <x:c r="BB252" s="18" t="n">
        <x:v>0</x:v>
      </x:c>
      <x:c r="BC252" s="18" t="n">
        <x:v>1</x:v>
      </x:c>
      <x:c r="BD252" s="18" t="n">
        <x:v>2</x:v>
      </x:c>
      <x:c r="BE252" s="18" t="n">
        <x:v>1</x:v>
      </x:c>
      <x:c r="BF252" s="18" t="n">
        <x:v>15</x:v>
      </x:c>
      <x:c r="BG252" s="18" t="n">
        <x:v>3</x:v>
      </x:c>
    </x:row>
    <x:row r="253">
      <x:c r="A253" s="29" t="str">
        <x:v>343.1</x:v>
      </x:c>
      <x:c r="B253" s="17" t="n">
        <x:v>2871</x:v>
      </x:c>
      <x:c r="C253" s="17" t="str">
        <x:v>תלמוד תורה תורת אמת</x:v>
      </x:c>
      <x:c r="D253" s="17" t="str">
        <x:v>בן בבא 4</x:v>
      </x:c>
      <x:c r="E253" s="17" t="str">
        <x:v>גבוה מאוד</x:v>
      </x:c>
      <x:c r="F253" s="18" t="n">
        <x:v>581</x:v>
      </x:c>
      <x:c r="G253" s="18" t="n">
        <x:v>322</x:v>
      </x:c>
      <x:c r="H253" s="19" t="n">
        <x:f>IFERROR(G253/F253,0)</x:f>
        <x:v>0.5542168674698795</x:v>
      </x:c>
      <x:c r="I253" s="18" t="n">
        <x:v>2</x:v>
      </x:c>
      <x:c r="J253" s="18" t="n">
        <x:v>320</x:v>
      </x:c>
      <x:c r="K253" s="18" t="n">
        <x:f>SUM(AM253,BF253,W253,AD253)</x:f>
        <x:v>283</x:v>
      </x:c>
      <x:c r="L253" s="18" t="n">
        <x:f>Q253+R253</x:f>
        <x:v>34</x:v>
      </x:c>
      <x:c r="M253" s="19" t="n">
        <x:f>IFERROR(K253/J253,0)</x:f>
        <x:v>0.884375</x:v>
      </x:c>
      <x:c r="N253" s="19" t="n">
        <x:f>IFERROR(L253/J253,0)</x:f>
        <x:v>0.10625</x:v>
      </x:c>
      <x:c r="O253" s="17" t="str">
        <x:f>IF(K253&gt;MAX(L253,S253),"קואליציית ההקמה 2022",IF(L253&gt;MAX(K253,S253),"אופוזיציה רחבה 2022","רשימות אחרות"))</x:f>
        <x:v>קואליציית ההקמה 2022</x:v>
      </x:c>
      <x:c r="P253" s="17" t="str">
        <x:f>IF(AND(H253&lt;50%,N253&gt;50%),"כן","לא")</x:f>
        <x:v>לא</x:v>
      </x:c>
      <x:c r="Q253" s="18" t="n">
        <x:f>SUM(AV253,AJ253,AL253,T253,AN253)</x:f>
        <x:v>28</x:v>
      </x:c>
      <x:c r="R253" s="18" t="n">
        <x:f>SUM(Y253,AU253,X253)</x:f>
        <x:v>6</x:v>
      </x:c>
      <x:c r="S253" s="18" t="n">
        <x:f>J253-K253-L253</x:f>
        <x:v>3</x:v>
      </x:c>
      <x:c r="T253" s="18" t="n">
        <x:v>1</x:v>
      </x:c>
      <x:c r="U253" s="18" t="n">
        <x:v>0</x:v>
      </x:c>
      <x:c r="V253" s="18" t="n">
        <x:v>0</x:v>
      </x:c>
      <x:c r="W253" s="18" t="n">
        <x:v>182</x:v>
      </x:c>
      <x:c r="X253" s="18" t="n">
        <x:v>3</x:v>
      </x:c>
      <x:c r="Y253" s="18" t="n">
        <x:v>3</x:v>
      </x:c>
      <x:c r="Z253" s="18" t="n">
        <x:v>1</x:v>
      </x:c>
      <x:c r="AA253" s="18" t="n">
        <x:v>0</x:v>
      </x:c>
      <x:c r="AB253" s="18" t="n">
        <x:v>0</x:v>
      </x:c>
      <x:c r="AC253" s="18" t="n">
        <x:v>1</x:v>
      </x:c>
      <x:c r="AD253" s="18" t="n">
        <x:v>12</x:v>
      </x:c>
      <x:c r="AE253" s="18" t="n">
        <x:v>0</x:v>
      </x:c>
      <x:c r="AF253" s="18" t="n">
        <x:v>0</x:v>
      </x:c>
      <x:c r="AG253" s="18" t="n">
        <x:v>0</x:v>
      </x:c>
      <x:c r="AH253" s="18" t="n">
        <x:v>0</x:v>
      </x:c>
      <x:c r="AI253" s="18" t="n">
        <x:v>0</x:v>
      </x:c>
      <x:c r="AJ253" s="18" t="n">
        <x:v>5</x:v>
      </x:c>
      <x:c r="AK253" s="18" t="n">
        <x:v>0</x:v>
      </x:c>
      <x:c r="AL253" s="18" t="n">
        <x:v>14</x:v>
      </x:c>
      <x:c r="AM253" s="18" t="n">
        <x:v>32</x:v>
      </x:c>
      <x:c r="AN253" s="18" t="n">
        <x:v>1</x:v>
      </x:c>
      <x:c r="AO253" s="18" t="n">
        <x:v>0</x:v>
      </x:c>
      <x:c r="AP253" s="18" t="n">
        <x:v>0</x:v>
      </x:c>
      <x:c r="AQ253" s="18" t="n">
        <x:v>0</x:v>
      </x:c>
      <x:c r="AR253" s="18" t="n">
        <x:v>0</x:v>
      </x:c>
      <x:c r="AS253" s="18" t="n">
        <x:v>0</x:v>
      </x:c>
      <x:c r="AT253" s="18" t="n">
        <x:v>0</x:v>
      </x:c>
      <x:c r="AU253" s="18" t="n">
        <x:v>0</x:v>
      </x:c>
      <x:c r="AV253" s="18" t="n">
        <x:v>7</x:v>
      </x:c>
      <x:c r="AW253" s="18" t="n">
        <x:v>1</x:v>
      </x:c>
      <x:c r="AX253" s="18" t="n">
        <x:v>0</x:v>
      </x:c>
      <x:c r="AY253" s="18" t="n">
        <x:v>0</x:v>
      </x:c>
      <x:c r="AZ253" s="18" t="n">
        <x:v>0</x:v>
      </x:c>
      <x:c r="BA253" s="18" t="n">
        <x:v>0</x:v>
      </x:c>
      <x:c r="BB253" s="18" t="n">
        <x:v>0</x:v>
      </x:c>
      <x:c r="BC253" s="18" t="n">
        <x:v>0</x:v>
      </x:c>
      <x:c r="BD253" s="18" t="n">
        <x:v>0</x:v>
      </x:c>
      <x:c r="BE253" s="18" t="n">
        <x:v>0</x:v>
      </x:c>
      <x:c r="BF253" s="18" t="n">
        <x:v>57</x:v>
      </x:c>
      <x:c r="BG253" s="18" t="n">
        <x:v>0</x:v>
      </x:c>
    </x:row>
    <x:row r="254">
      <x:c r="A254" s="29" t="str">
        <x:v>343.2</x:v>
      </x:c>
      <x:c r="B254" s="17" t="n">
        <x:v>2872</x:v>
      </x:c>
      <x:c r="C254" s="17" t="str">
        <x:v>תלמוד תורה תורת אמת</x:v>
      </x:c>
      <x:c r="D254" s="17" t="str">
        <x:v>בן בבא 4</x:v>
      </x:c>
      <x:c r="E254" s="17" t="str">
        <x:v>גבוה מאוד</x:v>
      </x:c>
      <x:c r="F254" s="18" t="n">
        <x:v>581</x:v>
      </x:c>
      <x:c r="G254" s="18" t="n">
        <x:v>409</x:v>
      </x:c>
      <x:c r="H254" s="19" t="n">
        <x:f>IFERROR(G254/F254,0)</x:f>
        <x:v>0.7039586919104991</x:v>
      </x:c>
      <x:c r="I254" s="18" t="n">
        <x:v>1</x:v>
      </x:c>
      <x:c r="J254" s="18" t="n">
        <x:v>408</x:v>
      </x:c>
      <x:c r="K254" s="18" t="n">
        <x:f>SUM(AM254,BF254,W254,AD254)</x:f>
        <x:v>383</x:v>
      </x:c>
      <x:c r="L254" s="18" t="n">
        <x:f>Q254+R254</x:f>
        <x:v>24</x:v>
      </x:c>
      <x:c r="M254" s="19" t="n">
        <x:f>IFERROR(K254/J254,0)</x:f>
        <x:v>0.9387254901960784</x:v>
      </x:c>
      <x:c r="N254" s="19" t="n">
        <x:f>IFERROR(L254/J254,0)</x:f>
        <x:v>0.058823529411764705</x:v>
      </x:c>
      <x:c r="O254" s="17" t="str">
        <x:f>IF(K254&gt;MAX(L254,S254),"קואליציית ההקמה 2022",IF(L254&gt;MAX(K254,S254),"אופוזיציה רחבה 2022","רשימות אחרות"))</x:f>
        <x:v>קואליציית ההקמה 2022</x:v>
      </x:c>
      <x:c r="P254" s="17" t="str">
        <x:f>IF(AND(H254&lt;50%,N254&gt;50%),"כן","לא")</x:f>
        <x:v>לא</x:v>
      </x:c>
      <x:c r="Q254" s="18" t="n">
        <x:f>SUM(AV254,AJ254,AL254,T254,AN254)</x:f>
        <x:v>16</x:v>
      </x:c>
      <x:c r="R254" s="18" t="n">
        <x:f>SUM(Y254,AU254,X254)</x:f>
        <x:v>8</x:v>
      </x:c>
      <x:c r="S254" s="18" t="n">
        <x:f>J254-K254-L254</x:f>
        <x:v>1</x:v>
      </x:c>
      <x:c r="T254" s="18" t="n">
        <x:v>0</x:v>
      </x:c>
      <x:c r="U254" s="18" t="n">
        <x:v>0</x:v>
      </x:c>
      <x:c r="V254" s="18" t="n">
        <x:v>1</x:v>
      </x:c>
      <x:c r="W254" s="18" t="n">
        <x:v>327</x:v>
      </x:c>
      <x:c r="X254" s="18" t="n">
        <x:v>0</x:v>
      </x:c>
      <x:c r="Y254" s="18" t="n">
        <x:v>7</x:v>
      </x:c>
      <x:c r="Z254" s="18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6</x:v>
      </x:c>
      <x:c r="AE254" s="18" t="n">
        <x:v>0</x:v>
      </x:c>
      <x:c r="AF254" s="18" t="n">
        <x:v>0</x:v>
      </x:c>
      <x:c r="AG254" s="18" t="n">
        <x:v>0</x:v>
      </x:c>
      <x:c r="AH254" s="18" t="n">
        <x:v>0</x:v>
      </x:c>
      <x:c r="AI254" s="18" t="n">
        <x:v>0</x:v>
      </x:c>
      <x:c r="AJ254" s="18" t="n">
        <x:v>0</x:v>
      </x:c>
      <x:c r="AK254" s="18" t="n">
        <x:v>0</x:v>
      </x:c>
      <x:c r="AL254" s="18" t="n">
        <x:v>11</x:v>
      </x:c>
      <x:c r="AM254" s="18" t="n">
        <x:v>18</x:v>
      </x:c>
      <x:c r="AN254" s="18" t="n">
        <x:v>1</x:v>
      </x:c>
      <x:c r="AO254" s="18" t="n">
        <x:v>0</x:v>
      </x:c>
      <x:c r="AP254" s="18" t="n">
        <x:v>0</x:v>
      </x:c>
      <x:c r="AQ254" s="18" t="n">
        <x:v>0</x:v>
      </x:c>
      <x:c r="AR254" s="18" t="n">
        <x:v>0</x:v>
      </x:c>
      <x:c r="AS254" s="18" t="n">
        <x:v>0</x:v>
      </x:c>
      <x:c r="AT254" s="18" t="n">
        <x:v>0</x:v>
      </x:c>
      <x:c r="AU254" s="18" t="n">
        <x:v>1</x:v>
      </x:c>
      <x:c r="AV254" s="18" t="n">
        <x:v>4</x:v>
      </x:c>
      <x:c r="AW254" s="18" t="n">
        <x:v>0</x:v>
      </x:c>
      <x:c r="AX254" s="18" t="n">
        <x:v>0</x:v>
      </x:c>
      <x:c r="AY254" s="18" t="n">
        <x:v>0</x:v>
      </x:c>
      <x:c r="AZ254" s="18" t="n">
        <x:v>0</x:v>
      </x:c>
      <x:c r="BA254" s="18" t="n">
        <x:v>0</x:v>
      </x:c>
      <x:c r="BB254" s="18" t="n">
        <x:v>0</x:v>
      </x:c>
      <x:c r="BC254" s="18" t="n">
        <x:v>0</x:v>
      </x:c>
      <x:c r="BD254" s="18" t="n">
        <x:v>0</x:v>
      </x:c>
      <x:c r="BE254" s="18" t="n">
        <x:v>0</x:v>
      </x:c>
      <x:c r="BF254" s="18" t="n">
        <x:v>32</x:v>
      </x:c>
      <x:c r="BG254" s="18" t="n">
        <x:v>0</x:v>
      </x:c>
    </x:row>
    <x:row r="255">
      <x:c r="A255" s="29" t="str">
        <x:v>343.3</x:v>
      </x:c>
      <x:c r="B255" s="17" t="n">
        <x:v>2873</x:v>
      </x:c>
      <x:c r="C255" s="17" t="str">
        <x:v>תלמוד תורה תורת אמת</x:v>
      </x:c>
      <x:c r="D255" s="17" t="str">
        <x:v>בן בבא 4</x:v>
      </x:c>
      <x:c r="E255" s="17" t="str">
        <x:v>גבוה מאוד</x:v>
      </x:c>
      <x:c r="F255" s="18" t="n">
        <x:v>581</x:v>
      </x:c>
      <x:c r="G255" s="18" t="n">
        <x:v>378</x:v>
      </x:c>
      <x:c r="H255" s="19" t="n">
        <x:f>IFERROR(G255/F255,0)</x:f>
        <x:v>0.6506024096385542</x:v>
      </x:c>
      <x:c r="I255" s="18" t="n">
        <x:v>0</x:v>
      </x:c>
      <x:c r="J255" s="18" t="n">
        <x:v>378</x:v>
      </x:c>
      <x:c r="K255" s="18" t="n">
        <x:f>SUM(AM255,BF255,W255,AD255)</x:f>
        <x:v>339</x:v>
      </x:c>
      <x:c r="L255" s="18" t="n">
        <x:f>Q255+R255</x:f>
        <x:v>36</x:v>
      </x:c>
      <x:c r="M255" s="19" t="n">
        <x:f>IFERROR(K255/J255,0)</x:f>
        <x:v>0.8968253968253969</x:v>
      </x:c>
      <x:c r="N255" s="19" t="n">
        <x:f>IFERROR(L255/J255,0)</x:f>
        <x:v>0.09523809523809523</x:v>
      </x:c>
      <x:c r="O255" s="17" t="str">
        <x:f>IF(K255&gt;MAX(L255,S255),"קואליציית ההקמה 2022",IF(L255&gt;MAX(K255,S255),"אופוזיציה רחבה 2022","רשימות אחרות"))</x:f>
        <x:v>קואליציית ההקמה 2022</x:v>
      </x:c>
      <x:c r="P255" s="17" t="str">
        <x:f>IF(AND(H255&lt;50%,N255&gt;50%),"כן","לא")</x:f>
        <x:v>לא</x:v>
      </x:c>
      <x:c r="Q255" s="18" t="n">
        <x:f>SUM(AV255,AJ255,AL255,T255,AN255)</x:f>
        <x:v>31</x:v>
      </x:c>
      <x:c r="R255" s="18" t="n">
        <x:f>SUM(Y255,AU255,X255)</x:f>
        <x:v>5</x:v>
      </x:c>
      <x:c r="S255" s="18" t="n">
        <x:f>J255-K255-L255</x:f>
        <x:v>3</x:v>
      </x:c>
      <x:c r="T255" s="18" t="n">
        <x:v>3</x:v>
      </x:c>
      <x:c r="U255" s="18" t="n">
        <x:v>0</x:v>
      </x:c>
      <x:c r="V255" s="18" t="n">
        <x:v>2</x:v>
      </x:c>
      <x:c r="W255" s="18" t="n">
        <x:v>297</x:v>
      </x:c>
      <x:c r="X255" s="18" t="n">
        <x:v>0</x:v>
      </x:c>
      <x:c r="Y255" s="18" t="n">
        <x:v>3</x:v>
      </x:c>
      <x:c r="Z255" s="18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8</x:v>
      </x:c>
      <x:c r="AE255" s="18" t="n">
        <x:v>0</x:v>
      </x:c>
      <x:c r="AF255" s="18" t="n">
        <x:v>0</x:v>
      </x:c>
      <x:c r="AG255" s="18" t="n">
        <x:v>0</x:v>
      </x:c>
      <x:c r="AH255" s="18" t="n">
        <x:v>0</x:v>
      </x:c>
      <x:c r="AI255" s="18" t="n">
        <x:v>1</x:v>
      </x:c>
      <x:c r="AJ255" s="18" t="n">
        <x:v>1</x:v>
      </x:c>
      <x:c r="AK255" s="18" t="n">
        <x:v>0</x:v>
      </x:c>
      <x:c r="AL255" s="18" t="n">
        <x:v>11</x:v>
      </x:c>
      <x:c r="AM255" s="18" t="n">
        <x:v>14</x:v>
      </x:c>
      <x:c r="AN255" s="18" t="n">
        <x:v>1</x:v>
      </x:c>
      <x:c r="AO255" s="18" t="n">
        <x:v>0</x:v>
      </x:c>
      <x:c r="AP255" s="18" t="n">
        <x:v>0</x:v>
      </x:c>
      <x:c r="AQ255" s="18" t="n">
        <x:v>0</x:v>
      </x:c>
      <x:c r="AR255" s="18" t="n">
        <x:v>0</x:v>
      </x:c>
      <x:c r="AS255" s="18" t="n">
        <x:v>0</x:v>
      </x:c>
      <x:c r="AT255" s="18" t="n">
        <x:v>0</x:v>
      </x:c>
      <x:c r="AU255" s="18" t="n">
        <x:v>2</x:v>
      </x:c>
      <x:c r="AV255" s="18" t="n">
        <x:v>15</x:v>
      </x:c>
      <x:c r="AW255" s="18" t="n">
        <x:v>0</x:v>
      </x:c>
      <x:c r="AX255" s="18" t="n">
        <x:v>0</x:v>
      </x:c>
      <x:c r="AY255" s="18" t="n">
        <x:v>0</x:v>
      </x:c>
      <x:c r="AZ255" s="18" t="n">
        <x:v>0</x:v>
      </x:c>
      <x:c r="BA255" s="18" t="n">
        <x:v>0</x:v>
      </x:c>
      <x:c r="BB255" s="18" t="n">
        <x:v>0</x:v>
      </x:c>
      <x:c r="BC255" s="18" t="n">
        <x:v>0</x:v>
      </x:c>
      <x:c r="BD255" s="18" t="n">
        <x:v>0</x:v>
      </x:c>
      <x:c r="BE255" s="18" t="n">
        <x:v>0</x:v>
      </x:c>
      <x:c r="BF255" s="18" t="n">
        <x:v>20</x:v>
      </x:c>
      <x:c r="BG255" s="18" t="n">
        <x:v>0</x:v>
      </x:c>
    </x:row>
    <x:row r="256">
      <x:c r="A256" s="29" t="str">
        <x:v>343.4</x:v>
      </x:c>
      <x:c r="B256" s="17" t="n">
        <x:v>2874</x:v>
      </x:c>
      <x:c r="C256" s="17" t="str">
        <x:v>תלמוד תורה תורת אמת</x:v>
      </x:c>
      <x:c r="D256" s="17" t="str">
        <x:v>בן בבא 4</x:v>
      </x:c>
      <x:c r="E256" s="17" t="str">
        <x:v>גבוה מאוד</x:v>
      </x:c>
      <x:c r="F256" s="18" t="n">
        <x:v>581</x:v>
      </x:c>
      <x:c r="G256" s="18" t="n">
        <x:v>354</x:v>
      </x:c>
      <x:c r="H256" s="19" t="n">
        <x:f>IFERROR(G256/F256,0)</x:f>
        <x:v>0.6092943201376936</x:v>
      </x:c>
      <x:c r="I256" s="18" t="n">
        <x:v>3</x:v>
      </x:c>
      <x:c r="J256" s="18" t="n">
        <x:v>351</x:v>
      </x:c>
      <x:c r="K256" s="18" t="n">
        <x:f>SUM(AM256,BF256,W256,AD256)</x:f>
        <x:v>292</x:v>
      </x:c>
      <x:c r="L256" s="18" t="n">
        <x:f>Q256+R256</x:f>
        <x:v>56</x:v>
      </x:c>
      <x:c r="M256" s="19" t="n">
        <x:f>IFERROR(K256/J256,0)</x:f>
        <x:v>0.8319088319088319</x:v>
      </x:c>
      <x:c r="N256" s="19" t="n">
        <x:f>IFERROR(L256/J256,0)</x:f>
        <x:v>0.15954415954415954</x:v>
      </x:c>
      <x:c r="O256" s="17" t="str">
        <x:f>IF(K256&gt;MAX(L256,S256),"קואליציית ההקמה 2022",IF(L256&gt;MAX(K256,S256),"אופוזיציה רחבה 2022","רשימות אחרות"))</x:f>
        <x:v>קואליציית ההקמה 2022</x:v>
      </x:c>
      <x:c r="P256" s="17" t="str">
        <x:f>IF(AND(H256&lt;50%,N256&gt;50%),"כן","לא")</x:f>
        <x:v>לא</x:v>
      </x:c>
      <x:c r="Q256" s="18" t="n">
        <x:f>SUM(AV256,AJ256,AL256,T256,AN256)</x:f>
        <x:v>50</x:v>
      </x:c>
      <x:c r="R256" s="18" t="n">
        <x:f>SUM(Y256,AU256,X256)</x:f>
        <x:v>6</x:v>
      </x:c>
      <x:c r="S256" s="18" t="n">
        <x:f>J256-K256-L256</x:f>
        <x:v>3</x:v>
      </x:c>
      <x:c r="T256" s="18" t="n">
        <x:v>0</x:v>
      </x:c>
      <x:c r="U256" s="18" t="n">
        <x:v>0</x:v>
      </x:c>
      <x:c r="V256" s="18" t="n">
        <x:v>1</x:v>
      </x:c>
      <x:c r="W256" s="18" t="n">
        <x:v>262</x:v>
      </x:c>
      <x:c r="X256" s="18" t="n">
        <x:v>2</x:v>
      </x:c>
      <x:c r="Y256" s="18" t="n">
        <x:v>3</x:v>
      </x:c>
      <x:c r="Z256" s="18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3</x:v>
      </x:c>
      <x:c r="AE256" s="18" t="n">
        <x:v>0</x:v>
      </x:c>
      <x:c r="AF256" s="18" t="n">
        <x:v>0</x:v>
      </x:c>
      <x:c r="AG256" s="18" t="n">
        <x:v>0</x:v>
      </x:c>
      <x:c r="AH256" s="18" t="n">
        <x:v>0</x:v>
      </x:c>
      <x:c r="AI256" s="18" t="n">
        <x:v>0</x:v>
      </x:c>
      <x:c r="AJ256" s="18" t="n">
        <x:v>3</x:v>
      </x:c>
      <x:c r="AK256" s="18" t="n">
        <x:v>2</x:v>
      </x:c>
      <x:c r="AL256" s="18" t="n">
        <x:v>29</x:v>
      </x:c>
      <x:c r="AM256" s="18" t="n">
        <x:v>5</x:v>
      </x:c>
      <x:c r="AN256" s="18" t="n">
        <x:v>3</x:v>
      </x:c>
      <x:c r="AO256" s="18" t="n">
        <x:v>0</x:v>
      </x:c>
      <x:c r="AP256" s="18" t="n">
        <x:v>0</x:v>
      </x:c>
      <x:c r="AQ256" s="18" t="n">
        <x:v>0</x:v>
      </x:c>
      <x:c r="AR256" s="18" t="n">
        <x:v>0</x:v>
      </x:c>
      <x:c r="AS256" s="18" t="n">
        <x:v>0</x:v>
      </x:c>
      <x:c r="AT256" s="18" t="n">
        <x:v>0</x:v>
      </x:c>
      <x:c r="AU256" s="18" t="n">
        <x:v>1</x:v>
      </x:c>
      <x:c r="AV256" s="18" t="n">
        <x:v>15</x:v>
      </x:c>
      <x:c r="AW256" s="18" t="n">
        <x:v>0</x:v>
      </x:c>
      <x:c r="AX256" s="18" t="n">
        <x:v>0</x:v>
      </x:c>
      <x:c r="AY256" s="18" t="n">
        <x:v>0</x:v>
      </x:c>
      <x:c r="AZ256" s="18" t="n">
        <x:v>0</x:v>
      </x:c>
      <x:c r="BA256" s="18" t="n">
        <x:v>0</x:v>
      </x:c>
      <x:c r="BB256" s="18" t="n">
        <x:v>0</x:v>
      </x:c>
      <x:c r="BC256" s="18" t="n">
        <x:v>0</x:v>
      </x:c>
      <x:c r="BD256" s="18" t="n">
        <x:v>0</x:v>
      </x:c>
      <x:c r="BE256" s="18" t="n">
        <x:v>0</x:v>
      </x:c>
      <x:c r="BF256" s="18" t="n">
        <x:v>22</x:v>
      </x:c>
      <x:c r="BG256" s="18" t="n">
        <x:v>0</x:v>
      </x:c>
    </x:row>
    <x:row r="257">
      <x:c r="A257" s="29" t="str">
        <x:v>343.5</x:v>
      </x:c>
      <x:c r="B257" s="17" t="n">
        <x:v>2875</x:v>
      </x:c>
      <x:c r="C257" s="17" t="str">
        <x:v>תלמוד תורה תורת אמת</x:v>
      </x:c>
      <x:c r="D257" s="17" t="str">
        <x:v>בן בבא 4</x:v>
      </x:c>
      <x:c r="E257" s="17" t="str">
        <x:v>גבוה מאוד</x:v>
      </x:c>
      <x:c r="F257" s="18" t="n">
        <x:v>577</x:v>
      </x:c>
      <x:c r="G257" s="18" t="n">
        <x:v>426</x:v>
      </x:c>
      <x:c r="H257" s="19" t="n">
        <x:f>IFERROR(G257/F257,0)</x:f>
        <x:v>0.7383015597920277</x:v>
      </x:c>
      <x:c r="I257" s="18" t="n">
        <x:v>4</x:v>
      </x:c>
      <x:c r="J257" s="18" t="n">
        <x:v>422</x:v>
      </x:c>
      <x:c r="K257" s="18" t="n">
        <x:f>SUM(AM257,BF257,W257,AD257)</x:f>
        <x:v>400</x:v>
      </x:c>
      <x:c r="L257" s="18" t="n">
        <x:f>Q257+R257</x:f>
        <x:v>20</x:v>
      </x:c>
      <x:c r="M257" s="19" t="n">
        <x:f>IFERROR(K257/J257,0)</x:f>
        <x:v>0.9478672985781991</x:v>
      </x:c>
      <x:c r="N257" s="19" t="n">
        <x:f>IFERROR(L257/J257,0)</x:f>
        <x:v>0.04739336492890995</x:v>
      </x:c>
      <x:c r="O257" s="17" t="str">
        <x:f>IF(K257&gt;MAX(L257,S257),"קואליציית ההקמה 2022",IF(L257&gt;MAX(K257,S257),"אופוזיציה רחבה 2022","רשימות אחרות"))</x:f>
        <x:v>קואליציית ההקמה 2022</x:v>
      </x:c>
      <x:c r="P257" s="17" t="str">
        <x:f>IF(AND(H257&lt;50%,N257&gt;50%),"כן","לא")</x:f>
        <x:v>לא</x:v>
      </x:c>
      <x:c r="Q257" s="18" t="n">
        <x:f>SUM(AV257,AJ257,AL257,T257,AN257)</x:f>
        <x:v>19</x:v>
      </x:c>
      <x:c r="R257" s="18" t="n">
        <x:f>SUM(Y257,AU257,X257)</x:f>
        <x:v>1</x:v>
      </x:c>
      <x:c r="S257" s="18" t="n">
        <x:f>J257-K257-L257</x:f>
        <x:v>2</x:v>
      </x:c>
      <x:c r="T257" s="18" t="n">
        <x:v>0</x:v>
      </x:c>
      <x:c r="U257" s="18" t="n">
        <x:v>0</x:v>
      </x:c>
      <x:c r="V257" s="18" t="n">
        <x:v>1</x:v>
      </x:c>
      <x:c r="W257" s="18" t="n">
        <x:v>354</x:v>
      </x:c>
      <x:c r="X257" s="18" t="n">
        <x:v>0</x:v>
      </x:c>
      <x:c r="Y257" s="18" t="n">
        <x:v>1</x:v>
      </x:c>
      <x:c r="Z257" s="18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7</x:v>
      </x:c>
      <x:c r="AE257" s="18" t="n">
        <x:v>0</x:v>
      </x:c>
      <x:c r="AF257" s="18" t="n">
        <x:v>0</x:v>
      </x:c>
      <x:c r="AG257" s="18" t="n">
        <x:v>0</x:v>
      </x:c>
      <x:c r="AH257" s="18" t="n">
        <x:v>0</x:v>
      </x:c>
      <x:c r="AI257" s="18" t="n">
        <x:v>0</x:v>
      </x:c>
      <x:c r="AJ257" s="18" t="n">
        <x:v>0</x:v>
      </x:c>
      <x:c r="AK257" s="18" t="n">
        <x:v>0</x:v>
      </x:c>
      <x:c r="AL257" s="18" t="n">
        <x:v>11</x:v>
      </x:c>
      <x:c r="AM257" s="18" t="n">
        <x:v>14</x:v>
      </x:c>
      <x:c r="AN257" s="18" t="n">
        <x:v>1</x:v>
      </x:c>
      <x:c r="AO257" s="18" t="n">
        <x:v>0</x:v>
      </x:c>
      <x:c r="AP257" s="18" t="n">
        <x:v>0</x:v>
      </x:c>
      <x:c r="AQ257" s="18" t="n">
        <x:v>0</x:v>
      </x:c>
      <x:c r="AR257" s="18" t="n">
        <x:v>0</x:v>
      </x:c>
      <x:c r="AS257" s="18" t="n">
        <x:v>0</x:v>
      </x:c>
      <x:c r="AT257" s="18" t="n">
        <x:v>0</x:v>
      </x:c>
      <x:c r="AU257" s="18" t="n">
        <x:v>0</x:v>
      </x:c>
      <x:c r="AV257" s="18" t="n">
        <x:v>7</x:v>
      </x:c>
      <x:c r="AW257" s="18" t="n">
        <x:v>0</x:v>
      </x:c>
      <x:c r="AX257" s="18" t="n">
        <x:v>0</x:v>
      </x:c>
      <x:c r="AY257" s="18" t="n">
        <x:v>0</x:v>
      </x:c>
      <x:c r="AZ257" s="18" t="n">
        <x:v>0</x:v>
      </x:c>
      <x:c r="BA257" s="18" t="n">
        <x:v>0</x:v>
      </x:c>
      <x:c r="BB257" s="18" t="n">
        <x:v>0</x:v>
      </x:c>
      <x:c r="BC257" s="18" t="n">
        <x:v>0</x:v>
      </x:c>
      <x:c r="BD257" s="18" t="n">
        <x:v>1</x:v>
      </x:c>
      <x:c r="BE257" s="18" t="n">
        <x:v>0</x:v>
      </x:c>
      <x:c r="BF257" s="18" t="n">
        <x:v>25</x:v>
      </x:c>
      <x:c r="BG257" s="18" t="n">
        <x:v>0</x:v>
      </x:c>
    </x:row>
    <x:row r="258">
      <x:c r="A258" s="29" t="str">
        <x:v>344.1</x:v>
      </x:c>
      <x:c r="B258" s="17" t="n">
        <x:v>2876</x:v>
      </x:c>
      <x:c r="C258" s="17" t="str">
        <x:v>בי"ס הריאלי</x:v>
      </x:c>
      <x:c r="D258" s="17" t="str">
        <x:v>שמריהו לוין 15</x:v>
      </x:c>
      <x:c r="E258" s="17" t="str">
        <x:v>גבוה מאוד</x:v>
      </x:c>
      <x:c r="F258" s="18" t="n">
        <x:v>607</x:v>
      </x:c>
      <x:c r="G258" s="18" t="n">
        <x:v>224</x:v>
      </x:c>
      <x:c r="H258" s="19" t="n">
        <x:f>IFERROR(G258/F258,0)</x:f>
        <x:v>0.36902800658978585</x:v>
      </x:c>
      <x:c r="I258" s="18" t="n">
        <x:v>1</x:v>
      </x:c>
      <x:c r="J258" s="18" t="n">
        <x:v>223</x:v>
      </x:c>
      <x:c r="K258" s="18" t="n">
        <x:f>SUM(AM258,BF258,W258,AD258)</x:f>
        <x:v>75</x:v>
      </x:c>
      <x:c r="L258" s="18" t="n">
        <x:f>Q258+R258</x:f>
        <x:v>140</x:v>
      </x:c>
      <x:c r="M258" s="19" t="n">
        <x:f>IFERROR(K258/J258,0)</x:f>
        <x:v>0.336322869955157</x:v>
      </x:c>
      <x:c r="N258" s="19" t="n">
        <x:f>IFERROR(L258/J258,0)</x:f>
        <x:v>0.6278026905829597</x:v>
      </x:c>
      <x:c r="O258" s="17" t="str">
        <x:f>IF(K258&gt;MAX(L258,S258),"קואליציית ההקמה 2022",IF(L258&gt;MAX(K258,S258),"אופוזיציה רחבה 2022","רשימות אחרות"))</x:f>
        <x:v>אופוזיציה רחבה 2022</x:v>
      </x:c>
      <x:c r="P258" s="17" t="str">
        <x:f>IF(AND(H258&lt;50%,N258&gt;50%),"כן","לא")</x:f>
        <x:v>כן</x:v>
      </x:c>
      <x:c r="Q258" s="18" t="n">
        <x:f>SUM(AV258,AJ258,AL258,T258,AN258)</x:f>
        <x:v>117</x:v>
      </x:c>
      <x:c r="R258" s="18" t="n">
        <x:f>SUM(Y258,AU258,X258)</x:f>
        <x:v>23</x:v>
      </x:c>
      <x:c r="S258" s="18" t="n">
        <x:f>J258-K258-L258</x:f>
        <x:v>8</x:v>
      </x:c>
      <x:c r="T258" s="18" t="n">
        <x:v>19</x:v>
      </x:c>
      <x:c r="U258" s="18" t="n">
        <x:v>0</x:v>
      </x:c>
      <x:c r="V258" s="18" t="n">
        <x:v>3</x:v>
      </x:c>
      <x:c r="W258" s="18" t="n">
        <x:v>11</x:v>
      </x:c>
      <x:c r="X258" s="18" t="n">
        <x:v>9</x:v>
      </x:c>
      <x:c r="Y258" s="18" t="n">
        <x:v>14</x:v>
      </x:c>
      <x:c r="Z258" s="18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13</x:v>
      </x:c>
      <x:c r="AE258" s="18" t="n">
        <x:v>0</x:v>
      </x:c>
      <x:c r="AF258" s="18" t="n">
        <x:v>1</x:v>
      </x:c>
      <x:c r="AG258" s="18" t="n">
        <x:v>0</x:v>
      </x:c>
      <x:c r="AH258" s="18" t="n">
        <x:v>0</x:v>
      </x:c>
      <x:c r="AI258" s="18" t="n">
        <x:v>0</x:v>
      </x:c>
      <x:c r="AJ258" s="18" t="n">
        <x:v>4</x:v>
      </x:c>
      <x:c r="AK258" s="18" t="n">
        <x:v>1</x:v>
      </x:c>
      <x:c r="AL258" s="18" t="n">
        <x:v>34</x:v>
      </x:c>
      <x:c r="AM258" s="18" t="n">
        <x:v>39</x:v>
      </x:c>
      <x:c r="AN258" s="18" t="n">
        <x:v>11</x:v>
      </x:c>
      <x:c r="AO258" s="18" t="n">
        <x:v>0</x:v>
      </x:c>
      <x:c r="AP258" s="18" t="n">
        <x:v>0</x:v>
      </x:c>
      <x:c r="AQ258" s="18" t="n">
        <x:v>0</x:v>
      </x:c>
      <x:c r="AR258" s="18" t="n">
        <x:v>0</x:v>
      </x:c>
      <x:c r="AS258" s="18" t="n">
        <x:v>1</x:v>
      </x:c>
      <x:c r="AT258" s="18" t="n">
        <x:v>0</x:v>
      </x:c>
      <x:c r="AU258" s="18" t="n">
        <x:v>0</x:v>
      </x:c>
      <x:c r="AV258" s="18" t="n">
        <x:v>49</x:v>
      </x:c>
      <x:c r="AW258" s="18" t="n">
        <x:v>0</x:v>
      </x:c>
      <x:c r="AX258" s="18" t="n">
        <x:v>0</x:v>
      </x:c>
      <x:c r="AY258" s="18" t="n">
        <x:v>0</x:v>
      </x:c>
      <x:c r="AZ258" s="18" t="n">
        <x:v>0</x:v>
      </x:c>
      <x:c r="BA258" s="18" t="n">
        <x:v>1</x:v>
      </x:c>
      <x:c r="BB258" s="18" t="n">
        <x:v>0</x:v>
      </x:c>
      <x:c r="BC258" s="18" t="n">
        <x:v>0</x:v>
      </x:c>
      <x:c r="BD258" s="18" t="n">
        <x:v>0</x:v>
      </x:c>
      <x:c r="BE258" s="18" t="n">
        <x:v>0</x:v>
      </x:c>
      <x:c r="BF258" s="18" t="n">
        <x:v>12</x:v>
      </x:c>
      <x:c r="BG258" s="18" t="n">
        <x:v>1</x:v>
      </x:c>
    </x:row>
    <x:row r="259">
      <x:c r="A259" s="29" t="str">
        <x:v>344.2</x:v>
      </x:c>
      <x:c r="B259" s="17" t="n">
        <x:v>2877</x:v>
      </x:c>
      <x:c r="C259" s="17" t="str">
        <x:v>בי"ס הריאלי</x:v>
      </x:c>
      <x:c r="D259" s="17" t="str">
        <x:v>שמריהו לוין 15</x:v>
      </x:c>
      <x:c r="E259" s="17" t="str">
        <x:v>גבוה מאוד</x:v>
      </x:c>
      <x:c r="F259" s="18" t="n">
        <x:v>607</x:v>
      </x:c>
      <x:c r="G259" s="18" t="n">
        <x:v>227</x:v>
      </x:c>
      <x:c r="H259" s="19" t="n">
        <x:f>IFERROR(G259/F259,0)</x:f>
        <x:v>0.37397034596375617</x:v>
      </x:c>
      <x:c r="I259" s="18" t="n">
        <x:v>3</x:v>
      </x:c>
      <x:c r="J259" s="18" t="n">
        <x:v>224</x:v>
      </x:c>
      <x:c r="K259" s="18" t="n">
        <x:f>SUM(AM259,BF259,W259,AD259)</x:f>
        <x:v>69</x:v>
      </x:c>
      <x:c r="L259" s="18" t="n">
        <x:f>Q259+R259</x:f>
        <x:v>150</x:v>
      </x:c>
      <x:c r="M259" s="19" t="n">
        <x:f>IFERROR(K259/J259,0)</x:f>
        <x:v>0.3080357142857143</x:v>
      </x:c>
      <x:c r="N259" s="19" t="n">
        <x:f>IFERROR(L259/J259,0)</x:f>
        <x:v>0.6696428571428571</x:v>
      </x:c>
      <x:c r="O259" s="17" t="str">
        <x:f>IF(K259&gt;MAX(L259,S259),"קואליציית ההקמה 2022",IF(L259&gt;MAX(K259,S259),"אופוזיציה רחבה 2022","רשימות אחרות"))</x:f>
        <x:v>אופוזיציה רחבה 2022</x:v>
      </x:c>
      <x:c r="P259" s="17" t="str">
        <x:f>IF(AND(H259&lt;50%,N259&gt;50%),"כן","לא")</x:f>
        <x:v>כן</x:v>
      </x:c>
      <x:c r="Q259" s="18" t="n">
        <x:f>SUM(AV259,AJ259,AL259,T259,AN259)</x:f>
        <x:v>127</x:v>
      </x:c>
      <x:c r="R259" s="18" t="n">
        <x:f>SUM(Y259,AU259,X259)</x:f>
        <x:v>23</x:v>
      </x:c>
      <x:c r="S259" s="18" t="n">
        <x:f>J259-K259-L259</x:f>
        <x:v>5</x:v>
      </x:c>
      <x:c r="T259" s="18" t="n">
        <x:v>19</x:v>
      </x:c>
      <x:c r="U259" s="18" t="n">
        <x:v>0</x:v>
      </x:c>
      <x:c r="V259" s="18" t="n">
        <x:v>1</x:v>
      </x:c>
      <x:c r="W259" s="18" t="n">
        <x:v>19</x:v>
      </x:c>
      <x:c r="X259" s="18" t="n">
        <x:v>5</x:v>
      </x:c>
      <x:c r="Y259" s="18" t="n">
        <x:v>15</x:v>
      </x:c>
      <x:c r="Z259" s="18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18</x:v>
      </x:c>
      <x:c r="AE259" s="18" t="n">
        <x:v>0</x:v>
      </x:c>
      <x:c r="AF259" s="18" t="n">
        <x:v>0</x:v>
      </x:c>
      <x:c r="AG259" s="18" t="n">
        <x:v>0</x:v>
      </x:c>
      <x:c r="AH259" s="18" t="n">
        <x:v>0</x:v>
      </x:c>
      <x:c r="AI259" s="18" t="n">
        <x:v>0</x:v>
      </x:c>
      <x:c r="AJ259" s="18" t="n">
        <x:v>4</x:v>
      </x:c>
      <x:c r="AK259" s="18" t="n">
        <x:v>1</x:v>
      </x:c>
      <x:c r="AL259" s="18" t="n">
        <x:v>47</x:v>
      </x:c>
      <x:c r="AM259" s="18" t="n">
        <x:v>31</x:v>
      </x:c>
      <x:c r="AN259" s="18" t="n">
        <x:v>18</x:v>
      </x:c>
      <x:c r="AO259" s="18" t="n">
        <x:v>0</x:v>
      </x:c>
      <x:c r="AP259" s="18" t="n">
        <x:v>0</x:v>
      </x:c>
      <x:c r="AQ259" s="18" t="n">
        <x:v>0</x:v>
      </x:c>
      <x:c r="AR259" s="18" t="n">
        <x:v>0</x:v>
      </x:c>
      <x:c r="AS259" s="18" t="n">
        <x:v>0</x:v>
      </x:c>
      <x:c r="AT259" s="18" t="n">
        <x:v>0</x:v>
      </x:c>
      <x:c r="AU259" s="18" t="n">
        <x:v>3</x:v>
      </x:c>
      <x:c r="AV259" s="18" t="n">
        <x:v>39</x:v>
      </x:c>
      <x:c r="AW259" s="18" t="n">
        <x:v>0</x:v>
      </x:c>
      <x:c r="AX259" s="18" t="n">
        <x:v>0</x:v>
      </x:c>
      <x:c r="AY259" s="18" t="n">
        <x:v>0</x:v>
      </x:c>
      <x:c r="AZ259" s="18" t="n">
        <x:v>0</x:v>
      </x:c>
      <x:c r="BA259" s="18" t="n">
        <x:v>0</x:v>
      </x:c>
      <x:c r="BB259" s="18" t="n">
        <x:v>0</x:v>
      </x:c>
      <x:c r="BC259" s="18" t="n">
        <x:v>0</x:v>
      </x:c>
      <x:c r="BD259" s="18" t="n">
        <x:v>1</x:v>
      </x:c>
      <x:c r="BE259" s="18" t="n">
        <x:v>2</x:v>
      </x:c>
      <x:c r="BF259" s="18" t="n">
        <x:v>1</x:v>
      </x:c>
      <x:c r="BG259" s="18" t="n">
        <x:v>0</x:v>
      </x:c>
    </x:row>
    <x:row r="260">
      <x:c r="A260" s="29" t="str">
        <x:v>344.3</x:v>
      </x:c>
      <x:c r="B260" s="17" t="n">
        <x:v>2878</x:v>
      </x:c>
      <x:c r="C260" s="17" t="str">
        <x:v>בי"ס הריאלי</x:v>
      </x:c>
      <x:c r="D260" s="17" t="str">
        <x:v>שמריהו לוין 15</x:v>
      </x:c>
      <x:c r="E260" s="17" t="str">
        <x:v>גבוה מאוד</x:v>
      </x:c>
      <x:c r="F260" s="18" t="n">
        <x:v>607</x:v>
      </x:c>
      <x:c r="G260" s="18" t="n">
        <x:v>239</x:v>
      </x:c>
      <x:c r="H260" s="19" t="n">
        <x:f>IFERROR(G260/F260,0)</x:f>
        <x:v>0.39373970345963755</x:v>
      </x:c>
      <x:c r="I260" s="18" t="n">
        <x:v>3</x:v>
      </x:c>
      <x:c r="J260" s="18" t="n">
        <x:v>236</x:v>
      </x:c>
      <x:c r="K260" s="18" t="n">
        <x:f>SUM(AM260,BF260,W260,AD260)</x:f>
        <x:v>73</x:v>
      </x:c>
      <x:c r="L260" s="18" t="n">
        <x:f>Q260+R260</x:f>
        <x:v>158</x:v>
      </x:c>
      <x:c r="M260" s="19" t="n">
        <x:f>IFERROR(K260/J260,0)</x:f>
        <x:v>0.3093220338983051</x:v>
      </x:c>
      <x:c r="N260" s="19" t="n">
        <x:f>IFERROR(L260/J260,0)</x:f>
        <x:v>0.6694915254237288</x:v>
      </x:c>
      <x:c r="O260" s="17" t="str">
        <x:f>IF(K260&gt;MAX(L260,S260),"קואליציית ההקמה 2022",IF(L260&gt;MAX(K260,S260),"אופוזיציה רחבה 2022","רשימות אחרות"))</x:f>
        <x:v>אופוזיציה רחבה 2022</x:v>
      </x:c>
      <x:c r="P260" s="17" t="str">
        <x:f>IF(AND(H260&lt;50%,N260&gt;50%),"כן","לא")</x:f>
        <x:v>כן</x:v>
      </x:c>
      <x:c r="Q260" s="18" t="n">
        <x:f>SUM(AV260,AJ260,AL260,T260,AN260)</x:f>
        <x:v>126</x:v>
      </x:c>
      <x:c r="R260" s="18" t="n">
        <x:f>SUM(Y260,AU260,X260)</x:f>
        <x:v>32</x:v>
      </x:c>
      <x:c r="S260" s="18" t="n">
        <x:f>J260-K260-L260</x:f>
        <x:v>5</x:v>
      </x:c>
      <x:c r="T260" s="18" t="n">
        <x:v>29</x:v>
      </x:c>
      <x:c r="U260" s="18" t="n">
        <x:v>0</x:v>
      </x:c>
      <x:c r="V260" s="18" t="n">
        <x:v>1</x:v>
      </x:c>
      <x:c r="W260" s="18" t="n">
        <x:v>11</x:v>
      </x:c>
      <x:c r="X260" s="18" t="n">
        <x:v>16</x:v>
      </x:c>
      <x:c r="Y260" s="18" t="n">
        <x:v>15</x:v>
      </x:c>
      <x:c r="Z260" s="18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17</x:v>
      </x:c>
      <x:c r="AE260" s="18" t="n">
        <x:v>0</x:v>
      </x:c>
      <x:c r="AF260" s="18" t="n">
        <x:v>2</x:v>
      </x:c>
      <x:c r="AG260" s="18" t="n">
        <x:v>0</x:v>
      </x:c>
      <x:c r="AH260" s="18" t="n">
        <x:v>0</x:v>
      </x:c>
      <x:c r="AI260" s="18" t="n">
        <x:v>0</x:v>
      </x:c>
      <x:c r="AJ260" s="18" t="n">
        <x:v>17</x:v>
      </x:c>
      <x:c r="AK260" s="18" t="n">
        <x:v>0</x:v>
      </x:c>
      <x:c r="AL260" s="18" t="n">
        <x:v>29</x:v>
      </x:c>
      <x:c r="AM260" s="18" t="n">
        <x:v>41</x:v>
      </x:c>
      <x:c r="AN260" s="18" t="n">
        <x:v>8</x:v>
      </x:c>
      <x:c r="AO260" s="18" t="n">
        <x:v>0</x:v>
      </x:c>
      <x:c r="AP260" s="18" t="n">
        <x:v>0</x:v>
      </x:c>
      <x:c r="AQ260" s="18" t="n">
        <x:v>0</x:v>
      </x:c>
      <x:c r="AR260" s="18" t="n">
        <x:v>0</x:v>
      </x:c>
      <x:c r="AS260" s="18" t="n">
        <x:v>0</x:v>
      </x:c>
      <x:c r="AT260" s="18" t="n">
        <x:v>0</x:v>
      </x:c>
      <x:c r="AU260" s="18" t="n">
        <x:v>1</x:v>
      </x:c>
      <x:c r="AV260" s="18" t="n">
        <x:v>43</x:v>
      </x:c>
      <x:c r="AW260" s="18" t="n">
        <x:v>0</x:v>
      </x:c>
      <x:c r="AX260" s="18" t="n">
        <x:v>0</x:v>
      </x:c>
      <x:c r="AY260" s="18" t="n">
        <x:v>0</x:v>
      </x:c>
      <x:c r="AZ260" s="18" t="n">
        <x:v>0</x:v>
      </x:c>
      <x:c r="BA260" s="18" t="n">
        <x:v>0</x:v>
      </x:c>
      <x:c r="BB260" s="18" t="n">
        <x:v>0</x:v>
      </x:c>
      <x:c r="BC260" s="18" t="n">
        <x:v>0</x:v>
      </x:c>
      <x:c r="BD260" s="18" t="n">
        <x:v>2</x:v>
      </x:c>
      <x:c r="BE260" s="18" t="n">
        <x:v>0</x:v>
      </x:c>
      <x:c r="BF260" s="18" t="n">
        <x:v>4</x:v>
      </x:c>
      <x:c r="BG260" s="18" t="n">
        <x:v>0</x:v>
      </x:c>
    </x:row>
    <x:row r="261">
      <x:c r="A261" s="29" t="str">
        <x:v>344.4</x:v>
      </x:c>
      <x:c r="B261" s="17" t="n">
        <x:v>2879</x:v>
      </x:c>
      <x:c r="C261" s="17" t="str">
        <x:v>בי"ס הריאלי</x:v>
      </x:c>
      <x:c r="D261" s="17" t="str">
        <x:v>שמריהו לוין 15</x:v>
      </x:c>
      <x:c r="E261" s="17" t="str">
        <x:v>גבוה מאוד</x:v>
      </x:c>
      <x:c r="F261" s="18" t="n">
        <x:v>607</x:v>
      </x:c>
      <x:c r="G261" s="18" t="n">
        <x:v>222</x:v>
      </x:c>
      <x:c r="H261" s="19" t="n">
        <x:f>IFERROR(G261/F261,0)</x:f>
        <x:v>0.3657331136738056</x:v>
      </x:c>
      <x:c r="I261" s="18" t="n">
        <x:v>2</x:v>
      </x:c>
      <x:c r="J261" s="18" t="n">
        <x:v>220</x:v>
      </x:c>
      <x:c r="K261" s="18" t="n">
        <x:f>SUM(AM261,BF261,W261,AD261)</x:f>
        <x:v>66</x:v>
      </x:c>
      <x:c r="L261" s="18" t="n">
        <x:f>Q261+R261</x:f>
        <x:v>147</x:v>
      </x:c>
      <x:c r="M261" s="19" t="n">
        <x:f>IFERROR(K261/J261,0)</x:f>
        <x:v>0.3</x:v>
      </x:c>
      <x:c r="N261" s="19" t="n">
        <x:f>IFERROR(L261/J261,0)</x:f>
        <x:v>0.6681818181818182</x:v>
      </x:c>
      <x:c r="O261" s="17" t="str">
        <x:f>IF(K261&gt;MAX(L261,S261),"קואליציית ההקמה 2022",IF(L261&gt;MAX(K261,S261),"אופוזיציה רחבה 2022","רשימות אחרות"))</x:f>
        <x:v>אופוזיציה רחבה 2022</x:v>
      </x:c>
      <x:c r="P261" s="17" t="str">
        <x:f>IF(AND(H261&lt;50%,N261&gt;50%),"כן","לא")</x:f>
        <x:v>כן</x:v>
      </x:c>
      <x:c r="Q261" s="18" t="n">
        <x:f>SUM(AV261,AJ261,AL261,T261,AN261)</x:f>
        <x:v>120</x:v>
      </x:c>
      <x:c r="R261" s="18" t="n">
        <x:f>SUM(Y261,AU261,X261)</x:f>
        <x:v>27</x:v>
      </x:c>
      <x:c r="S261" s="18" t="n">
        <x:f>J261-K261-L261</x:f>
        <x:v>7</x:v>
      </x:c>
      <x:c r="T261" s="18" t="n">
        <x:v>13</x:v>
      </x:c>
      <x:c r="U261" s="18" t="n">
        <x:v>1</x:v>
      </x:c>
      <x:c r="V261" s="18" t="n">
        <x:v>0</x:v>
      </x:c>
      <x:c r="W261" s="18" t="n">
        <x:v>3</x:v>
      </x:c>
      <x:c r="X261" s="18" t="n">
        <x:v>6</x:v>
      </x:c>
      <x:c r="Y261" s="18" t="n">
        <x:v>20</x:v>
      </x:c>
      <x:c r="Z261" s="18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19</x:v>
      </x:c>
      <x:c r="AE261" s="18" t="n">
        <x:v>0</x:v>
      </x:c>
      <x:c r="AF261" s="18" t="n">
        <x:v>2</x:v>
      </x:c>
      <x:c r="AG261" s="18" t="n">
        <x:v>0</x:v>
      </x:c>
      <x:c r="AH261" s="18" t="n">
        <x:v>0</x:v>
      </x:c>
      <x:c r="AI261" s="18" t="n">
        <x:v>0</x:v>
      </x:c>
      <x:c r="AJ261" s="18" t="n">
        <x:v>5</x:v>
      </x:c>
      <x:c r="AK261" s="18" t="n">
        <x:v>1</x:v>
      </x:c>
      <x:c r="AL261" s="18" t="n">
        <x:v>50</x:v>
      </x:c>
      <x:c r="AM261" s="18" t="n">
        <x:v>44</x:v>
      </x:c>
      <x:c r="AN261" s="18" t="n">
        <x:v>11</x:v>
      </x:c>
      <x:c r="AO261" s="18" t="n">
        <x:v>0</x:v>
      </x:c>
      <x:c r="AP261" s="18" t="n">
        <x:v>0</x:v>
      </x:c>
      <x:c r="AQ261" s="18" t="n">
        <x:v>0</x:v>
      </x:c>
      <x:c r="AR261" s="18" t="n">
        <x:v>0</x:v>
      </x:c>
      <x:c r="AS261" s="18" t="n">
        <x:v>0</x:v>
      </x:c>
      <x:c r="AT261" s="18" t="n">
        <x:v>1</x:v>
      </x:c>
      <x:c r="AU261" s="18" t="n">
        <x:v>1</x:v>
      </x:c>
      <x:c r="AV261" s="18" t="n">
        <x:v>41</x:v>
      </x:c>
      <x:c r="AW261" s="18" t="n">
        <x:v>0</x:v>
      </x:c>
      <x:c r="AX261" s="18" t="n">
        <x:v>1</x:v>
      </x:c>
      <x:c r="AY261" s="18" t="n">
        <x:v>0</x:v>
      </x:c>
      <x:c r="AZ261" s="18" t="n">
        <x:v>0</x:v>
      </x:c>
      <x:c r="BA261" s="18" t="n">
        <x:v>0</x:v>
      </x:c>
      <x:c r="BB261" s="18" t="n">
        <x:v>0</x:v>
      </x:c>
      <x:c r="BC261" s="18" t="n">
        <x:v>0</x:v>
      </x:c>
      <x:c r="BD261" s="18" t="n">
        <x:v>1</x:v>
      </x:c>
      <x:c r="BE261" s="18" t="n">
        <x:v>0</x:v>
      </x:c>
      <x:c r="BF261" s="18" t="n">
        <x:v>0</x:v>
      </x:c>
      <x:c r="BG261" s="18" t="n">
        <x:v>0</x:v>
      </x:c>
    </x:row>
    <x:row r="262">
      <x:c r="A262" s="29" t="str">
        <x:v>344.5</x:v>
      </x:c>
      <x:c r="B262" s="17" t="n">
        <x:v>2880</x:v>
      </x:c>
      <x:c r="C262" s="17" t="str">
        <x:v>בי"ס הריאלי</x:v>
      </x:c>
      <x:c r="D262" s="17" t="str">
        <x:v>שמריהו לוין 15</x:v>
      </x:c>
      <x:c r="E262" s="17" t="str">
        <x:v>גבוה מאוד</x:v>
      </x:c>
      <x:c r="F262" s="18" t="n">
        <x:v>607</x:v>
      </x:c>
      <x:c r="G262" s="18" t="n">
        <x:v>201</x:v>
      </x:c>
      <x:c r="H262" s="19" t="n">
        <x:f>IFERROR(G262/F262,0)</x:f>
        <x:v>0.3311367380560132</x:v>
      </x:c>
      <x:c r="I262" s="18" t="n">
        <x:v>5</x:v>
      </x:c>
      <x:c r="J262" s="18" t="n">
        <x:v>196</x:v>
      </x:c>
      <x:c r="K262" s="18" t="n">
        <x:f>SUM(AM262,BF262,W262,AD262)</x:f>
        <x:v>58</x:v>
      </x:c>
      <x:c r="L262" s="18" t="n">
        <x:f>Q262+R262</x:f>
        <x:v>134</x:v>
      </x:c>
      <x:c r="M262" s="19" t="n">
        <x:f>IFERROR(K262/J262,0)</x:f>
        <x:v>0.29591836734693877</x:v>
      </x:c>
      <x:c r="N262" s="19" t="n">
        <x:f>IFERROR(L262/J262,0)</x:f>
        <x:v>0.6836734693877551</x:v>
      </x:c>
      <x:c r="O262" s="17" t="str">
        <x:f>IF(K262&gt;MAX(L262,S262),"קואליציית ההקמה 2022",IF(L262&gt;MAX(K262,S262),"אופוזיציה רחבה 2022","רשימות אחרות"))</x:f>
        <x:v>אופוזיציה רחבה 2022</x:v>
      </x:c>
      <x:c r="P262" s="17" t="str">
        <x:f>IF(AND(H262&lt;50%,N262&gt;50%),"כן","לא")</x:f>
        <x:v>כן</x:v>
      </x:c>
      <x:c r="Q262" s="18" t="n">
        <x:f>SUM(AV262,AJ262,AL262,T262,AN262)</x:f>
        <x:v>116</x:v>
      </x:c>
      <x:c r="R262" s="18" t="n">
        <x:f>SUM(Y262,AU262,X262)</x:f>
        <x:v>18</x:v>
      </x:c>
      <x:c r="S262" s="18" t="n">
        <x:f>J262-K262-L262</x:f>
        <x:v>4</x:v>
      </x:c>
      <x:c r="T262" s="18" t="n">
        <x:v>8</x:v>
      </x:c>
      <x:c r="U262" s="18" t="n">
        <x:v>1</x:v>
      </x:c>
      <x:c r="V262" s="18" t="n">
        <x:v>0</x:v>
      </x:c>
      <x:c r="W262" s="18" t="n">
        <x:v>3</x:v>
      </x:c>
      <x:c r="X262" s="18" t="n">
        <x:v>10</x:v>
      </x:c>
      <x:c r="Y262" s="18" t="n">
        <x:v>4</x:v>
      </x:c>
      <x:c r="Z262" s="18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10</x:v>
      </x:c>
      <x:c r="AE262" s="18" t="n">
        <x:v>0</x:v>
      </x:c>
      <x:c r="AF262" s="18" t="n">
        <x:v>0</x:v>
      </x:c>
      <x:c r="AG262" s="18" t="n">
        <x:v>0</x:v>
      </x:c>
      <x:c r="AH262" s="18" t="n">
        <x:v>0</x:v>
      </x:c>
      <x:c r="AI262" s="18" t="n">
        <x:v>0</x:v>
      </x:c>
      <x:c r="AJ262" s="18" t="n">
        <x:v>3</x:v>
      </x:c>
      <x:c r="AK262" s="18" t="n">
        <x:v>1</x:v>
      </x:c>
      <x:c r="AL262" s="18" t="n">
        <x:v>45</x:v>
      </x:c>
      <x:c r="AM262" s="18" t="n">
        <x:v>39</x:v>
      </x:c>
      <x:c r="AN262" s="18" t="n">
        <x:v>16</x:v>
      </x:c>
      <x:c r="AO262" s="18" t="n">
        <x:v>0</x:v>
      </x:c>
      <x:c r="AP262" s="18" t="n">
        <x:v>1</x:v>
      </x:c>
      <x:c r="AQ262" s="18" t="n">
        <x:v>0</x:v>
      </x:c>
      <x:c r="AR262" s="18" t="n">
        <x:v>0</x:v>
      </x:c>
      <x:c r="AS262" s="18" t="n">
        <x:v>1</x:v>
      </x:c>
      <x:c r="AT262" s="18" t="n">
        <x:v>0</x:v>
      </x:c>
      <x:c r="AU262" s="18" t="n">
        <x:v>4</x:v>
      </x:c>
      <x:c r="AV262" s="18" t="n">
        <x:v>44</x:v>
      </x:c>
      <x:c r="AW262" s="18" t="n">
        <x:v>0</x:v>
      </x:c>
      <x:c r="AX262" s="18" t="n">
        <x:v>0</x:v>
      </x:c>
      <x:c r="AY262" s="18" t="n">
        <x:v>0</x:v>
      </x:c>
      <x:c r="AZ262" s="18" t="n">
        <x:v>0</x:v>
      </x:c>
      <x:c r="BA262" s="18" t="n">
        <x:v>0</x:v>
      </x:c>
      <x:c r="BB262" s="18" t="n">
        <x:v>0</x:v>
      </x:c>
      <x:c r="BC262" s="18" t="n">
        <x:v>0</x:v>
      </x:c>
      <x:c r="BD262" s="18" t="n">
        <x:v>0</x:v>
      </x:c>
      <x:c r="BE262" s="18" t="n">
        <x:v>0</x:v>
      </x:c>
      <x:c r="BF262" s="18" t="n">
        <x:v>6</x:v>
      </x:c>
      <x:c r="BG262" s="18" t="n">
        <x:v>0</x:v>
      </x:c>
    </x:row>
    <x:row r="263">
      <x:c r="A263" s="29" t="str">
        <x:v>344.6</x:v>
      </x:c>
      <x:c r="B263" s="17" t="n">
        <x:v>2881</x:v>
      </x:c>
      <x:c r="C263" s="17" t="str">
        <x:v>בי"ס הריאלי</x:v>
      </x:c>
      <x:c r="D263" s="17" t="str">
        <x:v>שמריהו לוין 15</x:v>
      </x:c>
      <x:c r="E263" s="17" t="str">
        <x:v>גבוה מאוד</x:v>
      </x:c>
      <x:c r="F263" s="18" t="n">
        <x:v>604</x:v>
      </x:c>
      <x:c r="G263" s="18" t="n">
        <x:v>216</x:v>
      </x:c>
      <x:c r="H263" s="19" t="n">
        <x:f>IFERROR(G263/F263,0)</x:f>
        <x:v>0.3576158940397351</x:v>
      </x:c>
      <x:c r="I263" s="18" t="n">
        <x:v>3</x:v>
      </x:c>
      <x:c r="J263" s="18" t="n">
        <x:v>213</x:v>
      </x:c>
      <x:c r="K263" s="18" t="n">
        <x:f>SUM(AM263,BF263,W263,AD263)</x:f>
        <x:v>60</x:v>
      </x:c>
      <x:c r="L263" s="18" t="n">
        <x:f>Q263+R263</x:f>
        <x:v>141</x:v>
      </x:c>
      <x:c r="M263" s="19" t="n">
        <x:f>IFERROR(K263/J263,0)</x:f>
        <x:v>0.28169014084507044</x:v>
      </x:c>
      <x:c r="N263" s="19" t="n">
        <x:f>IFERROR(L263/J263,0)</x:f>
        <x:v>0.6619718309859155</x:v>
      </x:c>
      <x:c r="O263" s="17" t="str">
        <x:f>IF(K263&gt;MAX(L263,S263),"קואליציית ההקמה 2022",IF(L263&gt;MAX(K263,S263),"אופוזיציה רחבה 2022","רשימות אחרות"))</x:f>
        <x:v>אופוזיציה רחבה 2022</x:v>
      </x:c>
      <x:c r="P263" s="17" t="str">
        <x:f>IF(AND(H263&lt;50%,N263&gt;50%),"כן","לא")</x:f>
        <x:v>כן</x:v>
      </x:c>
      <x:c r="Q263" s="18" t="n">
        <x:f>SUM(AV263,AJ263,AL263,T263,AN263)</x:f>
        <x:v>125</x:v>
      </x:c>
      <x:c r="R263" s="18" t="n">
        <x:f>SUM(Y263,AU263,X263)</x:f>
        <x:v>16</x:v>
      </x:c>
      <x:c r="S263" s="18" t="n">
        <x:f>J263-K263-L263</x:f>
        <x:v>12</x:v>
      </x:c>
      <x:c r="T263" s="18" t="n">
        <x:v>26</x:v>
      </x:c>
      <x:c r="U263" s="18" t="n">
        <x:v>2</x:v>
      </x:c>
      <x:c r="V263" s="18" t="n">
        <x:v>1</x:v>
      </x:c>
      <x:c r="W263" s="18" t="n">
        <x:v>14</x:v>
      </x:c>
      <x:c r="X263" s="18" t="n">
        <x:v>4</x:v>
      </x:c>
      <x:c r="Y263" s="18" t="n">
        <x:v>6</x:v>
      </x:c>
      <x:c r="Z263" s="18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12</x:v>
      </x:c>
      <x:c r="AE263" s="18" t="n">
        <x:v>0</x:v>
      </x:c>
      <x:c r="AF263" s="18" t="n">
        <x:v>0</x:v>
      </x:c>
      <x:c r="AG263" s="18" t="n">
        <x:v>0</x:v>
      </x:c>
      <x:c r="AH263" s="18" t="n">
        <x:v>0</x:v>
      </x:c>
      <x:c r="AI263" s="18" t="n">
        <x:v>0</x:v>
      </x:c>
      <x:c r="AJ263" s="18" t="n">
        <x:v>7</x:v>
      </x:c>
      <x:c r="AK263" s="18" t="n">
        <x:v>1</x:v>
      </x:c>
      <x:c r="AL263" s="18" t="n">
        <x:v>48</x:v>
      </x:c>
      <x:c r="AM263" s="18" t="n">
        <x:v>33</x:v>
      </x:c>
      <x:c r="AN263" s="18" t="n">
        <x:v>12</x:v>
      </x:c>
      <x:c r="AO263" s="18" t="n">
        <x:v>0</x:v>
      </x:c>
      <x:c r="AP263" s="18" t="n">
        <x:v>0</x:v>
      </x:c>
      <x:c r="AQ263" s="18" t="n">
        <x:v>0</x:v>
      </x:c>
      <x:c r="AR263" s="18" t="n">
        <x:v>0</x:v>
      </x:c>
      <x:c r="AS263" s="18" t="n">
        <x:v>0</x:v>
      </x:c>
      <x:c r="AT263" s="18" t="n">
        <x:v>0</x:v>
      </x:c>
      <x:c r="AU263" s="18" t="n">
        <x:v>6</x:v>
      </x:c>
      <x:c r="AV263" s="18" t="n">
        <x:v>32</x:v>
      </x:c>
      <x:c r="AW263" s="18" t="n">
        <x:v>2</x:v>
      </x:c>
      <x:c r="AX263" s="18" t="n">
        <x:v>0</x:v>
      </x:c>
      <x:c r="AY263" s="18" t="n">
        <x:v>0</x:v>
      </x:c>
      <x:c r="AZ263" s="18" t="n">
        <x:v>0</x:v>
      </x:c>
      <x:c r="BA263" s="18" t="n">
        <x:v>0</x:v>
      </x:c>
      <x:c r="BB263" s="18" t="n">
        <x:v>0</x:v>
      </x:c>
      <x:c r="BC263" s="18" t="n">
        <x:v>0</x:v>
      </x:c>
      <x:c r="BD263" s="18" t="n">
        <x:v>5</x:v>
      </x:c>
      <x:c r="BE263" s="18" t="n">
        <x:v>1</x:v>
      </x:c>
      <x:c r="BF263" s="18" t="n">
        <x:v>1</x:v>
      </x:c>
      <x:c r="BG263" s="18" t="n">
        <x:v>0</x:v>
      </x:c>
    </x:row>
    <x:row r="264">
      <x:c r="A264" s="29" t="str">
        <x:v>345.1</x:v>
      </x:c>
      <x:c r="B264" s="17" t="n">
        <x:v>2900</x:v>
      </x:c>
      <x:c r="C264" s="17" t="str">
        <x:v>בי"ס תיכון לאומנויות רעות</x:v>
      </x:c>
      <x:c r="D264" s="17" t="str">
        <x:v>סנש חנה 12</x:v>
      </x:c>
      <x:c r="E264" s="17" t="str">
        <x:v>גבוה מאוד</x:v>
      </x:c>
      <x:c r="F264" s="18" t="n">
        <x:v>658</x:v>
      </x:c>
      <x:c r="G264" s="18" t="n">
        <x:v>351</x:v>
      </x:c>
      <x:c r="H264" s="19" t="n">
        <x:f>IFERROR(G264/F264,0)</x:f>
        <x:v>0.5334346504559271</x:v>
      </x:c>
      <x:c r="I264" s="18" t="n">
        <x:v>3</x:v>
      </x:c>
      <x:c r="J264" s="18" t="n">
        <x:v>348</x:v>
      </x:c>
      <x:c r="K264" s="18" t="n">
        <x:f>SUM(AM264,BF264,W264,AD264)</x:f>
        <x:v>129</x:v>
      </x:c>
      <x:c r="L264" s="18" t="n">
        <x:f>Q264+R264</x:f>
        <x:v>207</x:v>
      </x:c>
      <x:c r="M264" s="19" t="n">
        <x:f>IFERROR(K264/J264,0)</x:f>
        <x:v>0.3706896551724138</x:v>
      </x:c>
      <x:c r="N264" s="19" t="n">
        <x:f>IFERROR(L264/J264,0)</x:f>
        <x:v>0.5948275862068966</x:v>
      </x:c>
      <x:c r="O264" s="17" t="str">
        <x:f>IF(K264&gt;MAX(L264,S264),"קואליציית ההקמה 2022",IF(L264&gt;MAX(K264,S264),"אופוזיציה רחבה 2022","רשימות אחרות"))</x:f>
        <x:v>אופוזיציה רחבה 2022</x:v>
      </x:c>
      <x:c r="P264" s="17" t="str">
        <x:f>IF(AND(H264&lt;50%,N264&gt;50%),"כן","לא")</x:f>
        <x:v>לא</x:v>
      </x:c>
      <x:c r="Q264" s="18" t="n">
        <x:f>SUM(AV264,AJ264,AL264,T264,AN264)</x:f>
        <x:v>190</x:v>
      </x:c>
      <x:c r="R264" s="18" t="n">
        <x:f>SUM(Y264,AU264,X264)</x:f>
        <x:v>17</x:v>
      </x:c>
      <x:c r="S264" s="18" t="n">
        <x:f>J264-K264-L264</x:f>
        <x:v>12</x:v>
      </x:c>
      <x:c r="T264" s="18" t="n">
        <x:v>22</x:v>
      </x:c>
      <x:c r="U264" s="18" t="n">
        <x:v>2</x:v>
      </x:c>
      <x:c r="V264" s="18" t="n">
        <x:v>2</x:v>
      </x:c>
      <x:c r="W264" s="18" t="n">
        <x:v>2</x:v>
      </x:c>
      <x:c r="X264" s="18" t="n">
        <x:v>9</x:v>
      </x:c>
      <x:c r="Y264" s="18" t="n">
        <x:v>7</x:v>
      </x:c>
      <x:c r="Z264" s="18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27</x:v>
      </x:c>
      <x:c r="AE264" s="18" t="n">
        <x:v>0</x:v>
      </x:c>
      <x:c r="AF264" s="18" t="n">
        <x:v>0</x:v>
      </x:c>
      <x:c r="AG264" s="18" t="n">
        <x:v>0</x:v>
      </x:c>
      <x:c r="AH264" s="18" t="n">
        <x:v>0</x:v>
      </x:c>
      <x:c r="AI264" s="18" t="n">
        <x:v>0</x:v>
      </x:c>
      <x:c r="AJ264" s="18" t="n">
        <x:v>30</x:v>
      </x:c>
      <x:c r="AK264" s="18" t="n">
        <x:v>0</x:v>
      </x:c>
      <x:c r="AL264" s="18" t="n">
        <x:v>36</x:v>
      </x:c>
      <x:c r="AM264" s="18" t="n">
        <x:v>85</x:v>
      </x:c>
      <x:c r="AN264" s="18" t="n">
        <x:v>16</x:v>
      </x:c>
      <x:c r="AO264" s="18" t="n">
        <x:v>0</x:v>
      </x:c>
      <x:c r="AP264" s="18" t="n">
        <x:v>0</x:v>
      </x:c>
      <x:c r="AQ264" s="18" t="n">
        <x:v>0</x:v>
      </x:c>
      <x:c r="AR264" s="18" t="n">
        <x:v>0</x:v>
      </x:c>
      <x:c r="AS264" s="18" t="n">
        <x:v>1</x:v>
      </x:c>
      <x:c r="AT264" s="18" t="n">
        <x:v>0</x:v>
      </x:c>
      <x:c r="AU264" s="18" t="n">
        <x:v>1</x:v>
      </x:c>
      <x:c r="AV264" s="18" t="n">
        <x:v>86</x:v>
      </x:c>
      <x:c r="AW264" s="18" t="n">
        <x:v>0</x:v>
      </x:c>
      <x:c r="AX264" s="18" t="n">
        <x:v>3</x:v>
      </x:c>
      <x:c r="AY264" s="18" t="n">
        <x:v>0</x:v>
      </x:c>
      <x:c r="AZ264" s="18" t="n">
        <x:v>0</x:v>
      </x:c>
      <x:c r="BA264" s="18" t="n">
        <x:v>0</x:v>
      </x:c>
      <x:c r="BB264" s="18" t="n">
        <x:v>0</x:v>
      </x:c>
      <x:c r="BC264" s="18" t="n">
        <x:v>0</x:v>
      </x:c>
      <x:c r="BD264" s="18" t="n">
        <x:v>4</x:v>
      </x:c>
      <x:c r="BE264" s="18" t="n">
        <x:v>0</x:v>
      </x:c>
      <x:c r="BF264" s="18" t="n">
        <x:v>15</x:v>
      </x:c>
      <x:c r="BG264" s="18" t="n">
        <x:v>0</x:v>
      </x:c>
    </x:row>
    <x:row r="265">
      <x:c r="A265" s="29" t="str">
        <x:v>345.2</x:v>
      </x:c>
      <x:c r="B265" s="17" t="n">
        <x:v>2901</x:v>
      </x:c>
      <x:c r="C265" s="17" t="str">
        <x:v>בי"ס תיכון לאומנויות רעות</x:v>
      </x:c>
      <x:c r="D265" s="17" t="str">
        <x:v>סנש חנה 12</x:v>
      </x:c>
      <x:c r="E265" s="17" t="str">
        <x:v>גבוה מאוד</x:v>
      </x:c>
      <x:c r="F265" s="18" t="n">
        <x:v>658</x:v>
      </x:c>
      <x:c r="G265" s="18" t="n">
        <x:v>351</x:v>
      </x:c>
      <x:c r="H265" s="19" t="n">
        <x:f>IFERROR(G265/F265,0)</x:f>
        <x:v>0.5334346504559271</x:v>
      </x:c>
      <x:c r="I265" s="18" t="n">
        <x:v>0</x:v>
      </x:c>
      <x:c r="J265" s="18" t="n">
        <x:v>351</x:v>
      </x:c>
      <x:c r="K265" s="18" t="n">
        <x:f>SUM(AM265,BF265,W265,AD265)</x:f>
        <x:v>127</x:v>
      </x:c>
      <x:c r="L265" s="18" t="n">
        <x:f>Q265+R265</x:f>
        <x:v>218</x:v>
      </x:c>
      <x:c r="M265" s="19" t="n">
        <x:f>IFERROR(K265/J265,0)</x:f>
        <x:v>0.36182336182336183</x:v>
      </x:c>
      <x:c r="N265" s="19" t="n">
        <x:f>IFERROR(L265/J265,0)</x:f>
        <x:v>0.6210826210826211</x:v>
      </x:c>
      <x:c r="O265" s="17" t="str">
        <x:f>IF(K265&gt;MAX(L265,S265),"קואליציית ההקמה 2022",IF(L265&gt;MAX(K265,S265),"אופוזיציה רחבה 2022","רשימות אחרות"))</x:f>
        <x:v>אופוזיציה רחבה 2022</x:v>
      </x:c>
      <x:c r="P265" s="17" t="str">
        <x:f>IF(AND(H265&lt;50%,N265&gt;50%),"כן","לא")</x:f>
        <x:v>לא</x:v>
      </x:c>
      <x:c r="Q265" s="18" t="n">
        <x:f>SUM(AV265,AJ265,AL265,T265,AN265)</x:f>
        <x:v>195</x:v>
      </x:c>
      <x:c r="R265" s="18" t="n">
        <x:f>SUM(Y265,AU265,X265)</x:f>
        <x:v>23</x:v>
      </x:c>
      <x:c r="S265" s="18" t="n">
        <x:f>J265-K265-L265</x:f>
        <x:v>6</x:v>
      </x:c>
      <x:c r="T265" s="18" t="n">
        <x:v>10</x:v>
      </x:c>
      <x:c r="U265" s="18" t="n">
        <x:v>2</x:v>
      </x:c>
      <x:c r="V265" s="18" t="n">
        <x:v>1</x:v>
      </x:c>
      <x:c r="W265" s="18" t="n">
        <x:v>5</x:v>
      </x:c>
      <x:c r="X265" s="18" t="n">
        <x:v>12</x:v>
      </x:c>
      <x:c r="Y265" s="18" t="n">
        <x:v>10</x:v>
      </x:c>
      <x:c r="Z265" s="18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23</x:v>
      </x:c>
      <x:c r="AE265" s="18" t="n">
        <x:v>1</x:v>
      </x:c>
      <x:c r="AF265" s="18" t="n">
        <x:v>1</x:v>
      </x:c>
      <x:c r="AG265" s="18" t="n">
        <x:v>0</x:v>
      </x:c>
      <x:c r="AH265" s="18" t="n">
        <x:v>0</x:v>
      </x:c>
      <x:c r="AI265" s="18" t="n">
        <x:v>0</x:v>
      </x:c>
      <x:c r="AJ265" s="18" t="n">
        <x:v>35</x:v>
      </x:c>
      <x:c r="AK265" s="18" t="n">
        <x:v>0</x:v>
      </x:c>
      <x:c r="AL265" s="18" t="n">
        <x:v>32</x:v>
      </x:c>
      <x:c r="AM265" s="18" t="n">
        <x:v>88</x:v>
      </x:c>
      <x:c r="AN265" s="18" t="n">
        <x:v>15</x:v>
      </x:c>
      <x:c r="AO265" s="18" t="n">
        <x:v>0</x:v>
      </x:c>
      <x:c r="AP265" s="18" t="n">
        <x:v>0</x:v>
      </x:c>
      <x:c r="AQ265" s="18" t="n">
        <x:v>0</x:v>
      </x:c>
      <x:c r="AR265" s="18" t="n">
        <x:v>0</x:v>
      </x:c>
      <x:c r="AS265" s="18" t="n">
        <x:v>0</x:v>
      </x:c>
      <x:c r="AT265" s="18" t="n">
        <x:v>0</x:v>
      </x:c>
      <x:c r="AU265" s="18" t="n">
        <x:v>1</x:v>
      </x:c>
      <x:c r="AV265" s="18" t="n">
        <x:v>103</x:v>
      </x:c>
      <x:c r="AW265" s="18" t="n">
        <x:v>0</x:v>
      </x:c>
      <x:c r="AX265" s="18" t="n">
        <x:v>0</x:v>
      </x:c>
      <x:c r="AY265" s="18" t="n">
        <x:v>1</x:v>
      </x:c>
      <x:c r="AZ265" s="18" t="n">
        <x:v>0</x:v>
      </x:c>
      <x:c r="BA265" s="18" t="n">
        <x:v>0</x:v>
      </x:c>
      <x:c r="BB265" s="18" t="n">
        <x:v>0</x:v>
      </x:c>
      <x:c r="BC265" s="18" t="n">
        <x:v>0</x:v>
      </x:c>
      <x:c r="BD265" s="18" t="n">
        <x:v>0</x:v>
      </x:c>
      <x:c r="BE265" s="18" t="n">
        <x:v>0</x:v>
      </x:c>
      <x:c r="BF265" s="18" t="n">
        <x:v>11</x:v>
      </x:c>
      <x:c r="BG265" s="18" t="n">
        <x:v>0</x:v>
      </x:c>
    </x:row>
    <x:row r="266">
      <x:c r="A266" s="29" t="str">
        <x:v>345.3</x:v>
      </x:c>
      <x:c r="B266" s="17" t="n">
        <x:v>2902</x:v>
      </x:c>
      <x:c r="C266" s="17" t="str">
        <x:v>בי"ס תיכון לאומנויות רעות</x:v>
      </x:c>
      <x:c r="D266" s="17" t="str">
        <x:v>סנש חנה 12</x:v>
      </x:c>
      <x:c r="E266" s="17" t="str">
        <x:v>גבוה מאוד</x:v>
      </x:c>
      <x:c r="F266" s="18" t="n">
        <x:v>656</x:v>
      </x:c>
      <x:c r="G266" s="18" t="n">
        <x:v>332</x:v>
      </x:c>
      <x:c r="H266" s="19" t="n">
        <x:f>IFERROR(G266/F266,0)</x:f>
        <x:v>0.5060975609756098</x:v>
      </x:c>
      <x:c r="I266" s="18" t="n">
        <x:v>2</x:v>
      </x:c>
      <x:c r="J266" s="18" t="n">
        <x:v>330</x:v>
      </x:c>
      <x:c r="K266" s="18" t="n">
        <x:f>SUM(AM266,BF266,W266,AD266)</x:f>
        <x:v>98</x:v>
      </x:c>
      <x:c r="L266" s="18" t="n">
        <x:f>Q266+R266</x:f>
        <x:v>223</x:v>
      </x:c>
      <x:c r="M266" s="19" t="n">
        <x:f>IFERROR(K266/J266,0)</x:f>
        <x:v>0.296969696969697</x:v>
      </x:c>
      <x:c r="N266" s="19" t="n">
        <x:f>IFERROR(L266/J266,0)</x:f>
        <x:v>0.6757575757575758</x:v>
      </x:c>
      <x:c r="O266" s="17" t="str">
        <x:f>IF(K266&gt;MAX(L266,S266),"קואליציית ההקמה 2022",IF(L266&gt;MAX(K266,S266),"אופוזיציה רחבה 2022","רשימות אחרות"))</x:f>
        <x:v>אופוזיציה רחבה 2022</x:v>
      </x:c>
      <x:c r="P266" s="17" t="str">
        <x:f>IF(AND(H266&lt;50%,N266&gt;50%),"כן","לא")</x:f>
        <x:v>לא</x:v>
      </x:c>
      <x:c r="Q266" s="18" t="n">
        <x:f>SUM(AV266,AJ266,AL266,T266,AN266)</x:f>
        <x:v>202</x:v>
      </x:c>
      <x:c r="R266" s="18" t="n">
        <x:f>SUM(Y266,AU266,X266)</x:f>
        <x:v>21</x:v>
      </x:c>
      <x:c r="S266" s="18" t="n">
        <x:f>J266-K266-L266</x:f>
        <x:v>9</x:v>
      </x:c>
      <x:c r="T266" s="18" t="n">
        <x:v>15</x:v>
      </x:c>
      <x:c r="U266" s="18" t="n">
        <x:v>3</x:v>
      </x:c>
      <x:c r="V266" s="18" t="n">
        <x:v>0</x:v>
      </x:c>
      <x:c r="W266" s="18" t="n">
        <x:v>6</x:v>
      </x:c>
      <x:c r="X266" s="18" t="n">
        <x:v>13</x:v>
      </x:c>
      <x:c r="Y266" s="18" t="n">
        <x:v>5</x:v>
      </x:c>
      <x:c r="Z266" s="18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16</x:v>
      </x:c>
      <x:c r="AE266" s="18" t="n">
        <x:v>0</x:v>
      </x:c>
      <x:c r="AF266" s="18" t="n">
        <x:v>2</x:v>
      </x:c>
      <x:c r="AG266" s="18" t="n">
        <x:v>0</x:v>
      </x:c>
      <x:c r="AH266" s="18" t="n">
        <x:v>0</x:v>
      </x:c>
      <x:c r="AI266" s="18" t="n">
        <x:v>0</x:v>
      </x:c>
      <x:c r="AJ266" s="18" t="n">
        <x:v>35</x:v>
      </x:c>
      <x:c r="AK266" s="18" t="n">
        <x:v>0</x:v>
      </x:c>
      <x:c r="AL266" s="18" t="n">
        <x:v>32</x:v>
      </x:c>
      <x:c r="AM266" s="18" t="n">
        <x:v>71</x:v>
      </x:c>
      <x:c r="AN266" s="18" t="n">
        <x:v>11</x:v>
      </x:c>
      <x:c r="AO266" s="18" t="n">
        <x:v>0</x:v>
      </x:c>
      <x:c r="AP266" s="18" t="n">
        <x:v>0</x:v>
      </x:c>
      <x:c r="AQ266" s="18" t="n">
        <x:v>0</x:v>
      </x:c>
      <x:c r="AR266" s="18" t="n">
        <x:v>0</x:v>
      </x:c>
      <x:c r="AS266" s="18" t="n">
        <x:v>0</x:v>
      </x:c>
      <x:c r="AT266" s="18" t="n">
        <x:v>0</x:v>
      </x:c>
      <x:c r="AU266" s="18" t="n">
        <x:v>3</x:v>
      </x:c>
      <x:c r="AV266" s="18" t="n">
        <x:v>109</x:v>
      </x:c>
      <x:c r="AW266" s="18" t="n">
        <x:v>0</x:v>
      </x:c>
      <x:c r="AX266" s="18" t="n">
        <x:v>0</x:v>
      </x:c>
      <x:c r="AY266" s="18" t="n">
        <x:v>0</x:v>
      </x:c>
      <x:c r="AZ266" s="18" t="n">
        <x:v>0</x:v>
      </x:c>
      <x:c r="BA266" s="18" t="n">
        <x:v>0</x:v>
      </x:c>
      <x:c r="BB266" s="18" t="n">
        <x:v>0</x:v>
      </x:c>
      <x:c r="BC266" s="18" t="n">
        <x:v>0</x:v>
      </x:c>
      <x:c r="BD266" s="18" t="n">
        <x:v>4</x:v>
      </x:c>
      <x:c r="BE266" s="18" t="n">
        <x:v>0</x:v>
      </x:c>
      <x:c r="BF266" s="18" t="n">
        <x:v>5</x:v>
      </x:c>
      <x:c r="BG266" s="18" t="n">
        <x:v>0</x:v>
      </x:c>
    </x:row>
    <x:row r="267">
      <x:c r="A267" s="29" t="str">
        <x:v>346.1</x:v>
      </x:c>
      <x:c r="B267" s="17" t="n">
        <x:v>3156</x:v>
      </x:c>
      <x:c r="C267" s="17" t="str">
        <x:v>בי"ס יזרעאליה</x:v>
      </x:c>
      <x:c r="D267" s="17" t="str">
        <x:v>צ'רניאבסקי אהרון 20</x:v>
      </x:c>
      <x:c r="E267" s="17" t="str">
        <x:v>גבוה מאוד</x:v>
      </x:c>
      <x:c r="F267" s="18" t="n">
        <x:v>645</x:v>
      </x:c>
      <x:c r="G267" s="18" t="n">
        <x:v>358</x:v>
      </x:c>
      <x:c r="H267" s="19" t="n">
        <x:f>IFERROR(G267/F267,0)</x:f>
        <x:v>0.5550387596899224</x:v>
      </x:c>
      <x:c r="I267" s="18" t="n">
        <x:v>3</x:v>
      </x:c>
      <x:c r="J267" s="18" t="n">
        <x:v>355</x:v>
      </x:c>
      <x:c r="K267" s="18" t="n">
        <x:f>SUM(AM267,BF267,W267,AD267)</x:f>
        <x:v>149</x:v>
      </x:c>
      <x:c r="L267" s="18" t="n">
        <x:f>Q267+R267</x:f>
        <x:v>193</x:v>
      </x:c>
      <x:c r="M267" s="19" t="n">
        <x:f>IFERROR(K267/J267,0)</x:f>
        <x:v>0.4197183098591549</x:v>
      </x:c>
      <x:c r="N267" s="19" t="n">
        <x:f>IFERROR(L267/J267,0)</x:f>
        <x:v>0.543661971830986</x:v>
      </x:c>
      <x:c r="O267" s="17" t="str">
        <x:f>IF(K267&gt;MAX(L267,S267),"קואליציית ההקמה 2022",IF(L267&gt;MAX(K267,S267),"אופוזיציה רחבה 2022","רשימות אחרות"))</x:f>
        <x:v>אופוזיציה רחבה 2022</x:v>
      </x:c>
      <x:c r="P267" s="17" t="str">
        <x:f>IF(AND(H267&lt;50%,N267&gt;50%),"כן","לא")</x:f>
        <x:v>לא</x:v>
      </x:c>
      <x:c r="Q267" s="18" t="n">
        <x:f>SUM(AV267,AJ267,AL267,T267,AN267)</x:f>
        <x:v>193</x:v>
      </x:c>
      <x:c r="R267" s="18" t="n">
        <x:f>SUM(Y267,AU267,X267)</x:f>
        <x:v>0</x:v>
      </x:c>
      <x:c r="S267" s="18" t="n">
        <x:f>J267-K267-L267</x:f>
        <x:v>13</x:v>
      </x:c>
      <x:c r="T267" s="18" t="n">
        <x:v>18</x:v>
      </x:c>
      <x:c r="U267" s="18" t="n">
        <x:v>2</x:v>
      </x:c>
      <x:c r="V267" s="18" t="n">
        <x:v>7</x:v>
      </x:c>
      <x:c r="W267" s="18" t="n">
        <x:v>0</x:v>
      </x:c>
      <x:c r="X267" s="18" t="n">
        <x:v>0</x:v>
      </x:c>
      <x:c r="Y267" s="18" t="n">
        <x:v>0</x:v>
      </x:c>
      <x:c r="Z267" s="18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26</x:v>
      </x:c>
      <x:c r="AE267" s="18" t="n">
        <x:v>0</x:v>
      </x:c>
      <x:c r="AF267" s="18" t="n">
        <x:v>0</x:v>
      </x:c>
      <x:c r="AG267" s="18" t="n">
        <x:v>0</x:v>
      </x:c>
      <x:c r="AH267" s="18" t="n">
        <x:v>0</x:v>
      </x:c>
      <x:c r="AI267" s="18" t="n">
        <x:v>0</x:v>
      </x:c>
      <x:c r="AJ267" s="18" t="n">
        <x:v>34</x:v>
      </x:c>
      <x:c r="AK267" s="18" t="n">
        <x:v>0</x:v>
      </x:c>
      <x:c r="AL267" s="18" t="n">
        <x:v>42</x:v>
      </x:c>
      <x:c r="AM267" s="18" t="n">
        <x:v>113</x:v>
      </x:c>
      <x:c r="AN267" s="18" t="n">
        <x:v>9</x:v>
      </x:c>
      <x:c r="AO267" s="18" t="n">
        <x:v>0</x:v>
      </x:c>
      <x:c r="AP267" s="18" t="n">
        <x:v>0</x:v>
      </x:c>
      <x:c r="AQ267" s="18" t="n">
        <x:v>0</x:v>
      </x:c>
      <x:c r="AR267" s="18" t="n">
        <x:v>0</x:v>
      </x:c>
      <x:c r="AS267" s="18" t="n">
        <x:v>0</x:v>
      </x:c>
      <x:c r="AT267" s="18" t="n">
        <x:v>0</x:v>
      </x:c>
      <x:c r="AU267" s="18" t="n">
        <x:v>0</x:v>
      </x:c>
      <x:c r="AV267" s="18" t="n">
        <x:v>90</x:v>
      </x:c>
      <x:c r="AW267" s="18" t="n">
        <x:v>0</x:v>
      </x:c>
      <x:c r="AX267" s="18" t="n">
        <x:v>0</x:v>
      </x:c>
      <x:c r="AY267" s="18" t="n">
        <x:v>0</x:v>
      </x:c>
      <x:c r="AZ267" s="18" t="n">
        <x:v>0</x:v>
      </x:c>
      <x:c r="BA267" s="18" t="n">
        <x:v>0</x:v>
      </x:c>
      <x:c r="BB267" s="18" t="n">
        <x:v>0</x:v>
      </x:c>
      <x:c r="BC267" s="18" t="n">
        <x:v>2</x:v>
      </x:c>
      <x:c r="BD267" s="18" t="n">
        <x:v>0</x:v>
      </x:c>
      <x:c r="BE267" s="18" t="n">
        <x:v>0</x:v>
      </x:c>
      <x:c r="BF267" s="18" t="n">
        <x:v>10</x:v>
      </x:c>
      <x:c r="BG267" s="18" t="n">
        <x:v>2</x:v>
      </x:c>
    </x:row>
    <x:row r="268">
      <x:c r="A268" s="29" t="str">
        <x:v>346.2</x:v>
      </x:c>
      <x:c r="B268" s="17" t="n">
        <x:v>3157</x:v>
      </x:c>
      <x:c r="C268" s="17" t="str">
        <x:v>בי"ס יזרעאליה</x:v>
      </x:c>
      <x:c r="D268" s="17" t="str">
        <x:v>צ'רניאבסקי אהרון 20</x:v>
      </x:c>
      <x:c r="E268" s="17" t="str">
        <x:v>גבוה מאוד</x:v>
      </x:c>
      <x:c r="F268" s="18" t="n">
        <x:v>645</x:v>
      </x:c>
      <x:c r="G268" s="18" t="n">
        <x:v>324</x:v>
      </x:c>
      <x:c r="H268" s="19" t="n">
        <x:f>IFERROR(G268/F268,0)</x:f>
        <x:v>0.5023255813953489</x:v>
      </x:c>
      <x:c r="I268" s="18" t="n">
        <x:v>0</x:v>
      </x:c>
      <x:c r="J268" s="18" t="n">
        <x:v>324</x:v>
      </x:c>
      <x:c r="K268" s="18" t="n">
        <x:f>SUM(AM268,BF268,W268,AD268)</x:f>
        <x:v>91</x:v>
      </x:c>
      <x:c r="L268" s="18" t="n">
        <x:f>Q268+R268</x:f>
        <x:v>217</x:v>
      </x:c>
      <x:c r="M268" s="19" t="n">
        <x:f>IFERROR(K268/J268,0)</x:f>
        <x:v>0.2808641975308642</x:v>
      </x:c>
      <x:c r="N268" s="19" t="n">
        <x:f>IFERROR(L268/J268,0)</x:f>
        <x:v>0.6697530864197531</x:v>
      </x:c>
      <x:c r="O268" s="17" t="str">
        <x:f>IF(K268&gt;MAX(L268,S268),"קואליציית ההקמה 2022",IF(L268&gt;MAX(K268,S268),"אופוזיציה רחבה 2022","רשימות אחרות"))</x:f>
        <x:v>אופוזיציה רחבה 2022</x:v>
      </x:c>
      <x:c r="P268" s="17" t="str">
        <x:f>IF(AND(H268&lt;50%,N268&gt;50%),"כן","לא")</x:f>
        <x:v>לא</x:v>
      </x:c>
      <x:c r="Q268" s="18" t="n">
        <x:f>SUM(AV268,AJ268,AL268,T268,AN268)</x:f>
        <x:v>213</x:v>
      </x:c>
      <x:c r="R268" s="18" t="n">
        <x:f>SUM(Y268,AU268,X268)</x:f>
        <x:v>4</x:v>
      </x:c>
      <x:c r="S268" s="18" t="n">
        <x:f>J268-K268-L268</x:f>
        <x:v>16</x:v>
      </x:c>
      <x:c r="T268" s="18" t="n">
        <x:v>15</x:v>
      </x:c>
      <x:c r="U268" s="18" t="n">
        <x:v>1</x:v>
      </x:c>
      <x:c r="V268" s="18" t="n">
        <x:v>7</x:v>
      </x:c>
      <x:c r="W268" s="18" t="n">
        <x:v>3</x:v>
      </x:c>
      <x:c r="X268" s="18" t="n">
        <x:v>0</x:v>
      </x:c>
      <x:c r="Y268" s="18" t="n">
        <x:v>4</x:v>
      </x:c>
      <x:c r="Z268" s="18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21</x:v>
      </x:c>
      <x:c r="AE268" s="18" t="n">
        <x:v>1</x:v>
      </x:c>
      <x:c r="AF268" s="18" t="n">
        <x:v>1</x:v>
      </x:c>
      <x:c r="AG268" s="18" t="n">
        <x:v>0</x:v>
      </x:c>
      <x:c r="AH268" s="18" t="n">
        <x:v>0</x:v>
      </x:c>
      <x:c r="AI268" s="18" t="n">
        <x:v>0</x:v>
      </x:c>
      <x:c r="AJ268" s="18" t="n">
        <x:v>42</x:v>
      </x:c>
      <x:c r="AK268" s="18" t="n">
        <x:v>0</x:v>
      </x:c>
      <x:c r="AL268" s="18" t="n">
        <x:v>41</x:v>
      </x:c>
      <x:c r="AM268" s="18" t="n">
        <x:v>64</x:v>
      </x:c>
      <x:c r="AN268" s="18" t="n">
        <x:v>12</x:v>
      </x:c>
      <x:c r="AO268" s="18" t="n">
        <x:v>0</x:v>
      </x:c>
      <x:c r="AP268" s="18" t="n">
        <x:v>1</x:v>
      </x:c>
      <x:c r="AQ268" s="18" t="n">
        <x:v>0</x:v>
      </x:c>
      <x:c r="AR268" s="18" t="n">
        <x:v>0</x:v>
      </x:c>
      <x:c r="AS268" s="18" t="n">
        <x:v>0</x:v>
      </x:c>
      <x:c r="AT268" s="18" t="n">
        <x:v>0</x:v>
      </x:c>
      <x:c r="AU268" s="18" t="n">
        <x:v>0</x:v>
      </x:c>
      <x:c r="AV268" s="18" t="n">
        <x:v>103</x:v>
      </x:c>
      <x:c r="AW268" s="18" t="n">
        <x:v>0</x:v>
      </x:c>
      <x:c r="AX268" s="18" t="n">
        <x:v>0</x:v>
      </x:c>
      <x:c r="AY268" s="18" t="n">
        <x:v>0</x:v>
      </x:c>
      <x:c r="AZ268" s="18" t="n">
        <x:v>0</x:v>
      </x:c>
      <x:c r="BA268" s="18" t="n">
        <x:v>0</x:v>
      </x:c>
      <x:c r="BB268" s="18" t="n">
        <x:v>0</x:v>
      </x:c>
      <x:c r="BC268" s="18" t="n">
        <x:v>0</x:v>
      </x:c>
      <x:c r="BD268" s="18" t="n">
        <x:v>5</x:v>
      </x:c>
      <x:c r="BE268" s="18" t="n">
        <x:v>0</x:v>
      </x:c>
      <x:c r="BF268" s="18" t="n">
        <x:v>3</x:v>
      </x:c>
      <x:c r="BG268" s="18" t="n">
        <x:v>0</x:v>
      </x:c>
    </x:row>
    <x:row r="269">
      <x:c r="A269" s="29" t="str">
        <x:v>346.3</x:v>
      </x:c>
      <x:c r="B269" s="17" t="n">
        <x:v>3158</x:v>
      </x:c>
      <x:c r="C269" s="17" t="str">
        <x:v>בי"ס יזרעאליה</x:v>
      </x:c>
      <x:c r="D269" s="17" t="str">
        <x:v>צ'רניאבסקי אהרון 20</x:v>
      </x:c>
      <x:c r="E269" s="17" t="str">
        <x:v>גבוה מאוד</x:v>
      </x:c>
      <x:c r="F269" s="18" t="n">
        <x:v>645</x:v>
      </x:c>
      <x:c r="G269" s="18" t="n">
        <x:v>338</x:v>
      </x:c>
      <x:c r="H269" s="19" t="n">
        <x:f>IFERROR(G269/F269,0)</x:f>
        <x:v>0.524031007751938</x:v>
      </x:c>
      <x:c r="I269" s="18" t="n">
        <x:v>1</x:v>
      </x:c>
      <x:c r="J269" s="18" t="n">
        <x:v>337</x:v>
      </x:c>
      <x:c r="K269" s="18" t="n">
        <x:f>SUM(AM269,BF269,W269,AD269)</x:f>
        <x:v>108</x:v>
      </x:c>
      <x:c r="L269" s="18" t="n">
        <x:f>Q269+R269</x:f>
        <x:v>221</x:v>
      </x:c>
      <x:c r="M269" s="19" t="n">
        <x:f>IFERROR(K269/J269,0)</x:f>
        <x:v>0.32047477744807124</x:v>
      </x:c>
      <x:c r="N269" s="19" t="n">
        <x:f>IFERROR(L269/J269,0)</x:f>
        <x:v>0.655786350148368</x:v>
      </x:c>
      <x:c r="O269" s="17" t="str">
        <x:f>IF(K269&gt;MAX(L269,S269),"קואליציית ההקמה 2022",IF(L269&gt;MAX(K269,S269),"אופוזיציה רחבה 2022","רשימות אחרות"))</x:f>
        <x:v>אופוזיציה רחבה 2022</x:v>
      </x:c>
      <x:c r="P269" s="17" t="str">
        <x:f>IF(AND(H269&lt;50%,N269&gt;50%),"כן","לא")</x:f>
        <x:v>לא</x:v>
      </x:c>
      <x:c r="Q269" s="18" t="n">
        <x:f>SUM(AV269,AJ269,AL269,T269,AN269)</x:f>
        <x:v>221</x:v>
      </x:c>
      <x:c r="R269" s="18" t="n">
        <x:f>SUM(Y269,AU269,X269)</x:f>
        <x:v>0</x:v>
      </x:c>
      <x:c r="S269" s="18" t="n">
        <x:f>J269-K269-L269</x:f>
        <x:v>8</x:v>
      </x:c>
      <x:c r="T269" s="18" t="n">
        <x:v>13</x:v>
      </x:c>
      <x:c r="U269" s="18" t="n">
        <x:v>0</x:v>
      </x:c>
      <x:c r="V269" s="18" t="n">
        <x:v>3</x:v>
      </x:c>
      <x:c r="W269" s="18" t="n">
        <x:v>1</x:v>
      </x:c>
      <x:c r="X269" s="18" t="n">
        <x:v>0</x:v>
      </x:c>
      <x:c r="Y269" s="18" t="n">
        <x:v>0</x:v>
      </x:c>
      <x:c r="Z269" s="18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28</x:v>
      </x:c>
      <x:c r="AE269" s="18" t="n">
        <x:v>0</x:v>
      </x:c>
      <x:c r="AF269" s="18" t="n">
        <x:v>1</x:v>
      </x:c>
      <x:c r="AG269" s="18" t="n">
        <x:v>0</x:v>
      </x:c>
      <x:c r="AH269" s="18" t="n">
        <x:v>0</x:v>
      </x:c>
      <x:c r="AI269" s="18" t="n">
        <x:v>0</x:v>
      </x:c>
      <x:c r="AJ269" s="18" t="n">
        <x:v>36</x:v>
      </x:c>
      <x:c r="AK269" s="18" t="n">
        <x:v>0</x:v>
      </x:c>
      <x:c r="AL269" s="18" t="n">
        <x:v>62</x:v>
      </x:c>
      <x:c r="AM269" s="18" t="n">
        <x:v>68</x:v>
      </x:c>
      <x:c r="AN269" s="18" t="n">
        <x:v>6</x:v>
      </x:c>
      <x:c r="AO269" s="18" t="n">
        <x:v>0</x:v>
      </x:c>
      <x:c r="AP269" s="18" t="n">
        <x:v>0</x:v>
      </x:c>
      <x:c r="AQ269" s="18" t="n">
        <x:v>0</x:v>
      </x:c>
      <x:c r="AR269" s="18" t="n">
        <x:v>0</x:v>
      </x:c>
      <x:c r="AS269" s="18" t="n">
        <x:v>0</x:v>
      </x:c>
      <x:c r="AT269" s="18" t="n">
        <x:v>0</x:v>
      </x:c>
      <x:c r="AU269" s="18" t="n">
        <x:v>0</x:v>
      </x:c>
      <x:c r="AV269" s="18" t="n">
        <x:v>104</x:v>
      </x:c>
      <x:c r="AW269" s="18" t="n">
        <x:v>0</x:v>
      </x:c>
      <x:c r="AX269" s="18" t="n">
        <x:v>2</x:v>
      </x:c>
      <x:c r="AY269" s="18" t="n">
        <x:v>0</x:v>
      </x:c>
      <x:c r="AZ269" s="18" t="n">
        <x:v>0</x:v>
      </x:c>
      <x:c r="BA269" s="18" t="n">
        <x:v>0</x:v>
      </x:c>
      <x:c r="BB269" s="18" t="n">
        <x:v>0</x:v>
      </x:c>
      <x:c r="BC269" s="18" t="n">
        <x:v>0</x:v>
      </x:c>
      <x:c r="BD269" s="18" t="n">
        <x:v>1</x:v>
      </x:c>
      <x:c r="BE269" s="18" t="n">
        <x:v>1</x:v>
      </x:c>
      <x:c r="BF269" s="18" t="n">
        <x:v>11</x:v>
      </x:c>
      <x:c r="BG269" s="18" t="n">
        <x:v>0</x:v>
      </x:c>
    </x:row>
    <x:row r="270">
      <x:c r="A270" s="29" t="str">
        <x:v>346.4</x:v>
      </x:c>
      <x:c r="B270" s="17" t="n">
        <x:v>3159</x:v>
      </x:c>
      <x:c r="C270" s="17" t="str">
        <x:v>בי"ס יזרעאליה</x:v>
      </x:c>
      <x:c r="D270" s="17" t="str">
        <x:v>צ'רניאבסקי אהרון 20</x:v>
      </x:c>
      <x:c r="E270" s="17" t="str">
        <x:v>גבוה מאוד</x:v>
      </x:c>
      <x:c r="F270" s="18" t="n">
        <x:v>645</x:v>
      </x:c>
      <x:c r="G270" s="18" t="n">
        <x:v>340</x:v>
      </x:c>
      <x:c r="H270" s="19" t="n">
        <x:f>IFERROR(G270/F270,0)</x:f>
        <x:v>0.5271317829457365</x:v>
      </x:c>
      <x:c r="I270" s="18" t="n">
        <x:v>4</x:v>
      </x:c>
      <x:c r="J270" s="18" t="n">
        <x:v>336</x:v>
      </x:c>
      <x:c r="K270" s="18" t="n">
        <x:f>SUM(AM270,BF270,W270,AD270)</x:f>
        <x:v>93</x:v>
      </x:c>
      <x:c r="L270" s="18" t="n">
        <x:f>Q270+R270</x:f>
        <x:v>230</x:v>
      </x:c>
      <x:c r="M270" s="19" t="n">
        <x:f>IFERROR(K270/J270,0)</x:f>
        <x:v>0.2767857142857143</x:v>
      </x:c>
      <x:c r="N270" s="19" t="n">
        <x:f>IFERROR(L270/J270,0)</x:f>
        <x:v>0.6845238095238095</x:v>
      </x:c>
      <x:c r="O270" s="17" t="str">
        <x:f>IF(K270&gt;MAX(L270,S270),"קואליציית ההקמה 2022",IF(L270&gt;MAX(K270,S270),"אופוזיציה רחבה 2022","רשימות אחרות"))</x:f>
        <x:v>אופוזיציה רחבה 2022</x:v>
      </x:c>
      <x:c r="P270" s="17" t="str">
        <x:f>IF(AND(H270&lt;50%,N270&gt;50%),"כן","לא")</x:f>
        <x:v>לא</x:v>
      </x:c>
      <x:c r="Q270" s="18" t="n">
        <x:f>SUM(AV270,AJ270,AL270,T270,AN270)</x:f>
        <x:v>228</x:v>
      </x:c>
      <x:c r="R270" s="18" t="n">
        <x:f>SUM(Y270,AU270,X270)</x:f>
        <x:v>2</x:v>
      </x:c>
      <x:c r="S270" s="18" t="n">
        <x:f>J270-K270-L270</x:f>
        <x:v>13</x:v>
      </x:c>
      <x:c r="T270" s="18" t="n">
        <x:v>9</x:v>
      </x:c>
      <x:c r="U270" s="18" t="n">
        <x:v>1</x:v>
      </x:c>
      <x:c r="V270" s="18" t="n">
        <x:v>3</x:v>
      </x:c>
      <x:c r="W270" s="18" t="n">
        <x:v>1</x:v>
      </x:c>
      <x:c r="X270" s="18" t="n">
        <x:v>2</x:v>
      </x:c>
      <x:c r="Y270" s="18" t="n">
        <x:v>0</x:v>
      </x:c>
      <x:c r="Z270" s="18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16</x:v>
      </x:c>
      <x:c r="AE270" s="18" t="n">
        <x:v>0</x:v>
      </x:c>
      <x:c r="AF270" s="18" t="n">
        <x:v>2</x:v>
      </x:c>
      <x:c r="AG270" s="18" t="n">
        <x:v>0</x:v>
      </x:c>
      <x:c r="AH270" s="18" t="n">
        <x:v>0</x:v>
      </x:c>
      <x:c r="AI270" s="18" t="n">
        <x:v>0</x:v>
      </x:c>
      <x:c r="AJ270" s="18" t="n">
        <x:v>32</x:v>
      </x:c>
      <x:c r="AK270" s="18" t="n">
        <x:v>0</x:v>
      </x:c>
      <x:c r="AL270" s="18" t="n">
        <x:v>72</x:v>
      </x:c>
      <x:c r="AM270" s="18" t="n">
        <x:v>72</x:v>
      </x:c>
      <x:c r="AN270" s="18" t="n">
        <x:v>7</x:v>
      </x:c>
      <x:c r="AO270" s="18" t="n">
        <x:v>0</x:v>
      </x:c>
      <x:c r="AP270" s="18" t="n">
        <x:v>0</x:v>
      </x:c>
      <x:c r="AQ270" s="18" t="n">
        <x:v>0</x:v>
      </x:c>
      <x:c r="AR270" s="18" t="n">
        <x:v>0</x:v>
      </x:c>
      <x:c r="AS270" s="18" t="n">
        <x:v>0</x:v>
      </x:c>
      <x:c r="AT270" s="18" t="n">
        <x:v>1</x:v>
      </x:c>
      <x:c r="AU270" s="18" t="n">
        <x:v>0</x:v>
      </x:c>
      <x:c r="AV270" s="18" t="n">
        <x:v>108</x:v>
      </x:c>
      <x:c r="AW270" s="18" t="n">
        <x:v>1</x:v>
      </x:c>
      <x:c r="AX270" s="18" t="n">
        <x:v>1</x:v>
      </x:c>
      <x:c r="AY270" s="18" t="n">
        <x:v>0</x:v>
      </x:c>
      <x:c r="AZ270" s="18" t="n">
        <x:v>0</x:v>
      </x:c>
      <x:c r="BA270" s="18" t="n">
        <x:v>0</x:v>
      </x:c>
      <x:c r="BB270" s="18" t="n">
        <x:v>0</x:v>
      </x:c>
      <x:c r="BC270" s="18" t="n">
        <x:v>1</x:v>
      </x:c>
      <x:c r="BD270" s="18" t="n">
        <x:v>3</x:v>
      </x:c>
      <x:c r="BE270" s="18" t="n">
        <x:v>0</x:v>
      </x:c>
      <x:c r="BF270" s="18" t="n">
        <x:v>4</x:v>
      </x:c>
      <x:c r="BG270" s="18" t="n">
        <x:v>0</x:v>
      </x:c>
    </x:row>
    <x:row r="271">
      <x:c r="A271" s="29" t="str">
        <x:v>346.5</x:v>
      </x:c>
      <x:c r="B271" s="17" t="n">
        <x:v>3160</x:v>
      </x:c>
      <x:c r="C271" s="17" t="str">
        <x:v>בי"ס יזרעאליה</x:v>
      </x:c>
      <x:c r="D271" s="17" t="str">
        <x:v>צ'רניאבסקי אהרון 20</x:v>
      </x:c>
      <x:c r="E271" s="17" t="str">
        <x:v>גבוה מאוד</x:v>
      </x:c>
      <x:c r="F271" s="18" t="n">
        <x:v>642</x:v>
      </x:c>
      <x:c r="G271" s="18" t="n">
        <x:v>357</x:v>
      </x:c>
      <x:c r="H271" s="19" t="n">
        <x:f>IFERROR(G271/F271,0)</x:f>
        <x:v>0.5560747663551402</x:v>
      </x:c>
      <x:c r="I271" s="18" t="n">
        <x:v>1</x:v>
      </x:c>
      <x:c r="J271" s="18" t="n">
        <x:v>356</x:v>
      </x:c>
      <x:c r="K271" s="18" t="n">
        <x:f>SUM(AM271,BF271,W271,AD271)</x:f>
        <x:v>107</x:v>
      </x:c>
      <x:c r="L271" s="18" t="n">
        <x:f>Q271+R271</x:f>
        <x:v>235</x:v>
      </x:c>
      <x:c r="M271" s="19" t="n">
        <x:f>IFERROR(K271/J271,0)</x:f>
        <x:v>0.300561797752809</x:v>
      </x:c>
      <x:c r="N271" s="19" t="n">
        <x:f>IFERROR(L271/J271,0)</x:f>
        <x:v>0.6601123595505618</x:v>
      </x:c>
      <x:c r="O271" s="17" t="str">
        <x:f>IF(K271&gt;MAX(L271,S271),"קואליציית ההקמה 2022",IF(L271&gt;MAX(K271,S271),"אופוזיציה רחבה 2022","רשימות אחרות"))</x:f>
        <x:v>אופוזיציה רחבה 2022</x:v>
      </x:c>
      <x:c r="P271" s="17" t="str">
        <x:f>IF(AND(H271&lt;50%,N271&gt;50%),"כן","לא")</x:f>
        <x:v>לא</x:v>
      </x:c>
      <x:c r="Q271" s="18" t="n">
        <x:f>SUM(AV271,AJ271,AL271,T271,AN271)</x:f>
        <x:v>233</x:v>
      </x:c>
      <x:c r="R271" s="18" t="n">
        <x:f>SUM(Y271,AU271,X271)</x:f>
        <x:v>2</x:v>
      </x:c>
      <x:c r="S271" s="18" t="n">
        <x:f>J271-K271-L271</x:f>
        <x:v>14</x:v>
      </x:c>
      <x:c r="T271" s="18" t="n">
        <x:v>16</x:v>
      </x:c>
      <x:c r="U271" s="18" t="n">
        <x:v>2</x:v>
      </x:c>
      <x:c r="V271" s="18" t="n">
        <x:v>7</x:v>
      </x:c>
      <x:c r="W271" s="18" t="n">
        <x:v>2</x:v>
      </x:c>
      <x:c r="X271" s="18" t="n">
        <x:v>2</x:v>
      </x:c>
      <x:c r="Y271" s="18" t="n">
        <x:v>0</x:v>
      </x:c>
      <x:c r="Z271" s="18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27</x:v>
      </x:c>
      <x:c r="AE271" s="18" t="n">
        <x:v>0</x:v>
      </x:c>
      <x:c r="AF271" s="18" t="n">
        <x:v>3</x:v>
      </x:c>
      <x:c r="AG271" s="18" t="n">
        <x:v>0</x:v>
      </x:c>
      <x:c r="AH271" s="18" t="n">
        <x:v>1</x:v>
      </x:c>
      <x:c r="AI271" s="18" t="n">
        <x:v>0</x:v>
      </x:c>
      <x:c r="AJ271" s="18" t="n">
        <x:v>34</x:v>
      </x:c>
      <x:c r="AK271" s="18" t="n">
        <x:v>0</x:v>
      </x:c>
      <x:c r="AL271" s="18" t="n">
        <x:v>52</x:v>
      </x:c>
      <x:c r="AM271" s="18" t="n">
        <x:v>72</x:v>
      </x:c>
      <x:c r="AN271" s="18" t="n">
        <x:v>6</x:v>
      </x:c>
      <x:c r="AO271" s="18" t="n">
        <x:v>0</x:v>
      </x:c>
      <x:c r="AP271" s="18" t="n">
        <x:v>0</x:v>
      </x:c>
      <x:c r="AQ271" s="18" t="n">
        <x:v>0</x:v>
      </x:c>
      <x:c r="AR271" s="18" t="n">
        <x:v>0</x:v>
      </x:c>
      <x:c r="AS271" s="18" t="n">
        <x:v>0</x:v>
      </x:c>
      <x:c r="AT271" s="18" t="n">
        <x:v>0</x:v>
      </x:c>
      <x:c r="AU271" s="18" t="n">
        <x:v>0</x:v>
      </x:c>
      <x:c r="AV271" s="18" t="n">
        <x:v>125</x:v>
      </x:c>
      <x:c r="AW271" s="18" t="n">
        <x:v>0</x:v>
      </x:c>
      <x:c r="AX271" s="18" t="n">
        <x:v>0</x:v>
      </x:c>
      <x:c r="AY271" s="18" t="n">
        <x:v>0</x:v>
      </x:c>
      <x:c r="AZ271" s="18" t="n">
        <x:v>0</x:v>
      </x:c>
      <x:c r="BA271" s="18" t="n">
        <x:v>0</x:v>
      </x:c>
      <x:c r="BB271" s="18" t="n">
        <x:v>0</x:v>
      </x:c>
      <x:c r="BC271" s="18" t="n">
        <x:v>1</x:v>
      </x:c>
      <x:c r="BD271" s="18" t="n">
        <x:v>0</x:v>
      </x:c>
      <x:c r="BE271" s="18" t="n">
        <x:v>0</x:v>
      </x:c>
      <x:c r="BF271" s="18" t="n">
        <x:v>6</x:v>
      </x:c>
      <x:c r="BG271" s="18" t="n">
        <x:v>0</x:v>
      </x:c>
    </x:row>
    <x:row r="272">
      <x:c r="A272" s="29" t="str">
        <x:v>347</x:v>
      </x:c>
      <x:c r="B272" s="17" t="n">
        <x:v>2903</x:v>
      </x:c>
      <x:c r="C272" s="17" t="str">
        <x:v>תיכון חוגים ע"ש רחל מתוקי</x:v>
      </x:c>
      <x:c r="D272" s="17" t="str">
        <x:v>בלום לאון 9</x:v>
      </x:c>
      <x:c r="E272" s="17" t="str">
        <x:v>גבוה מאוד</x:v>
      </x:c>
      <x:c r="F272" s="18" t="n">
        <x:v>482</x:v>
      </x:c>
      <x:c r="G272" s="18" t="n">
        <x:v>250</x:v>
      </x:c>
      <x:c r="H272" s="19" t="n">
        <x:f>IFERROR(G272/F272,0)</x:f>
        <x:v>0.5186721991701245</x:v>
      </x:c>
      <x:c r="I272" s="18" t="n">
        <x:v>4</x:v>
      </x:c>
      <x:c r="J272" s="18" t="n">
        <x:v>246</x:v>
      </x:c>
      <x:c r="K272" s="18" t="n">
        <x:f>SUM(AM272,BF272,W272,AD272)</x:f>
        <x:v>71</x:v>
      </x:c>
      <x:c r="L272" s="18" t="n">
        <x:f>Q272+R272</x:f>
        <x:v>166</x:v>
      </x:c>
      <x:c r="M272" s="19" t="n">
        <x:f>IFERROR(K272/J272,0)</x:f>
        <x:v>0.2886178861788618</x:v>
      </x:c>
      <x:c r="N272" s="19" t="n">
        <x:f>IFERROR(L272/J272,0)</x:f>
        <x:v>0.6747967479674797</x:v>
      </x:c>
      <x:c r="O272" s="17" t="str">
        <x:f>IF(K272&gt;MAX(L272,S272),"קואליציית ההקמה 2022",IF(L272&gt;MAX(K272,S272),"אופוזיציה רחבה 2022","רשימות אחרות"))</x:f>
        <x:v>אופוזיציה רחבה 2022</x:v>
      </x:c>
      <x:c r="P272" s="17" t="str">
        <x:f>IF(AND(H272&lt;50%,N272&gt;50%),"כן","לא")</x:f>
        <x:v>לא</x:v>
      </x:c>
      <x:c r="Q272" s="18" t="n">
        <x:f>SUM(AV272,AJ272,AL272,T272,AN272)</x:f>
        <x:v>165</x:v>
      </x:c>
      <x:c r="R272" s="18" t="n">
        <x:f>SUM(Y272,AU272,X272)</x:f>
        <x:v>1</x:v>
      </x:c>
      <x:c r="S272" s="18" t="n">
        <x:f>J272-K272-L272</x:f>
        <x:v>9</x:v>
      </x:c>
      <x:c r="T272" s="18" t="n">
        <x:v>4</x:v>
      </x:c>
      <x:c r="U272" s="18" t="n">
        <x:v>1</x:v>
      </x:c>
      <x:c r="V272" s="18" t="n">
        <x:v>4</x:v>
      </x:c>
      <x:c r="W272" s="18" t="n">
        <x:v>0</x:v>
      </x:c>
      <x:c r="X272" s="18" t="n">
        <x:v>0</x:v>
      </x:c>
      <x:c r="Y272" s="18" t="n">
        <x:v>0</x:v>
      </x:c>
      <x:c r="Z272" s="18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6</x:v>
      </x:c>
      <x:c r="AE272" s="18" t="n">
        <x:v>0</x:v>
      </x:c>
      <x:c r="AF272" s="18" t="n">
        <x:v>0</x:v>
      </x:c>
      <x:c r="AG272" s="18" t="n">
        <x:v>0</x:v>
      </x:c>
      <x:c r="AH272" s="18" t="n">
        <x:v>0</x:v>
      </x:c>
      <x:c r="AI272" s="18" t="n">
        <x:v>0</x:v>
      </x:c>
      <x:c r="AJ272" s="18" t="n">
        <x:v>21</x:v>
      </x:c>
      <x:c r="AK272" s="18" t="n">
        <x:v>0</x:v>
      </x:c>
      <x:c r="AL272" s="18" t="n">
        <x:v>60</x:v>
      </x:c>
      <x:c r="AM272" s="18" t="n">
        <x:v>62</x:v>
      </x:c>
      <x:c r="AN272" s="18" t="n">
        <x:v>2</x:v>
      </x:c>
      <x:c r="AO272" s="18" t="n">
        <x:v>0</x:v>
      </x:c>
      <x:c r="AP272" s="18" t="n">
        <x:v>0</x:v>
      </x:c>
      <x:c r="AQ272" s="18" t="n">
        <x:v>0</x:v>
      </x:c>
      <x:c r="AR272" s="18" t="n">
        <x:v>0</x:v>
      </x:c>
      <x:c r="AS272" s="18" t="n">
        <x:v>0</x:v>
      </x:c>
      <x:c r="AT272" s="18" t="n">
        <x:v>0</x:v>
      </x:c>
      <x:c r="AU272" s="18" t="n">
        <x:v>1</x:v>
      </x:c>
      <x:c r="AV272" s="18" t="n">
        <x:v>78</x:v>
      </x:c>
      <x:c r="AW272" s="18" t="n">
        <x:v>0</x:v>
      </x:c>
      <x:c r="AX272" s="18" t="n">
        <x:v>0</x:v>
      </x:c>
      <x:c r="AY272" s="18" t="n">
        <x:v>0</x:v>
      </x:c>
      <x:c r="AZ272" s="18" t="n">
        <x:v>0</x:v>
      </x:c>
      <x:c r="BA272" s="18" t="n">
        <x:v>0</x:v>
      </x:c>
      <x:c r="BB272" s="18" t="n">
        <x:v>0</x:v>
      </x:c>
      <x:c r="BC272" s="18" t="n">
        <x:v>0</x:v>
      </x:c>
      <x:c r="BD272" s="18" t="n">
        <x:v>4</x:v>
      </x:c>
      <x:c r="BE272" s="18" t="n">
        <x:v>0</x:v>
      </x:c>
      <x:c r="BF272" s="18" t="n">
        <x:v>3</x:v>
      </x:c>
      <x:c r="BG272" s="18" t="n">
        <x:v>0</x:v>
      </x:c>
    </x:row>
    <x:row r="273">
      <x:c r="A273" s="29" t="str">
        <x:v>348</x:v>
      </x:c>
      <x:c r="B273" s="17" t="n">
        <x:v>2904</x:v>
      </x:c>
      <x:c r="C273" s="17" t="str">
        <x:v>תיכון חוגים ע"ש רחל מתוקי</x:v>
      </x:c>
      <x:c r="D273" s="17" t="str">
        <x:v>בלום לאון 9</x:v>
      </x:c>
      <x:c r="E273" s="17" t="str">
        <x:v>גבוה מאוד</x:v>
      </x:c>
      <x:c r="F273" s="18" t="n">
        <x:v>681</x:v>
      </x:c>
      <x:c r="G273" s="18" t="n">
        <x:v>346</x:v>
      </x:c>
      <x:c r="H273" s="19" t="n">
        <x:f>IFERROR(G273/F273,0)</x:f>
        <x:v>0.5080763582966226</x:v>
      </x:c>
      <x:c r="I273" s="18" t="n">
        <x:v>2</x:v>
      </x:c>
      <x:c r="J273" s="18" t="n">
        <x:v>344</x:v>
      </x:c>
      <x:c r="K273" s="18" t="n">
        <x:f>SUM(AM273,BF273,W273,AD273)</x:f>
        <x:v>94</x:v>
      </x:c>
      <x:c r="L273" s="18" t="n">
        <x:f>Q273+R273</x:f>
        <x:v>248</x:v>
      </x:c>
      <x:c r="M273" s="19" t="n">
        <x:f>IFERROR(K273/J273,0)</x:f>
        <x:v>0.27325581395348836</x:v>
      </x:c>
      <x:c r="N273" s="19" t="n">
        <x:f>IFERROR(L273/J273,0)</x:f>
        <x:v>0.7209302325581395</x:v>
      </x:c>
      <x:c r="O273" s="17" t="str">
        <x:f>IF(K273&gt;MAX(L273,S273),"קואליציית ההקמה 2022",IF(L273&gt;MAX(K273,S273),"אופוזיציה רחבה 2022","רשימות אחרות"))</x:f>
        <x:v>אופוזיציה רחבה 2022</x:v>
      </x:c>
      <x:c r="P273" s="17" t="str">
        <x:f>IF(AND(H273&lt;50%,N273&gt;50%),"כן","לא")</x:f>
        <x:v>לא</x:v>
      </x:c>
      <x:c r="Q273" s="18" t="n">
        <x:f>SUM(AV273,AJ273,AL273,T273,AN273)</x:f>
        <x:v>246</x:v>
      </x:c>
      <x:c r="R273" s="18" t="n">
        <x:f>SUM(Y273,AU273,X273)</x:f>
        <x:v>2</x:v>
      </x:c>
      <x:c r="S273" s="18" t="n">
        <x:f>J273-K273-L273</x:f>
        <x:v>2</x:v>
      </x:c>
      <x:c r="T273" s="18" t="n">
        <x:v>17</x:v>
      </x:c>
      <x:c r="U273" s="18" t="n">
        <x:v>0</x:v>
      </x:c>
      <x:c r="V273" s="18" t="n">
        <x:v>0</x:v>
      </x:c>
      <x:c r="W273" s="18" t="n">
        <x:v>1</x:v>
      </x:c>
      <x:c r="X273" s="18" t="n">
        <x:v>0</x:v>
      </x:c>
      <x:c r="Y273" s="18" t="n">
        <x:v>1</x:v>
      </x:c>
      <x:c r="Z273" s="18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10</x:v>
      </x:c>
      <x:c r="AE273" s="18" t="n">
        <x:v>0</x:v>
      </x:c>
      <x:c r="AF273" s="18" t="n">
        <x:v>0</x:v>
      </x:c>
      <x:c r="AG273" s="18" t="n">
        <x:v>0</x:v>
      </x:c>
      <x:c r="AH273" s="18" t="n">
        <x:v>0</x:v>
      </x:c>
      <x:c r="AI273" s="18" t="n">
        <x:v>0</x:v>
      </x:c>
      <x:c r="AJ273" s="18" t="n">
        <x:v>33</x:v>
      </x:c>
      <x:c r="AK273" s="18" t="n">
        <x:v>0</x:v>
      </x:c>
      <x:c r="AL273" s="18" t="n">
        <x:v>74</x:v>
      </x:c>
      <x:c r="AM273" s="18" t="n">
        <x:v>83</x:v>
      </x:c>
      <x:c r="AN273" s="18" t="n">
        <x:v>9</x:v>
      </x:c>
      <x:c r="AO273" s="18" t="n">
        <x:v>0</x:v>
      </x:c>
      <x:c r="AP273" s="18" t="n">
        <x:v>0</x:v>
      </x:c>
      <x:c r="AQ273" s="18" t="n">
        <x:v>0</x:v>
      </x:c>
      <x:c r="AR273" s="18" t="n">
        <x:v>0</x:v>
      </x:c>
      <x:c r="AS273" s="18" t="n">
        <x:v>0</x:v>
      </x:c>
      <x:c r="AT273" s="18" t="n">
        <x:v>0</x:v>
      </x:c>
      <x:c r="AU273" s="18" t="n">
        <x:v>1</x:v>
      </x:c>
      <x:c r="AV273" s="18" t="n">
        <x:v>113</x:v>
      </x:c>
      <x:c r="AW273" s="18" t="n">
        <x:v>0</x:v>
      </x:c>
      <x:c r="AX273" s="18" t="n">
        <x:v>0</x:v>
      </x:c>
      <x:c r="AY273" s="18" t="n">
        <x:v>0</x:v>
      </x:c>
      <x:c r="AZ273" s="18" t="n">
        <x:v>1</x:v>
      </x:c>
      <x:c r="BA273" s="18" t="n">
        <x:v>0</x:v>
      </x:c>
      <x:c r="BB273" s="18" t="n">
        <x:v>0</x:v>
      </x:c>
      <x:c r="BC273" s="18" t="n">
        <x:v>1</x:v>
      </x:c>
      <x:c r="BD273" s="18" t="n">
        <x:v>0</x:v>
      </x:c>
      <x:c r="BE273" s="18" t="n">
        <x:v>0</x:v>
      </x:c>
      <x:c r="BF273" s="18" t="n">
        <x:v>0</x:v>
      </x:c>
      <x:c r="BG273" s="18" t="n">
        <x:v>0</x:v>
      </x:c>
    </x:row>
    <x:row r="274">
      <x:c r="A274" s="29" t="str">
        <x:v>350.1</x:v>
      </x:c>
      <x:c r="B274" s="17" t="n">
        <x:v>3131</x:v>
      </x:c>
      <x:c r="C274" s="17" t="str">
        <x:v>עירוני ג חטיבת בינים בנין מצדה</x:v>
      </x:c>
      <x:c r="D274" s="17" t="str">
        <x:v>מימון הרב 23</x:v>
      </x:c>
      <x:c r="E274" s="17" t="str">
        <x:v>גבוה מאוד</x:v>
      </x:c>
      <x:c r="F274" s="18" t="n">
        <x:v>579</x:v>
      </x:c>
      <x:c r="G274" s="18" t="n">
        <x:v>361</x:v>
      </x:c>
      <x:c r="H274" s="19" t="n">
        <x:f>IFERROR(G274/F274,0)</x:f>
        <x:v>0.6234887737478411</x:v>
      </x:c>
      <x:c r="I274" s="18" t="n">
        <x:v>1</x:v>
      </x:c>
      <x:c r="J274" s="18" t="n">
        <x:v>360</x:v>
      </x:c>
      <x:c r="K274" s="18" t="n">
        <x:f>SUM(AM274,BF274,W274,AD274)</x:f>
        <x:v>205</x:v>
      </x:c>
      <x:c r="L274" s="18" t="n">
        <x:f>Q274+R274</x:f>
        <x:v>145</x:v>
      </x:c>
      <x:c r="M274" s="19" t="n">
        <x:f>IFERROR(K274/J274,0)</x:f>
        <x:v>0.5694444444444444</x:v>
      </x:c>
      <x:c r="N274" s="19" t="n">
        <x:f>IFERROR(L274/J274,0)</x:f>
        <x:v>0.4027777777777778</x:v>
      </x:c>
      <x:c r="O274" s="17" t="str">
        <x:f>IF(K274&gt;MAX(L274,S274),"קואליציית ההקמה 2022",IF(L274&gt;MAX(K274,S274),"אופוזיציה רחבה 2022","רשימות אחרות"))</x:f>
        <x:v>קואליציית ההקמה 2022</x:v>
      </x:c>
      <x:c r="P274" s="17" t="str">
        <x:f>IF(AND(H274&lt;50%,N274&gt;50%),"כן","לא")</x:f>
        <x:v>לא</x:v>
      </x:c>
      <x:c r="Q274" s="18" t="n">
        <x:f>SUM(AV274,AJ274,AL274,T274,AN274)</x:f>
        <x:v>145</x:v>
      </x:c>
      <x:c r="R274" s="18" t="n">
        <x:f>SUM(Y274,AU274,X274)</x:f>
        <x:v>0</x:v>
      </x:c>
      <x:c r="S274" s="18" t="n">
        <x:f>J274-K274-L274</x:f>
        <x:v>10</x:v>
      </x:c>
      <x:c r="T274" s="18" t="n">
        <x:v>10</x:v>
      </x:c>
      <x:c r="U274" s="18" t="n">
        <x:v>3</x:v>
      </x:c>
      <x:c r="V274" s="18" t="n">
        <x:v>2</x:v>
      </x:c>
      <x:c r="W274" s="18" t="n">
        <x:v>8</x:v>
      </x:c>
      <x:c r="X274" s="18" t="n">
        <x:v>0</x:v>
      </x:c>
      <x:c r="Y274" s="18" t="n">
        <x:v>0</x:v>
      </x:c>
      <x:c r="Z274" s="18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48</x:v>
      </x:c>
      <x:c r="AE274" s="18" t="n">
        <x:v>0</x:v>
      </x:c>
      <x:c r="AF274" s="18" t="n">
        <x:v>0</x:v>
      </x:c>
      <x:c r="AG274" s="18" t="n">
        <x:v>0</x:v>
      </x:c>
      <x:c r="AH274" s="18" t="n">
        <x:v>0</x:v>
      </x:c>
      <x:c r="AI274" s="18" t="n">
        <x:v>0</x:v>
      </x:c>
      <x:c r="AJ274" s="18" t="n">
        <x:v>36</x:v>
      </x:c>
      <x:c r="AK274" s="18" t="n">
        <x:v>0</x:v>
      </x:c>
      <x:c r="AL274" s="18" t="n">
        <x:v>21</x:v>
      </x:c>
      <x:c r="AM274" s="18" t="n">
        <x:v>138</x:v>
      </x:c>
      <x:c r="AN274" s="18" t="n">
        <x:v>6</x:v>
      </x:c>
      <x:c r="AO274" s="18" t="n">
        <x:v>0</x:v>
      </x:c>
      <x:c r="AP274" s="18" t="n">
        <x:v>0</x:v>
      </x:c>
      <x:c r="AQ274" s="18" t="n">
        <x:v>0</x:v>
      </x:c>
      <x:c r="AR274" s="18" t="n">
        <x:v>0</x:v>
      </x:c>
      <x:c r="AS274" s="18" t="n">
        <x:v>0</x:v>
      </x:c>
      <x:c r="AT274" s="18" t="n">
        <x:v>0</x:v>
      </x:c>
      <x:c r="AU274" s="18" t="n">
        <x:v>0</x:v>
      </x:c>
      <x:c r="AV274" s="18" t="n">
        <x:v>72</x:v>
      </x:c>
      <x:c r="AW274" s="18" t="n">
        <x:v>0</x:v>
      </x:c>
      <x:c r="AX274" s="18" t="n">
        <x:v>0</x:v>
      </x:c>
      <x:c r="AY274" s="18" t="n">
        <x:v>0</x:v>
      </x:c>
      <x:c r="AZ274" s="18" t="n">
        <x:v>0</x:v>
      </x:c>
      <x:c r="BA274" s="18" t="n">
        <x:v>0</x:v>
      </x:c>
      <x:c r="BB274" s="18" t="n">
        <x:v>0</x:v>
      </x:c>
      <x:c r="BC274" s="18" t="n">
        <x:v>0</x:v>
      </x:c>
      <x:c r="BD274" s="18" t="n">
        <x:v>4</x:v>
      </x:c>
      <x:c r="BE274" s="18" t="n">
        <x:v>0</x:v>
      </x:c>
      <x:c r="BF274" s="18" t="n">
        <x:v>11</x:v>
      </x:c>
      <x:c r="BG274" s="18" t="n">
        <x:v>1</x:v>
      </x:c>
    </x:row>
    <x:row r="275">
      <x:c r="A275" s="29" t="str">
        <x:v>350.2</x:v>
      </x:c>
      <x:c r="B275" s="17" t="n">
        <x:v>3132</x:v>
      </x:c>
      <x:c r="C275" s="17" t="str">
        <x:v>עירוני ג חטיבת בינים בנין מצדה</x:v>
      </x:c>
      <x:c r="D275" s="17" t="str">
        <x:v>מימון הרב 23</x:v>
      </x:c>
      <x:c r="E275" s="17" t="str">
        <x:v>גבוה מאוד</x:v>
      </x:c>
      <x:c r="F275" s="18" t="n">
        <x:v>579</x:v>
      </x:c>
      <x:c r="G275" s="18" t="n">
        <x:v>381</x:v>
      </x:c>
      <x:c r="H275" s="19" t="n">
        <x:f>IFERROR(G275/F275,0)</x:f>
        <x:v>0.6580310880829016</x:v>
      </x:c>
      <x:c r="I275" s="18" t="n">
        <x:v>0</x:v>
      </x:c>
      <x:c r="J275" s="18" t="n">
        <x:v>381</x:v>
      </x:c>
      <x:c r="K275" s="18" t="n">
        <x:f>SUM(AM275,BF275,W275,AD275)</x:f>
        <x:v>192</x:v>
      </x:c>
      <x:c r="L275" s="18" t="n">
        <x:f>Q275+R275</x:f>
        <x:v>183</x:v>
      </x:c>
      <x:c r="M275" s="19" t="n">
        <x:f>IFERROR(K275/J275,0)</x:f>
        <x:v>0.5039370078740157</x:v>
      </x:c>
      <x:c r="N275" s="19" t="n">
        <x:f>IFERROR(L275/J275,0)</x:f>
        <x:v>0.48031496062992124</x:v>
      </x:c>
      <x:c r="O275" s="17" t="str">
        <x:f>IF(K275&gt;MAX(L275,S275),"קואליציית ההקמה 2022",IF(L275&gt;MAX(K275,S275),"אופוזיציה רחבה 2022","רשימות אחרות"))</x:f>
        <x:v>קואליציית ההקמה 2022</x:v>
      </x:c>
      <x:c r="P275" s="17" t="str">
        <x:f>IF(AND(H275&lt;50%,N275&gt;50%),"כן","לא")</x:f>
        <x:v>לא</x:v>
      </x:c>
      <x:c r="Q275" s="18" t="n">
        <x:f>SUM(AV275,AJ275,AL275,T275,AN275)</x:f>
        <x:v>182</x:v>
      </x:c>
      <x:c r="R275" s="18" t="n">
        <x:f>SUM(Y275,AU275,X275)</x:f>
        <x:v>1</x:v>
      </x:c>
      <x:c r="S275" s="18" t="n">
        <x:f>J275-K275-L275</x:f>
        <x:v>6</x:v>
      </x:c>
      <x:c r="T275" s="18" t="n">
        <x:v>17</x:v>
      </x:c>
      <x:c r="U275" s="18" t="n">
        <x:v>0</x:v>
      </x:c>
      <x:c r="V275" s="18" t="n">
        <x:v>3</x:v>
      </x:c>
      <x:c r="W275" s="18" t="n">
        <x:v>22</x:v>
      </x:c>
      <x:c r="X275" s="18" t="n">
        <x:v>0</x:v>
      </x:c>
      <x:c r="Y275" s="18" t="n">
        <x:v>1</x:v>
      </x:c>
      <x:c r="Z275" s="18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50</x:v>
      </x:c>
      <x:c r="AE275" s="18" t="n">
        <x:v>0</x:v>
      </x:c>
      <x:c r="AF275" s="18" t="n">
        <x:v>1</x:v>
      </x:c>
      <x:c r="AG275" s="18" t="n">
        <x:v>0</x:v>
      </x:c>
      <x:c r="AH275" s="18" t="n">
        <x:v>0</x:v>
      </x:c>
      <x:c r="AI275" s="18" t="n">
        <x:v>0</x:v>
      </x:c>
      <x:c r="AJ275" s="18" t="n">
        <x:v>62</x:v>
      </x:c>
      <x:c r="AK275" s="18" t="n">
        <x:v>0</x:v>
      </x:c>
      <x:c r="AL275" s="18" t="n">
        <x:v>24</x:v>
      </x:c>
      <x:c r="AM275" s="18" t="n">
        <x:v>104</x:v>
      </x:c>
      <x:c r="AN275" s="18" t="n">
        <x:v>10</x:v>
      </x:c>
      <x:c r="AO275" s="18" t="n">
        <x:v>0</x:v>
      </x:c>
      <x:c r="AP275" s="18" t="n">
        <x:v>1</x:v>
      </x:c>
      <x:c r="AQ275" s="18" t="n">
        <x:v>0</x:v>
      </x:c>
      <x:c r="AR275" s="18" t="n">
        <x:v>0</x:v>
      </x:c>
      <x:c r="AS275" s="18" t="n">
        <x:v>0</x:v>
      </x:c>
      <x:c r="AT275" s="18" t="n">
        <x:v>0</x:v>
      </x:c>
      <x:c r="AU275" s="18" t="n">
        <x:v>0</x:v>
      </x:c>
      <x:c r="AV275" s="18" t="n">
        <x:v>69</x:v>
      </x:c>
      <x:c r="AW275" s="18" t="n">
        <x:v>0</x:v>
      </x:c>
      <x:c r="AX275" s="18" t="n">
        <x:v>0</x:v>
      </x:c>
      <x:c r="AY275" s="18" t="n">
        <x:v>0</x:v>
      </x:c>
      <x:c r="AZ275" s="18" t="n">
        <x:v>0</x:v>
      </x:c>
      <x:c r="BA275" s="18" t="n">
        <x:v>0</x:v>
      </x:c>
      <x:c r="BB275" s="18" t="n">
        <x:v>0</x:v>
      </x:c>
      <x:c r="BC275" s="18" t="n">
        <x:v>0</x:v>
      </x:c>
      <x:c r="BD275" s="18" t="n">
        <x:v>1</x:v>
      </x:c>
      <x:c r="BE275" s="18" t="n">
        <x:v>0</x:v>
      </x:c>
      <x:c r="BF275" s="18" t="n">
        <x:v>16</x:v>
      </x:c>
      <x:c r="BG275" s="18" t="n">
        <x:v>0</x:v>
      </x:c>
    </x:row>
    <x:row r="276">
      <x:c r="A276" s="29" t="str">
        <x:v>350.3</x:v>
      </x:c>
      <x:c r="B276" s="17" t="n">
        <x:v>3133</x:v>
      </x:c>
      <x:c r="C276" s="17" t="str">
        <x:v>עירוני ג חטיבת בינים בנין מצדה</x:v>
      </x:c>
      <x:c r="D276" s="17" t="str">
        <x:v>מימון הרב 23</x:v>
      </x:c>
      <x:c r="E276" s="17" t="str">
        <x:v>גבוה מאוד</x:v>
      </x:c>
      <x:c r="F276" s="18" t="n">
        <x:v>579</x:v>
      </x:c>
      <x:c r="G276" s="18" t="n">
        <x:v>350</x:v>
      </x:c>
      <x:c r="H276" s="19" t="n">
        <x:f>IFERROR(G276/F276,0)</x:f>
        <x:v>0.6044905008635578</x:v>
      </x:c>
      <x:c r="I276" s="18" t="n">
        <x:v>1</x:v>
      </x:c>
      <x:c r="J276" s="18" t="n">
        <x:v>349</x:v>
      </x:c>
      <x:c r="K276" s="18" t="n">
        <x:f>SUM(AM276,BF276,W276,AD276)</x:f>
        <x:v>195</x:v>
      </x:c>
      <x:c r="L276" s="18" t="n">
        <x:f>Q276+R276</x:f>
        <x:v>140</x:v>
      </x:c>
      <x:c r="M276" s="19" t="n">
        <x:f>IFERROR(K276/J276,0)</x:f>
        <x:v>0.5587392550143266</x:v>
      </x:c>
      <x:c r="N276" s="19" t="n">
        <x:f>IFERROR(L276/J276,0)</x:f>
        <x:v>0.40114613180515757</x:v>
      </x:c>
      <x:c r="O276" s="17" t="str">
        <x:f>IF(K276&gt;MAX(L276,S276),"קואליציית ההקמה 2022",IF(L276&gt;MAX(K276,S276),"אופוזיציה רחבה 2022","רשימות אחרות"))</x:f>
        <x:v>קואליציית ההקמה 2022</x:v>
      </x:c>
      <x:c r="P276" s="17" t="str">
        <x:f>IF(AND(H276&lt;50%,N276&gt;50%),"כן","לא")</x:f>
        <x:v>לא</x:v>
      </x:c>
      <x:c r="Q276" s="18" t="n">
        <x:f>SUM(AV276,AJ276,AL276,T276,AN276)</x:f>
        <x:v>138</x:v>
      </x:c>
      <x:c r="R276" s="18" t="n">
        <x:f>SUM(Y276,AU276,X276)</x:f>
        <x:v>2</x:v>
      </x:c>
      <x:c r="S276" s="18" t="n">
        <x:f>J276-K276-L276</x:f>
        <x:v>14</x:v>
      </x:c>
      <x:c r="T276" s="18" t="n">
        <x:v>12</x:v>
      </x:c>
      <x:c r="U276" s="18" t="n">
        <x:v>2</x:v>
      </x:c>
      <x:c r="V276" s="18" t="n">
        <x:v>7</x:v>
      </x:c>
      <x:c r="W276" s="18" t="n">
        <x:v>28</x:v>
      </x:c>
      <x:c r="X276" s="18" t="n">
        <x:v>0</x:v>
      </x:c>
      <x:c r="Y276" s="18" t="n">
        <x:v>2</x:v>
      </x:c>
      <x:c r="Z276" s="18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47</x:v>
      </x:c>
      <x:c r="AE276" s="18" t="n">
        <x:v>0</x:v>
      </x:c>
      <x:c r="AF276" s="18" t="n">
        <x:v>2</x:v>
      </x:c>
      <x:c r="AG276" s="18" t="n">
        <x:v>0</x:v>
      </x:c>
      <x:c r="AH276" s="18" t="n">
        <x:v>0</x:v>
      </x:c>
      <x:c r="AI276" s="18" t="n">
        <x:v>0</x:v>
      </x:c>
      <x:c r="AJ276" s="18" t="n">
        <x:v>25</x:v>
      </x:c>
      <x:c r="AK276" s="18" t="n">
        <x:v>0</x:v>
      </x:c>
      <x:c r="AL276" s="18" t="n">
        <x:v>16</x:v>
      </x:c>
      <x:c r="AM276" s="18" t="n">
        <x:v>92</x:v>
      </x:c>
      <x:c r="AN276" s="18" t="n">
        <x:v>5</x:v>
      </x:c>
      <x:c r="AO276" s="18" t="n">
        <x:v>0</x:v>
      </x:c>
      <x:c r="AP276" s="18" t="n">
        <x:v>2</x:v>
      </x:c>
      <x:c r="AQ276" s="18" t="n">
        <x:v>0</x:v>
      </x:c>
      <x:c r="AR276" s="18" t="n">
        <x:v>0</x:v>
      </x:c>
      <x:c r="AS276" s="18" t="n">
        <x:v>0</x:v>
      </x:c>
      <x:c r="AT276" s="18" t="n">
        <x:v>0</x:v>
      </x:c>
      <x:c r="AU276" s="18" t="n">
        <x:v>0</x:v>
      </x:c>
      <x:c r="AV276" s="18" t="n">
        <x:v>80</x:v>
      </x:c>
      <x:c r="AW276" s="18" t="n">
        <x:v>0</x:v>
      </x:c>
      <x:c r="AX276" s="18" t="n">
        <x:v>1</x:v>
      </x:c>
      <x:c r="AY276" s="18" t="n">
        <x:v>0</x:v>
      </x:c>
      <x:c r="AZ276" s="18" t="n">
        <x:v>0</x:v>
      </x:c>
      <x:c r="BA276" s="18" t="n">
        <x:v>0</x:v>
      </x:c>
      <x:c r="BB276" s="18" t="n">
        <x:v>0</x:v>
      </x:c>
      <x:c r="BC276" s="18" t="n">
        <x:v>0</x:v>
      </x:c>
      <x:c r="BD276" s="18" t="n">
        <x:v>0</x:v>
      </x:c>
      <x:c r="BE276" s="18" t="n">
        <x:v>0</x:v>
      </x:c>
      <x:c r="BF276" s="18" t="n">
        <x:v>28</x:v>
      </x:c>
      <x:c r="BG276" s="18" t="n">
        <x:v>0</x:v>
      </x:c>
    </x:row>
    <x:row r="277">
      <x:c r="A277" s="29" t="str">
        <x:v>350.4</x:v>
      </x:c>
      <x:c r="B277" s="17" t="n">
        <x:v>3134</x:v>
      </x:c>
      <x:c r="C277" s="17" t="str">
        <x:v>עירוני ג חטיבת בינים בנין מצדה</x:v>
      </x:c>
      <x:c r="D277" s="17" t="str">
        <x:v>מימון הרב 23</x:v>
      </x:c>
      <x:c r="E277" s="17" t="str">
        <x:v>גבוה מאוד</x:v>
      </x:c>
      <x:c r="F277" s="18" t="n">
        <x:v>579</x:v>
      </x:c>
      <x:c r="G277" s="18" t="n">
        <x:v>337</x:v>
      </x:c>
      <x:c r="H277" s="19" t="n">
        <x:f>IFERROR(G277/F277,0)</x:f>
        <x:v>0.5820379965457686</x:v>
      </x:c>
      <x:c r="I277" s="18" t="n">
        <x:v>2</x:v>
      </x:c>
      <x:c r="J277" s="18" t="n">
        <x:v>335</x:v>
      </x:c>
      <x:c r="K277" s="18" t="n">
        <x:f>SUM(AM277,BF277,W277,AD277)</x:f>
        <x:v>158</x:v>
      </x:c>
      <x:c r="L277" s="18" t="n">
        <x:f>Q277+R277</x:f>
        <x:v>160</x:v>
      </x:c>
      <x:c r="M277" s="19" t="n">
        <x:f>IFERROR(K277/J277,0)</x:f>
        <x:v>0.4716417910447761</x:v>
      </x:c>
      <x:c r="N277" s="19" t="n">
        <x:f>IFERROR(L277/J277,0)</x:f>
        <x:v>0.47761194029850745</x:v>
      </x:c>
      <x:c r="O277" s="17" t="str">
        <x:f>IF(K277&gt;MAX(L277,S277),"קואליציית ההקמה 2022",IF(L277&gt;MAX(K277,S277),"אופוזיציה רחבה 2022","רשימות אחרות"))</x:f>
        <x:v>אופוזיציה רחבה 2022</x:v>
      </x:c>
      <x:c r="P277" s="17" t="str">
        <x:f>IF(AND(H277&lt;50%,N277&gt;50%),"כן","לא")</x:f>
        <x:v>לא</x:v>
      </x:c>
      <x:c r="Q277" s="18" t="n">
        <x:f>SUM(AV277,AJ277,AL277,T277,AN277)</x:f>
        <x:v>160</x:v>
      </x:c>
      <x:c r="R277" s="18" t="n">
        <x:f>SUM(Y277,AU277,X277)</x:f>
        <x:v>0</x:v>
      </x:c>
      <x:c r="S277" s="18" t="n">
        <x:f>J277-K277-L277</x:f>
        <x:v>17</x:v>
      </x:c>
      <x:c r="T277" s="18" t="n">
        <x:v>13</x:v>
      </x:c>
      <x:c r="U277" s="18" t="n">
        <x:v>1</x:v>
      </x:c>
      <x:c r="V277" s="18" t="n">
        <x:v>10</x:v>
      </x:c>
      <x:c r="W277" s="18" t="n">
        <x:v>25</x:v>
      </x:c>
      <x:c r="X277" s="18" t="n">
        <x:v>0</x:v>
      </x:c>
      <x:c r="Y277" s="18" t="n">
        <x:v>0</x:v>
      </x:c>
      <x:c r="Z277" s="18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30</x:v>
      </x:c>
      <x:c r="AE277" s="18" t="n">
        <x:v>0</x:v>
      </x:c>
      <x:c r="AF277" s="18" t="n">
        <x:v>0</x:v>
      </x:c>
      <x:c r="AG277" s="18" t="n">
        <x:v>0</x:v>
      </x:c>
      <x:c r="AH277" s="18" t="n">
        <x:v>0</x:v>
      </x:c>
      <x:c r="AI277" s="18" t="n">
        <x:v>0</x:v>
      </x:c>
      <x:c r="AJ277" s="18" t="n">
        <x:v>31</x:v>
      </x:c>
      <x:c r="AK277" s="18" t="n">
        <x:v>0</x:v>
      </x:c>
      <x:c r="AL277" s="18" t="n">
        <x:v>15</x:v>
      </x:c>
      <x:c r="AM277" s="18" t="n">
        <x:v>82</x:v>
      </x:c>
      <x:c r="AN277" s="18" t="n">
        <x:v>8</x:v>
      </x:c>
      <x:c r="AO277" s="18" t="n">
        <x:v>0</x:v>
      </x:c>
      <x:c r="AP277" s="18" t="n">
        <x:v>0</x:v>
      </x:c>
      <x:c r="AQ277" s="18" t="n">
        <x:v>0</x:v>
      </x:c>
      <x:c r="AR277" s="18" t="n">
        <x:v>0</x:v>
      </x:c>
      <x:c r="AS277" s="18" t="n">
        <x:v>0</x:v>
      </x:c>
      <x:c r="AT277" s="18" t="n">
        <x:v>0</x:v>
      </x:c>
      <x:c r="AU277" s="18" t="n">
        <x:v>0</x:v>
      </x:c>
      <x:c r="AV277" s="18" t="n">
        <x:v>93</x:v>
      </x:c>
      <x:c r="AW277" s="18" t="n">
        <x:v>0</x:v>
      </x:c>
      <x:c r="AX277" s="18" t="n">
        <x:v>1</x:v>
      </x:c>
      <x:c r="AY277" s="18" t="n">
        <x:v>0</x:v>
      </x:c>
      <x:c r="AZ277" s="18" t="n">
        <x:v>1</x:v>
      </x:c>
      <x:c r="BA277" s="18" t="n">
        <x:v>0</x:v>
      </x:c>
      <x:c r="BB277" s="18" t="n">
        <x:v>0</x:v>
      </x:c>
      <x:c r="BC277" s="18" t="n">
        <x:v>0</x:v>
      </x:c>
      <x:c r="BD277" s="18" t="n">
        <x:v>3</x:v>
      </x:c>
      <x:c r="BE277" s="18" t="n">
        <x:v>1</x:v>
      </x:c>
      <x:c r="BF277" s="18" t="n">
        <x:v>21</x:v>
      </x:c>
      <x:c r="BG277" s="18" t="n">
        <x:v>0</x:v>
      </x:c>
    </x:row>
    <x:row r="278">
      <x:c r="A278" s="29" t="str">
        <x:v>351.1</x:v>
      </x:c>
      <x:c r="B278" s="17" t="n">
        <x:v>3161</x:v>
      </x:c>
      <x:c r="C278" s="17" t="str">
        <x:v>בי"ס תיכון עירוני ו</x:v>
      </x:c>
      <x:c r="D278" s="17" t="str">
        <x:v>דרך יד לבנים 97</x:v>
      </x:c>
      <x:c r="E278" s="17" t="str">
        <x:v>גבוה מאוד</x:v>
      </x:c>
      <x:c r="F278" s="18" t="n">
        <x:v>601</x:v>
      </x:c>
      <x:c r="G278" s="18" t="n">
        <x:v>260</x:v>
      </x:c>
      <x:c r="H278" s="19" t="n">
        <x:f>IFERROR(G278/F278,0)</x:f>
        <x:v>0.43261231281198004</x:v>
      </x:c>
      <x:c r="I278" s="18" t="n">
        <x:v>2</x:v>
      </x:c>
      <x:c r="J278" s="18" t="n">
        <x:v>258</x:v>
      </x:c>
      <x:c r="K278" s="18" t="n">
        <x:f>SUM(AM278,BF278,W278,AD278)</x:f>
        <x:v>134</x:v>
      </x:c>
      <x:c r="L278" s="18" t="n">
        <x:f>Q278+R278</x:f>
        <x:v>116</x:v>
      </x:c>
      <x:c r="M278" s="19" t="n">
        <x:f>IFERROR(K278/J278,0)</x:f>
        <x:v>0.5193798449612403</x:v>
      </x:c>
      <x:c r="N278" s="19" t="n">
        <x:f>IFERROR(L278/J278,0)</x:f>
        <x:v>0.4496124031007752</x:v>
      </x:c>
      <x:c r="O278" s="17" t="str">
        <x:f>IF(K278&gt;MAX(L278,S278),"קואליציית ההקמה 2022",IF(L278&gt;MAX(K278,S278),"אופוזיציה רחבה 2022","רשימות אחרות"))</x:f>
        <x:v>קואליציית ההקמה 2022</x:v>
      </x:c>
      <x:c r="P278" s="17" t="str">
        <x:f>IF(AND(H278&lt;50%,N278&gt;50%),"כן","לא")</x:f>
        <x:v>לא</x:v>
      </x:c>
      <x:c r="Q278" s="18" t="n">
        <x:f>SUM(AV278,AJ278,AL278,T278,AN278)</x:f>
        <x:v>96</x:v>
      </x:c>
      <x:c r="R278" s="18" t="n">
        <x:f>SUM(Y278,AU278,X278)</x:f>
        <x:v>20</x:v>
      </x:c>
      <x:c r="S278" s="18" t="n">
        <x:f>J278-K278-L278</x:f>
        <x:v>8</x:v>
      </x:c>
      <x:c r="T278" s="18" t="n">
        <x:v>1</x:v>
      </x:c>
      <x:c r="U278" s="18" t="n">
        <x:v>3</x:v>
      </x:c>
      <x:c r="V278" s="18" t="n">
        <x:v>2</x:v>
      </x:c>
      <x:c r="W278" s="18" t="n">
        <x:v>0</x:v>
      </x:c>
      <x:c r="X278" s="18" t="n">
        <x:v>4</x:v>
      </x:c>
      <x:c r="Y278" s="18" t="n">
        <x:v>15</x:v>
      </x:c>
      <x:c r="Z278" s="18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23</x:v>
      </x:c>
      <x:c r="AE278" s="18" t="n">
        <x:v>0</x:v>
      </x:c>
      <x:c r="AF278" s="18" t="n">
        <x:v>1</x:v>
      </x:c>
      <x:c r="AG278" s="18" t="n">
        <x:v>0</x:v>
      </x:c>
      <x:c r="AH278" s="18" t="n">
        <x:v>0</x:v>
      </x:c>
      <x:c r="AI278" s="18" t="n">
        <x:v>0</x:v>
      </x:c>
      <x:c r="AJ278" s="18" t="n">
        <x:v>11</x:v>
      </x:c>
      <x:c r="AK278" s="18" t="n">
        <x:v>0</x:v>
      </x:c>
      <x:c r="AL278" s="18" t="n">
        <x:v>42</x:v>
      </x:c>
      <x:c r="AM278" s="18" t="n">
        <x:v>93</x:v>
      </x:c>
      <x:c r="AN278" s="18" t="n">
        <x:v>4</x:v>
      </x:c>
      <x:c r="AO278" s="18" t="n">
        <x:v>0</x:v>
      </x:c>
      <x:c r="AP278" s="18" t="n">
        <x:v>0</x:v>
      </x:c>
      <x:c r="AQ278" s="18" t="n">
        <x:v>0</x:v>
      </x:c>
      <x:c r="AR278" s="18" t="n">
        <x:v>0</x:v>
      </x:c>
      <x:c r="AS278" s="18" t="n">
        <x:v>0</x:v>
      </x:c>
      <x:c r="AT278" s="18" t="n">
        <x:v>0</x:v>
      </x:c>
      <x:c r="AU278" s="18" t="n">
        <x:v>1</x:v>
      </x:c>
      <x:c r="AV278" s="18" t="n">
        <x:v>38</x:v>
      </x:c>
      <x:c r="AW278" s="18" t="n">
        <x:v>0</x:v>
      </x:c>
      <x:c r="AX278" s="18" t="n">
        <x:v>0</x:v>
      </x:c>
      <x:c r="AY278" s="18" t="n">
        <x:v>0</x:v>
      </x:c>
      <x:c r="AZ278" s="18" t="n">
        <x:v>0</x:v>
      </x:c>
      <x:c r="BA278" s="18" t="n">
        <x:v>0</x:v>
      </x:c>
      <x:c r="BB278" s="18" t="n">
        <x:v>0</x:v>
      </x:c>
      <x:c r="BC278" s="18" t="n">
        <x:v>0</x:v>
      </x:c>
      <x:c r="BD278" s="18" t="n">
        <x:v>2</x:v>
      </x:c>
      <x:c r="BE278" s="18" t="n">
        <x:v>0</x:v>
      </x:c>
      <x:c r="BF278" s="18" t="n">
        <x:v>18</x:v>
      </x:c>
      <x:c r="BG278" s="18" t="n">
        <x:v>0</x:v>
      </x:c>
    </x:row>
    <x:row r="279">
      <x:c r="A279" s="29" t="str">
        <x:v>351.2</x:v>
      </x:c>
      <x:c r="B279" s="17" t="n">
        <x:v>3162</x:v>
      </x:c>
      <x:c r="C279" s="17" t="str">
        <x:v>בי"ס תיכון עירוני ו</x:v>
      </x:c>
      <x:c r="D279" s="17" t="str">
        <x:v>דרך יד לבנים 97</x:v>
      </x:c>
      <x:c r="E279" s="17" t="str">
        <x:v>גבוה מאוד</x:v>
      </x:c>
      <x:c r="F279" s="18" t="n">
        <x:v>601</x:v>
      </x:c>
      <x:c r="G279" s="18" t="n">
        <x:v>259</x:v>
      </x:c>
      <x:c r="H279" s="19" t="n">
        <x:f>IFERROR(G279/F279,0)</x:f>
        <x:v>0.43094841930116473</x:v>
      </x:c>
      <x:c r="I279" s="18" t="n">
        <x:v>5</x:v>
      </x:c>
      <x:c r="J279" s="18" t="n">
        <x:v>254</x:v>
      </x:c>
      <x:c r="K279" s="18" t="n">
        <x:f>SUM(AM279,BF279,W279,AD279)</x:f>
        <x:v>105</x:v>
      </x:c>
      <x:c r="L279" s="18" t="n">
        <x:f>Q279+R279</x:f>
        <x:v>139</x:v>
      </x:c>
      <x:c r="M279" s="19" t="n">
        <x:f>IFERROR(K279/J279,0)</x:f>
        <x:v>0.41338582677165353</x:v>
      </x:c>
      <x:c r="N279" s="19" t="n">
        <x:f>IFERROR(L279/J279,0)</x:f>
        <x:v>0.547244094488189</x:v>
      </x:c>
      <x:c r="O279" s="17" t="str">
        <x:f>IF(K279&gt;MAX(L279,S279),"קואליציית ההקמה 2022",IF(L279&gt;MAX(K279,S279),"אופוזיציה רחבה 2022","רשימות אחרות"))</x:f>
        <x:v>אופוזיציה רחבה 2022</x:v>
      </x:c>
      <x:c r="P279" s="17" t="str">
        <x:f>IF(AND(H279&lt;50%,N279&gt;50%),"כן","לא")</x:f>
        <x:v>כן</x:v>
      </x:c>
      <x:c r="Q279" s="18" t="n">
        <x:f>SUM(AV279,AJ279,AL279,T279,AN279)</x:f>
        <x:v>129</x:v>
      </x:c>
      <x:c r="R279" s="18" t="n">
        <x:f>SUM(Y279,AU279,X279)</x:f>
        <x:v>10</x:v>
      </x:c>
      <x:c r="S279" s="18" t="n">
        <x:f>J279-K279-L279</x:f>
        <x:v>10</x:v>
      </x:c>
      <x:c r="T279" s="18" t="n">
        <x:v>7</x:v>
      </x:c>
      <x:c r="U279" s="18" t="n">
        <x:v>1</x:v>
      </x:c>
      <x:c r="V279" s="18" t="n">
        <x:v>1</x:v>
      </x:c>
      <x:c r="W279" s="18" t="n">
        <x:v>1</x:v>
      </x:c>
      <x:c r="X279" s="18" t="n">
        <x:v>4</x:v>
      </x:c>
      <x:c r="Y279" s="18" t="n">
        <x:v>2</x:v>
      </x:c>
      <x:c r="Z279" s="18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20</x:v>
      </x:c>
      <x:c r="AE279" s="18" t="n">
        <x:v>0</x:v>
      </x:c>
      <x:c r="AF279" s="18" t="n">
        <x:v>2</x:v>
      </x:c>
      <x:c r="AG279" s="18" t="n">
        <x:v>0</x:v>
      </x:c>
      <x:c r="AH279" s="18" t="n">
        <x:v>0</x:v>
      </x:c>
      <x:c r="AI279" s="18" t="n">
        <x:v>0</x:v>
      </x:c>
      <x:c r="AJ279" s="18" t="n">
        <x:v>11</x:v>
      </x:c>
      <x:c r="AK279" s="18" t="n">
        <x:v>0</x:v>
      </x:c>
      <x:c r="AL279" s="18" t="n">
        <x:v>46</x:v>
      </x:c>
      <x:c r="AM279" s="18" t="n">
        <x:v>73</x:v>
      </x:c>
      <x:c r="AN279" s="18" t="n">
        <x:v>7</x:v>
      </x:c>
      <x:c r="AO279" s="18" t="n">
        <x:v>0</x:v>
      </x:c>
      <x:c r="AP279" s="18" t="n">
        <x:v>0</x:v>
      </x:c>
      <x:c r="AQ279" s="18" t="n">
        <x:v>0</x:v>
      </x:c>
      <x:c r="AR279" s="18" t="n">
        <x:v>0</x:v>
      </x:c>
      <x:c r="AS279" s="18" t="n">
        <x:v>0</x:v>
      </x:c>
      <x:c r="AT279" s="18" t="n">
        <x:v>0</x:v>
      </x:c>
      <x:c r="AU279" s="18" t="n">
        <x:v>4</x:v>
      </x:c>
      <x:c r="AV279" s="18" t="n">
        <x:v>58</x:v>
      </x:c>
      <x:c r="AW279" s="18" t="n">
        <x:v>2</x:v>
      </x:c>
      <x:c r="AX279" s="18" t="n">
        <x:v>1</x:v>
      </x:c>
      <x:c r="AY279" s="18" t="n">
        <x:v>0</x:v>
      </x:c>
      <x:c r="AZ279" s="18" t="n">
        <x:v>0</x:v>
      </x:c>
      <x:c r="BA279" s="18" t="n">
        <x:v>1</x:v>
      </x:c>
      <x:c r="BB279" s="18" t="n">
        <x:v>0</x:v>
      </x:c>
      <x:c r="BC279" s="18" t="n">
        <x:v>0</x:v>
      </x:c>
      <x:c r="BD279" s="18" t="n">
        <x:v>1</x:v>
      </x:c>
      <x:c r="BE279" s="18" t="n">
        <x:v>0</x:v>
      </x:c>
      <x:c r="BF279" s="18" t="n">
        <x:v>11</x:v>
      </x:c>
      <x:c r="BG279" s="18" t="n">
        <x:v>1</x:v>
      </x:c>
    </x:row>
    <x:row r="280">
      <x:c r="A280" s="29" t="str">
        <x:v>351.3</x:v>
      </x:c>
      <x:c r="B280" s="17" t="n">
        <x:v>3163</x:v>
      </x:c>
      <x:c r="C280" s="17" t="str">
        <x:v>בי"ס תיכון עירוני ו</x:v>
      </x:c>
      <x:c r="D280" s="17" t="str">
        <x:v>דרך יד לבנים 97</x:v>
      </x:c>
      <x:c r="E280" s="17" t="str">
        <x:v>גבוה מאוד</x:v>
      </x:c>
      <x:c r="F280" s="18" t="n">
        <x:v>601</x:v>
      </x:c>
      <x:c r="G280" s="18" t="n">
        <x:v>285</x:v>
      </x:c>
      <x:c r="H280" s="19" t="n">
        <x:f>IFERROR(G280/F280,0)</x:f>
        <x:v>0.47420965058236275</x:v>
      </x:c>
      <x:c r="I280" s="18" t="n">
        <x:v>5</x:v>
      </x:c>
      <x:c r="J280" s="18" t="n">
        <x:v>280</x:v>
      </x:c>
      <x:c r="K280" s="18" t="n">
        <x:f>SUM(AM280,BF280,W280,AD280)</x:f>
        <x:v>119</x:v>
      </x:c>
      <x:c r="L280" s="18" t="n">
        <x:f>Q280+R280</x:f>
        <x:v>149</x:v>
      </x:c>
      <x:c r="M280" s="19" t="n">
        <x:f>IFERROR(K280/J280,0)</x:f>
        <x:v>0.425</x:v>
      </x:c>
      <x:c r="N280" s="19" t="n">
        <x:f>IFERROR(L280/J280,0)</x:f>
        <x:v>0.5321428571428571</x:v>
      </x:c>
      <x:c r="O280" s="17" t="str">
        <x:f>IF(K280&gt;MAX(L280,S280),"קואליציית ההקמה 2022",IF(L280&gt;MAX(K280,S280),"אופוזיציה רחבה 2022","רשימות אחרות"))</x:f>
        <x:v>אופוזיציה רחבה 2022</x:v>
      </x:c>
      <x:c r="P280" s="17" t="str">
        <x:f>IF(AND(H280&lt;50%,N280&gt;50%),"כן","לא")</x:f>
        <x:v>כן</x:v>
      </x:c>
      <x:c r="Q280" s="18" t="n">
        <x:f>SUM(AV280,AJ280,AL280,T280,AN280)</x:f>
        <x:v>138</x:v>
      </x:c>
      <x:c r="R280" s="18" t="n">
        <x:f>SUM(Y280,AU280,X280)</x:f>
        <x:v>11</x:v>
      </x:c>
      <x:c r="S280" s="18" t="n">
        <x:f>J280-K280-L280</x:f>
        <x:v>12</x:v>
      </x:c>
      <x:c r="T280" s="18" t="n">
        <x:v>7</x:v>
      </x:c>
      <x:c r="U280" s="18" t="n">
        <x:v>1</x:v>
      </x:c>
      <x:c r="V280" s="18" t="n">
        <x:v>0</x:v>
      </x:c>
      <x:c r="W280" s="18" t="n">
        <x:v>4</x:v>
      </x:c>
      <x:c r="X280" s="18" t="n">
        <x:v>4</x:v>
      </x:c>
      <x:c r="Y280" s="18" t="n">
        <x:v>5</x:v>
      </x:c>
      <x:c r="Z280" s="18" t="n">
        <x:v>0</x:v>
      </x:c>
      <x:c r="AA280" s="18" t="n">
        <x:v>1</x:v>
      </x:c>
      <x:c r="AB280" s="18" t="n">
        <x:v>0</x:v>
      </x:c>
      <x:c r="AC280" s="18" t="n">
        <x:v>0</x:v>
      </x:c>
      <x:c r="AD280" s="18" t="n">
        <x:v>18</x:v>
      </x:c>
      <x:c r="AE280" s="18" t="n">
        <x:v>0</x:v>
      </x:c>
      <x:c r="AF280" s="18" t="n">
        <x:v>3</x:v>
      </x:c>
      <x:c r="AG280" s="18" t="n">
        <x:v>0</x:v>
      </x:c>
      <x:c r="AH280" s="18" t="n">
        <x:v>0</x:v>
      </x:c>
      <x:c r="AI280" s="18" t="n">
        <x:v>1</x:v>
      </x:c>
      <x:c r="AJ280" s="18" t="n">
        <x:v>19</x:v>
      </x:c>
      <x:c r="AK280" s="18" t="n">
        <x:v>0</x:v>
      </x:c>
      <x:c r="AL280" s="18" t="n">
        <x:v>57</x:v>
      </x:c>
      <x:c r="AM280" s="18" t="n">
        <x:v>90</x:v>
      </x:c>
      <x:c r="AN280" s="18" t="n">
        <x:v>4</x:v>
      </x:c>
      <x:c r="AO280" s="18" t="n">
        <x:v>1</x:v>
      </x:c>
      <x:c r="AP280" s="18" t="n">
        <x:v>0</x:v>
      </x:c>
      <x:c r="AQ280" s="18" t="n">
        <x:v>2</x:v>
      </x:c>
      <x:c r="AR280" s="18" t="n">
        <x:v>0</x:v>
      </x:c>
      <x:c r="AS280" s="18" t="n">
        <x:v>0</x:v>
      </x:c>
      <x:c r="AT280" s="18" t="n">
        <x:v>0</x:v>
      </x:c>
      <x:c r="AU280" s="18" t="n">
        <x:v>2</x:v>
      </x:c>
      <x:c r="AV280" s="18" t="n">
        <x:v>51</x:v>
      </x:c>
      <x:c r="AW280" s="18" t="n">
        <x:v>0</x:v>
      </x:c>
      <x:c r="AX280" s="18" t="n">
        <x:v>2</x:v>
      </x:c>
      <x:c r="AY280" s="18" t="n">
        <x:v>0</x:v>
      </x:c>
      <x:c r="AZ280" s="18" t="n">
        <x:v>0</x:v>
      </x:c>
      <x:c r="BA280" s="18" t="n">
        <x:v>0</x:v>
      </x:c>
      <x:c r="BB280" s="18" t="n">
        <x:v>0</x:v>
      </x:c>
      <x:c r="BC280" s="18" t="n">
        <x:v>0</x:v>
      </x:c>
      <x:c r="BD280" s="18" t="n">
        <x:v>1</x:v>
      </x:c>
      <x:c r="BE280" s="18" t="n">
        <x:v>0</x:v>
      </x:c>
      <x:c r="BF280" s="18" t="n">
        <x:v>7</x:v>
      </x:c>
      <x:c r="BG280" s="18" t="n">
        <x:v>0</x:v>
      </x:c>
    </x:row>
    <x:row r="281">
      <x:c r="A281" s="29" t="str">
        <x:v>351.4</x:v>
      </x:c>
      <x:c r="B281" s="17" t="n">
        <x:v>3164</x:v>
      </x:c>
      <x:c r="C281" s="17" t="str">
        <x:v>בי"ס תיכון עירוני ו</x:v>
      </x:c>
      <x:c r="D281" s="17" t="str">
        <x:v>דרך יד לבנים 97</x:v>
      </x:c>
      <x:c r="E281" s="17" t="str">
        <x:v>גבוה מאוד</x:v>
      </x:c>
      <x:c r="F281" s="18" t="n">
        <x:v>601</x:v>
      </x:c>
      <x:c r="G281" s="18" t="n">
        <x:v>255</x:v>
      </x:c>
      <x:c r="H281" s="19" t="n">
        <x:f>IFERROR(G281/F281,0)</x:f>
        <x:v>0.4242928452579035</x:v>
      </x:c>
      <x:c r="I281" s="18" t="n">
        <x:v>2</x:v>
      </x:c>
      <x:c r="J281" s="18" t="n">
        <x:v>253</x:v>
      </x:c>
      <x:c r="K281" s="18" t="n">
        <x:f>SUM(AM281,BF281,W281,AD281)</x:f>
        <x:v>85</x:v>
      </x:c>
      <x:c r="L281" s="18" t="n">
        <x:f>Q281+R281</x:f>
        <x:v>154</x:v>
      </x:c>
      <x:c r="M281" s="19" t="n">
        <x:f>IFERROR(K281/J281,0)</x:f>
        <x:v>0.3359683794466403</x:v>
      </x:c>
      <x:c r="N281" s="19" t="n">
        <x:f>IFERROR(L281/J281,0)</x:f>
        <x:v>0.6086956521739131</x:v>
      </x:c>
      <x:c r="O281" s="17" t="str">
        <x:f>IF(K281&gt;MAX(L281,S281),"קואליציית ההקמה 2022",IF(L281&gt;MAX(K281,S281),"אופוזיציה רחבה 2022","רשימות אחרות"))</x:f>
        <x:v>אופוזיציה רחבה 2022</x:v>
      </x:c>
      <x:c r="P281" s="17" t="str">
        <x:f>IF(AND(H281&lt;50%,N281&gt;50%),"כן","לא")</x:f>
        <x:v>כן</x:v>
      </x:c>
      <x:c r="Q281" s="18" t="n">
        <x:f>SUM(AV281,AJ281,AL281,T281,AN281)</x:f>
        <x:v>138</x:v>
      </x:c>
      <x:c r="R281" s="18" t="n">
        <x:f>SUM(Y281,AU281,X281)</x:f>
        <x:v>16</x:v>
      </x:c>
      <x:c r="S281" s="18" t="n">
        <x:f>J281-K281-L281</x:f>
        <x:v>14</x:v>
      </x:c>
      <x:c r="T281" s="18" t="n">
        <x:v>6</x:v>
      </x:c>
      <x:c r="U281" s="18" t="n">
        <x:v>3</x:v>
      </x:c>
      <x:c r="V281" s="18" t="n">
        <x:v>4</x:v>
      </x:c>
      <x:c r="W281" s="18" t="n">
        <x:v>1</x:v>
      </x:c>
      <x:c r="X281" s="18" t="n">
        <x:v>8</x:v>
      </x:c>
      <x:c r="Y281" s="18" t="n">
        <x:v>5</x:v>
      </x:c>
      <x:c r="Z281" s="18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7</x:v>
      </x:c>
      <x:c r="AE281" s="18" t="n">
        <x:v>0</x:v>
      </x:c>
      <x:c r="AF281" s="18" t="n">
        <x:v>2</x:v>
      </x:c>
      <x:c r="AG281" s="18" t="n">
        <x:v>0</x:v>
      </x:c>
      <x:c r="AH281" s="18" t="n">
        <x:v>0</x:v>
      </x:c>
      <x:c r="AI281" s="18" t="n">
        <x:v>0</x:v>
      </x:c>
      <x:c r="AJ281" s="18" t="n">
        <x:v>24</x:v>
      </x:c>
      <x:c r="AK281" s="18" t="n">
        <x:v>0</x:v>
      </x:c>
      <x:c r="AL281" s="18" t="n">
        <x:v>55</x:v>
      </x:c>
      <x:c r="AM281" s="18" t="n">
        <x:v>66</x:v>
      </x:c>
      <x:c r="AN281" s="18" t="n">
        <x:v>4</x:v>
      </x:c>
      <x:c r="AO281" s="18" t="n">
        <x:v>0</x:v>
      </x:c>
      <x:c r="AP281" s="18" t="n">
        <x:v>1</x:v>
      </x:c>
      <x:c r="AQ281" s="18" t="n">
        <x:v>0</x:v>
      </x:c>
      <x:c r="AR281" s="18" t="n">
        <x:v>1</x:v>
      </x:c>
      <x:c r="AS281" s="18" t="n">
        <x:v>0</x:v>
      </x:c>
      <x:c r="AT281" s="18" t="n">
        <x:v>0</x:v>
      </x:c>
      <x:c r="AU281" s="18" t="n">
        <x:v>3</x:v>
      </x:c>
      <x:c r="AV281" s="18" t="n">
        <x:v>49</x:v>
      </x:c>
      <x:c r="AW281" s="18" t="n">
        <x:v>0</x:v>
      </x:c>
      <x:c r="AX281" s="18" t="n">
        <x:v>3</x:v>
      </x:c>
      <x:c r="AY281" s="18" t="n">
        <x:v>0</x:v>
      </x:c>
      <x:c r="AZ281" s="18" t="n">
        <x:v>0</x:v>
      </x:c>
      <x:c r="BA281" s="18" t="n">
        <x:v>0</x:v>
      </x:c>
      <x:c r="BB281" s="18" t="n">
        <x:v>0</x:v>
      </x:c>
      <x:c r="BC281" s="18" t="n">
        <x:v>0</x:v>
      </x:c>
      <x:c r="BD281" s="18" t="n">
        <x:v>0</x:v>
      </x:c>
      <x:c r="BE281" s="18" t="n">
        <x:v>0</x:v>
      </x:c>
      <x:c r="BF281" s="18" t="n">
        <x:v>11</x:v>
      </x:c>
      <x:c r="BG281" s="18" t="n">
        <x:v>0</x:v>
      </x:c>
    </x:row>
    <x:row r="282">
      <x:c r="A282" s="29" t="str">
        <x:v>351.5</x:v>
      </x:c>
      <x:c r="B282" s="17" t="n">
        <x:v>3165</x:v>
      </x:c>
      <x:c r="C282" s="17" t="str">
        <x:v>בי"ס תיכון עירוני ו</x:v>
      </x:c>
      <x:c r="D282" s="17" t="str">
        <x:v>דרך יד לבנים 97</x:v>
      </x:c>
      <x:c r="E282" s="17" t="str">
        <x:v>גבוה מאוד</x:v>
      </x:c>
      <x:c r="F282" s="18" t="n">
        <x:v>598</x:v>
      </x:c>
      <x:c r="G282" s="18" t="n">
        <x:v>226</x:v>
      </x:c>
      <x:c r="H282" s="19" t="n">
        <x:f>IFERROR(G282/F282,0)</x:f>
        <x:v>0.3779264214046823</x:v>
      </x:c>
      <x:c r="I282" s="18" t="n">
        <x:v>3</x:v>
      </x:c>
      <x:c r="J282" s="18" t="n">
        <x:v>223</x:v>
      </x:c>
      <x:c r="K282" s="18" t="n">
        <x:f>SUM(AM282,BF282,W282,AD282)</x:f>
        <x:v>85</x:v>
      </x:c>
      <x:c r="L282" s="18" t="n">
        <x:f>Q282+R282</x:f>
        <x:v>127</x:v>
      </x:c>
      <x:c r="M282" s="19" t="n">
        <x:f>IFERROR(K282/J282,0)</x:f>
        <x:v>0.3811659192825112</x:v>
      </x:c>
      <x:c r="N282" s="19" t="n">
        <x:f>IFERROR(L282/J282,0)</x:f>
        <x:v>0.5695067264573991</x:v>
      </x:c>
      <x:c r="O282" s="17" t="str">
        <x:f>IF(K282&gt;MAX(L282,S282),"קואליציית ההקמה 2022",IF(L282&gt;MAX(K282,S282),"אופוזיציה רחבה 2022","רשימות אחרות"))</x:f>
        <x:v>אופוזיציה רחבה 2022</x:v>
      </x:c>
      <x:c r="P282" s="17" t="str">
        <x:f>IF(AND(H282&lt;50%,N282&gt;50%),"כן","לא")</x:f>
        <x:v>כן</x:v>
      </x:c>
      <x:c r="Q282" s="18" t="n">
        <x:f>SUM(AV282,AJ282,AL282,T282,AN282)</x:f>
        <x:v>119</x:v>
      </x:c>
      <x:c r="R282" s="18" t="n">
        <x:f>SUM(Y282,AU282,X282)</x:f>
        <x:v>8</x:v>
      </x:c>
      <x:c r="S282" s="18" t="n">
        <x:f>J282-K282-L282</x:f>
        <x:v>11</x:v>
      </x:c>
      <x:c r="T282" s="18" t="n">
        <x:v>5</x:v>
      </x:c>
      <x:c r="U282" s="18" t="n">
        <x:v>1</x:v>
      </x:c>
      <x:c r="V282" s="18" t="n">
        <x:v>1</x:v>
      </x:c>
      <x:c r="W282" s="18" t="n">
        <x:v>0</x:v>
      </x:c>
      <x:c r="X282" s="18" t="n">
        <x:v>0</x:v>
      </x:c>
      <x:c r="Y282" s="18" t="n">
        <x:v>5</x:v>
      </x:c>
      <x:c r="Z282" s="18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18</x:v>
      </x:c>
      <x:c r="AE282" s="18" t="n">
        <x:v>0</x:v>
      </x:c>
      <x:c r="AF282" s="18" t="n">
        <x:v>0</x:v>
      </x:c>
      <x:c r="AG282" s="18" t="n">
        <x:v>0</x:v>
      </x:c>
      <x:c r="AH282" s="18" t="n">
        <x:v>0</x:v>
      </x:c>
      <x:c r="AI282" s="18" t="n">
        <x:v>0</x:v>
      </x:c>
      <x:c r="AJ282" s="18" t="n">
        <x:v>11</x:v>
      </x:c>
      <x:c r="AK282" s="18" t="n">
        <x:v>0</x:v>
      </x:c>
      <x:c r="AL282" s="18" t="n">
        <x:v>56</x:v>
      </x:c>
      <x:c r="AM282" s="18" t="n">
        <x:v>61</x:v>
      </x:c>
      <x:c r="AN282" s="18" t="n">
        <x:v>6</x:v>
      </x:c>
      <x:c r="AO282" s="18" t="n">
        <x:v>2</x:v>
      </x:c>
      <x:c r="AP282" s="18" t="n">
        <x:v>0</x:v>
      </x:c>
      <x:c r="AQ282" s="18" t="n">
        <x:v>0</x:v>
      </x:c>
      <x:c r="AR282" s="18" t="n">
        <x:v>0</x:v>
      </x:c>
      <x:c r="AS282" s="18" t="n">
        <x:v>0</x:v>
      </x:c>
      <x:c r="AT282" s="18" t="n">
        <x:v>0</x:v>
      </x:c>
      <x:c r="AU282" s="18" t="n">
        <x:v>3</x:v>
      </x:c>
      <x:c r="AV282" s="18" t="n">
        <x:v>41</x:v>
      </x:c>
      <x:c r="AW282" s="18" t="n">
        <x:v>1</x:v>
      </x:c>
      <x:c r="AX282" s="18" t="n">
        <x:v>2</x:v>
      </x:c>
      <x:c r="AY282" s="18" t="n">
        <x:v>0</x:v>
      </x:c>
      <x:c r="AZ282" s="18" t="n">
        <x:v>0</x:v>
      </x:c>
      <x:c r="BA282" s="18" t="n">
        <x:v>0</x:v>
      </x:c>
      <x:c r="BB282" s="18" t="n">
        <x:v>0</x:v>
      </x:c>
      <x:c r="BC282" s="18" t="n">
        <x:v>0</x:v>
      </x:c>
      <x:c r="BD282" s="18" t="n">
        <x:v>0</x:v>
      </x:c>
      <x:c r="BE282" s="18" t="n">
        <x:v>4</x:v>
      </x:c>
      <x:c r="BF282" s="18" t="n">
        <x:v>6</x:v>
      </x:c>
      <x:c r="BG282" s="18" t="n">
        <x:v>0</x:v>
      </x:c>
    </x:row>
    <x:row r="283">
      <x:c r="A283" s="29" t="str">
        <x:v>354.1</x:v>
      </x:c>
      <x:c r="B283" s="17" t="n">
        <x:v>2905</x:v>
      </x:c>
      <x:c r="C283" s="17" t="str">
        <x:v>אולפנת צביה</x:v>
      </x:c>
      <x:c r="D283" s="17" t="str">
        <x:v>רבי עקיבא 40</x:v>
      </x:c>
      <x:c r="E283" s="17" t="str">
        <x:v>גבוה מאוד</x:v>
      </x:c>
      <x:c r="F283" s="18" t="n">
        <x:v>609</x:v>
      </x:c>
      <x:c r="G283" s="18" t="n">
        <x:v>363</x:v>
      </x:c>
      <x:c r="H283" s="19" t="n">
        <x:f>IFERROR(G283/F283,0)</x:f>
        <x:v>0.5960591133004927</x:v>
      </x:c>
      <x:c r="I283" s="18" t="n">
        <x:v>3</x:v>
      </x:c>
      <x:c r="J283" s="18" t="n">
        <x:v>360</x:v>
      </x:c>
      <x:c r="K283" s="18" t="n">
        <x:f>SUM(AM283,BF283,W283,AD283)</x:f>
        <x:v>268</x:v>
      </x:c>
      <x:c r="L283" s="18" t="n">
        <x:f>Q283+R283</x:f>
        <x:v>87</x:v>
      </x:c>
      <x:c r="M283" s="19" t="n">
        <x:f>IFERROR(K283/J283,0)</x:f>
        <x:v>0.7444444444444445</x:v>
      </x:c>
      <x:c r="N283" s="19" t="n">
        <x:f>IFERROR(L283/J283,0)</x:f>
        <x:v>0.24166666666666667</x:v>
      </x:c>
      <x:c r="O283" s="17" t="str">
        <x:f>IF(K283&gt;MAX(L283,S283),"קואליציית ההקמה 2022",IF(L283&gt;MAX(K283,S283),"אופוזיציה רחבה 2022","רשימות אחרות"))</x:f>
        <x:v>קואליציית ההקמה 2022</x:v>
      </x:c>
      <x:c r="P283" s="17" t="str">
        <x:f>IF(AND(H283&lt;50%,N283&gt;50%),"כן","לא")</x:f>
        <x:v>לא</x:v>
      </x:c>
      <x:c r="Q283" s="18" t="n">
        <x:f>SUM(AV283,AJ283,AL283,T283,AN283)</x:f>
        <x:v>85</x:v>
      </x:c>
      <x:c r="R283" s="18" t="n">
        <x:f>SUM(Y283,AU283,X283)</x:f>
        <x:v>2</x:v>
      </x:c>
      <x:c r="S283" s="18" t="n">
        <x:f>J283-K283-L283</x:f>
        <x:v>5</x:v>
      </x:c>
      <x:c r="T283" s="18" t="n">
        <x:v>4</x:v>
      </x:c>
      <x:c r="U283" s="18" t="n">
        <x:v>0</x:v>
      </x:c>
      <x:c r="V283" s="18" t="n">
        <x:v>2</x:v>
      </x:c>
      <x:c r="W283" s="18" t="n">
        <x:v>119</x:v>
      </x:c>
      <x:c r="X283" s="18" t="n">
        <x:v>0</x:v>
      </x:c>
      <x:c r="Y283" s="18" t="n">
        <x:v>1</x:v>
      </x:c>
      <x:c r="Z283" s="18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21</x:v>
      </x:c>
      <x:c r="AE283" s="18" t="n">
        <x:v>0</x:v>
      </x:c>
      <x:c r="AF283" s="18" t="n">
        <x:v>0</x:v>
      </x:c>
      <x:c r="AG283" s="18" t="n">
        <x:v>0</x:v>
      </x:c>
      <x:c r="AH283" s="18" t="n">
        <x:v>0</x:v>
      </x:c>
      <x:c r="AI283" s="18" t="n">
        <x:v>0</x:v>
      </x:c>
      <x:c r="AJ283" s="18" t="n">
        <x:v>12</x:v>
      </x:c>
      <x:c r="AK283" s="18" t="n">
        <x:v>0</x:v>
      </x:c>
      <x:c r="AL283" s="18" t="n">
        <x:v>24</x:v>
      </x:c>
      <x:c r="AM283" s="18" t="n">
        <x:v>41</x:v>
      </x:c>
      <x:c r="AN283" s="18" t="n">
        <x:v>6</x:v>
      </x:c>
      <x:c r="AO283" s="18" t="n">
        <x:v>0</x:v>
      </x:c>
      <x:c r="AP283" s="18" t="n">
        <x:v>0</x:v>
      </x:c>
      <x:c r="AQ283" s="18" t="n">
        <x:v>0</x:v>
      </x:c>
      <x:c r="AR283" s="18" t="n">
        <x:v>0</x:v>
      </x:c>
      <x:c r="AS283" s="18" t="n">
        <x:v>0</x:v>
      </x:c>
      <x:c r="AT283" s="18" t="n">
        <x:v>0</x:v>
      </x:c>
      <x:c r="AU283" s="18" t="n">
        <x:v>1</x:v>
      </x:c>
      <x:c r="AV283" s="18" t="n">
        <x:v>39</x:v>
      </x:c>
      <x:c r="AW283" s="18" t="n">
        <x:v>0</x:v>
      </x:c>
      <x:c r="AX283" s="18" t="n">
        <x:v>2</x:v>
      </x:c>
      <x:c r="AY283" s="18" t="n">
        <x:v>1</x:v>
      </x:c>
      <x:c r="AZ283" s="18" t="n">
        <x:v>0</x:v>
      </x:c>
      <x:c r="BA283" s="18" t="n">
        <x:v>0</x:v>
      </x:c>
      <x:c r="BB283" s="18" t="n">
        <x:v>0</x:v>
      </x:c>
      <x:c r="BC283" s="18" t="n">
        <x:v>0</x:v>
      </x:c>
      <x:c r="BD283" s="18" t="n">
        <x:v>0</x:v>
      </x:c>
      <x:c r="BE283" s="18" t="n">
        <x:v>0</x:v>
      </x:c>
      <x:c r="BF283" s="18" t="n">
        <x:v>87</x:v>
      </x:c>
      <x:c r="BG283" s="18" t="n">
        <x:v>0</x:v>
      </x:c>
    </x:row>
    <x:row r="284">
      <x:c r="A284" s="29" t="str">
        <x:v>354.2</x:v>
      </x:c>
      <x:c r="B284" s="17" t="n">
        <x:v>2906</x:v>
      </x:c>
      <x:c r="C284" s="17" t="str">
        <x:v>אולפנת צביה</x:v>
      </x:c>
      <x:c r="D284" s="17" t="str">
        <x:v>רבי עקיבא 40</x:v>
      </x:c>
      <x:c r="E284" s="17" t="str">
        <x:v>גבוה מאוד</x:v>
      </x:c>
      <x:c r="F284" s="18" t="n">
        <x:v>609</x:v>
      </x:c>
      <x:c r="G284" s="18" t="n">
        <x:v>385</x:v>
      </x:c>
      <x:c r="H284" s="19" t="n">
        <x:f>IFERROR(G284/F284,0)</x:f>
        <x:v>0.632183908045977</x:v>
      </x:c>
      <x:c r="I284" s="18" t="n">
        <x:v>3</x:v>
      </x:c>
      <x:c r="J284" s="18" t="n">
        <x:v>382</x:v>
      </x:c>
      <x:c r="K284" s="18" t="n">
        <x:f>SUM(AM284,BF284,W284,AD284)</x:f>
        <x:v>288</x:v>
      </x:c>
      <x:c r="L284" s="18" t="n">
        <x:f>Q284+R284</x:f>
        <x:v>86</x:v>
      </x:c>
      <x:c r="M284" s="19" t="n">
        <x:f>IFERROR(K284/J284,0)</x:f>
        <x:v>0.7539267015706806</x:v>
      </x:c>
      <x:c r="N284" s="19" t="n">
        <x:f>IFERROR(L284/J284,0)</x:f>
        <x:v>0.225130890052356</x:v>
      </x:c>
      <x:c r="O284" s="17" t="str">
        <x:f>IF(K284&gt;MAX(L284,S284),"קואליציית ההקמה 2022",IF(L284&gt;MAX(K284,S284),"אופוזיציה רחבה 2022","רשימות אחרות"))</x:f>
        <x:v>קואליציית ההקמה 2022</x:v>
      </x:c>
      <x:c r="P284" s="17" t="str">
        <x:f>IF(AND(H284&lt;50%,N284&gt;50%),"כן","לא")</x:f>
        <x:v>לא</x:v>
      </x:c>
      <x:c r="Q284" s="18" t="n">
        <x:f>SUM(AV284,AJ284,AL284,T284,AN284)</x:f>
        <x:v>82</x:v>
      </x:c>
      <x:c r="R284" s="18" t="n">
        <x:f>SUM(Y284,AU284,X284)</x:f>
        <x:v>4</x:v>
      </x:c>
      <x:c r="S284" s="18" t="n">
        <x:f>J284-K284-L284</x:f>
        <x:v>8</x:v>
      </x:c>
      <x:c r="T284" s="18" t="n">
        <x:v>9</x:v>
      </x:c>
      <x:c r="U284" s="18" t="n">
        <x:v>1</x:v>
      </x:c>
      <x:c r="V284" s="18" t="n">
        <x:v>1</x:v>
      </x:c>
      <x:c r="W284" s="18" t="n">
        <x:v>143</x:v>
      </x:c>
      <x:c r="X284" s="18" t="n">
        <x:v>2</x:v>
      </x:c>
      <x:c r="Y284" s="18" t="n">
        <x:v>2</x:v>
      </x:c>
      <x:c r="Z284" s="18" t="n">
        <x:v>0</x:v>
      </x:c>
      <x:c r="AA284" s="18" t="n">
        <x:v>0</x:v>
      </x:c>
      <x:c r="AB284" s="18" t="n">
        <x:v>0</x:v>
      </x:c>
      <x:c r="AC284" s="18" t="n">
        <x:v>1</x:v>
      </x:c>
      <x:c r="AD284" s="18" t="n">
        <x:v>24</x:v>
      </x:c>
      <x:c r="AE284" s="18" t="n">
        <x:v>0</x:v>
      </x:c>
      <x:c r="AF284" s="18" t="n">
        <x:v>1</x:v>
      </x:c>
      <x:c r="AG284" s="18" t="n">
        <x:v>0</x:v>
      </x:c>
      <x:c r="AH284" s="18" t="n">
        <x:v>0</x:v>
      </x:c>
      <x:c r="AI284" s="18" t="n">
        <x:v>0</x:v>
      </x:c>
      <x:c r="AJ284" s="18" t="n">
        <x:v>10</x:v>
      </x:c>
      <x:c r="AK284" s="18" t="n">
        <x:v>0</x:v>
      </x:c>
      <x:c r="AL284" s="18" t="n">
        <x:v>21</x:v>
      </x:c>
      <x:c r="AM284" s="18" t="n">
        <x:v>46</x:v>
      </x:c>
      <x:c r="AN284" s="18" t="n">
        <x:v>4</x:v>
      </x:c>
      <x:c r="AO284" s="18" t="n">
        <x:v>0</x:v>
      </x:c>
      <x:c r="AP284" s="18" t="n">
        <x:v>0</x:v>
      </x:c>
      <x:c r="AQ284" s="18" t="n">
        <x:v>0</x:v>
      </x:c>
      <x:c r="AR284" s="18" t="n">
        <x:v>2</x:v>
      </x:c>
      <x:c r="AS284" s="18" t="n">
        <x:v>0</x:v>
      </x:c>
      <x:c r="AT284" s="18" t="n">
        <x:v>0</x:v>
      </x:c>
      <x:c r="AU284" s="18" t="n">
        <x:v>0</x:v>
      </x:c>
      <x:c r="AV284" s="18" t="n">
        <x:v>38</x:v>
      </x:c>
      <x:c r="AW284" s="18" t="n">
        <x:v>0</x:v>
      </x:c>
      <x:c r="AX284" s="18" t="n">
        <x:v>1</x:v>
      </x:c>
      <x:c r="AY284" s="18" t="n">
        <x:v>0</x:v>
      </x:c>
      <x:c r="AZ284" s="18" t="n">
        <x:v>0</x:v>
      </x:c>
      <x:c r="BA284" s="18" t="n">
        <x:v>0</x:v>
      </x:c>
      <x:c r="BB284" s="18" t="n">
        <x:v>0</x:v>
      </x:c>
      <x:c r="BC284" s="18" t="n">
        <x:v>0</x:v>
      </x:c>
      <x:c r="BD284" s="18" t="n">
        <x:v>1</x:v>
      </x:c>
      <x:c r="BE284" s="18" t="n">
        <x:v>0</x:v>
      </x:c>
      <x:c r="BF284" s="18" t="n">
        <x:v>75</x:v>
      </x:c>
      <x:c r="BG284" s="18" t="n">
        <x:v>0</x:v>
      </x:c>
    </x:row>
    <x:row r="285">
      <x:c r="A285" s="29" t="str">
        <x:v>354.3</x:v>
      </x:c>
      <x:c r="B285" s="17" t="n">
        <x:v>2907</x:v>
      </x:c>
      <x:c r="C285" s="17" t="str">
        <x:v>אולפנת צביה</x:v>
      </x:c>
      <x:c r="D285" s="17" t="str">
        <x:v>רבי עקיבא 40</x:v>
      </x:c>
      <x:c r="E285" s="17" t="str">
        <x:v>גבוה מאוד</x:v>
      </x:c>
      <x:c r="F285" s="18" t="n">
        <x:v>609</x:v>
      </x:c>
      <x:c r="G285" s="18" t="n">
        <x:v>377</x:v>
      </x:c>
      <x:c r="H285" s="19" t="n">
        <x:f>IFERROR(G285/F285,0)</x:f>
        <x:v>0.6190476190476191</x:v>
      </x:c>
      <x:c r="I285" s="18" t="n">
        <x:v>5</x:v>
      </x:c>
      <x:c r="J285" s="18" t="n">
        <x:v>372</x:v>
      </x:c>
      <x:c r="K285" s="18" t="n">
        <x:f>SUM(AM285,BF285,W285,AD285)</x:f>
        <x:v>264</x:v>
      </x:c>
      <x:c r="L285" s="18" t="n">
        <x:f>Q285+R285</x:f>
        <x:v>102</x:v>
      </x:c>
      <x:c r="M285" s="19" t="n">
        <x:f>IFERROR(K285/J285,0)</x:f>
        <x:v>0.7096774193548387</x:v>
      </x:c>
      <x:c r="N285" s="19" t="n">
        <x:f>IFERROR(L285/J285,0)</x:f>
        <x:v>0.27419354838709675</x:v>
      </x:c>
      <x:c r="O285" s="17" t="str">
        <x:f>IF(K285&gt;MAX(L285,S285),"קואליציית ההקמה 2022",IF(L285&gt;MAX(K285,S285),"אופוזיציה רחבה 2022","רשימות אחרות"))</x:f>
        <x:v>קואליציית ההקמה 2022</x:v>
      </x:c>
      <x:c r="P285" s="17" t="str">
        <x:f>IF(AND(H285&lt;50%,N285&gt;50%),"כן","לא")</x:f>
        <x:v>לא</x:v>
      </x:c>
      <x:c r="Q285" s="18" t="n">
        <x:f>SUM(AV285,AJ285,AL285,T285,AN285)</x:f>
        <x:v>101</x:v>
      </x:c>
      <x:c r="R285" s="18" t="n">
        <x:f>SUM(Y285,AU285,X285)</x:f>
        <x:v>1</x:v>
      </x:c>
      <x:c r="S285" s="18" t="n">
        <x:f>J285-K285-L285</x:f>
        <x:v>6</x:v>
      </x:c>
      <x:c r="T285" s="18" t="n">
        <x:v>6</x:v>
      </x:c>
      <x:c r="U285" s="18" t="n">
        <x:v>2</x:v>
      </x:c>
      <x:c r="V285" s="18" t="n">
        <x:v>0</x:v>
      </x:c>
      <x:c r="W285" s="18" t="n">
        <x:v>148</x:v>
      </x:c>
      <x:c r="X285" s="18" t="n">
        <x:v>0</x:v>
      </x:c>
      <x:c r="Y285" s="18" t="n">
        <x:v>1</x:v>
      </x:c>
      <x:c r="Z285" s="18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25</x:v>
      </x:c>
      <x:c r="AE285" s="18" t="n">
        <x:v>0</x:v>
      </x:c>
      <x:c r="AF285" s="18" t="n">
        <x:v>1</x:v>
      </x:c>
      <x:c r="AG285" s="18" t="n">
        <x:v>0</x:v>
      </x:c>
      <x:c r="AH285" s="18" t="n">
        <x:v>0</x:v>
      </x:c>
      <x:c r="AI285" s="18" t="n">
        <x:v>0</x:v>
      </x:c>
      <x:c r="AJ285" s="18" t="n">
        <x:v>9</x:v>
      </x:c>
      <x:c r="AK285" s="18" t="n">
        <x:v>0</x:v>
      </x:c>
      <x:c r="AL285" s="18" t="n">
        <x:v>32</x:v>
      </x:c>
      <x:c r="AM285" s="18" t="n">
        <x:v>48</x:v>
      </x:c>
      <x:c r="AN285" s="18" t="n">
        <x:v>6</x:v>
      </x:c>
      <x:c r="AO285" s="18" t="n">
        <x:v>0</x:v>
      </x:c>
      <x:c r="AP285" s="18" t="n">
        <x:v>1</x:v>
      </x:c>
      <x:c r="AQ285" s="18" t="n">
        <x:v>0</x:v>
      </x:c>
      <x:c r="AR285" s="18" t="n">
        <x:v>0</x:v>
      </x:c>
      <x:c r="AS285" s="18" t="n">
        <x:v>1</x:v>
      </x:c>
      <x:c r="AT285" s="18" t="n">
        <x:v>0</x:v>
      </x:c>
      <x:c r="AU285" s="18" t="n">
        <x:v>0</x:v>
      </x:c>
      <x:c r="AV285" s="18" t="n">
        <x:v>48</x:v>
      </x:c>
      <x:c r="AW285" s="18" t="n">
        <x:v>0</x:v>
      </x:c>
      <x:c r="AX285" s="18" t="n">
        <x:v>0</x:v>
      </x:c>
      <x:c r="AY285" s="18" t="n">
        <x:v>0</x:v>
      </x:c>
      <x:c r="AZ285" s="18" t="n">
        <x:v>0</x:v>
      </x:c>
      <x:c r="BA285" s="18" t="n">
        <x:v>0</x:v>
      </x:c>
      <x:c r="BB285" s="18" t="n">
        <x:v>0</x:v>
      </x:c>
      <x:c r="BC285" s="18" t="n">
        <x:v>0</x:v>
      </x:c>
      <x:c r="BD285" s="18" t="n">
        <x:v>0</x:v>
      </x:c>
      <x:c r="BE285" s="18" t="n">
        <x:v>1</x:v>
      </x:c>
      <x:c r="BF285" s="18" t="n">
        <x:v>43</x:v>
      </x:c>
      <x:c r="BG285" s="18" t="n">
        <x:v>0</x:v>
      </x:c>
    </x:row>
    <x:row r="286">
      <x:c r="A286" s="29" t="str">
        <x:v>355.1</x:v>
      </x:c>
      <x:c r="B286" s="17" t="n">
        <x:v>3135</x:v>
      </x:c>
      <x:c r="C286" s="17" t="str">
        <x:v>בי"ס רמב"ם</x:v>
      </x:c>
      <x:c r="D286" s="17" t="str">
        <x:v>ציון 7</x:v>
      </x:c>
      <x:c r="E286" s="17" t="str">
        <x:v>גבוה מאוד</x:v>
      </x:c>
      <x:c r="F286" s="18" t="n">
        <x:v>613</x:v>
      </x:c>
      <x:c r="G286" s="18" t="n">
        <x:v>391</x:v>
      </x:c>
      <x:c r="H286" s="19" t="n">
        <x:f>IFERROR(G286/F286,0)</x:f>
        <x:v>0.6378466557911908</x:v>
      </x:c>
      <x:c r="I286" s="18" t="n">
        <x:v>1</x:v>
      </x:c>
      <x:c r="J286" s="18" t="n">
        <x:v>390</x:v>
      </x:c>
      <x:c r="K286" s="18" t="n">
        <x:f>SUM(AM286,BF286,W286,AD286)</x:f>
        <x:v>235</x:v>
      </x:c>
      <x:c r="L286" s="18" t="n">
        <x:f>Q286+R286</x:f>
        <x:v>140</x:v>
      </x:c>
      <x:c r="M286" s="19" t="n">
        <x:f>IFERROR(K286/J286,0)</x:f>
        <x:v>0.6025641025641025</x:v>
      </x:c>
      <x:c r="N286" s="19" t="n">
        <x:f>IFERROR(L286/J286,0)</x:f>
        <x:v>0.358974358974359</x:v>
      </x:c>
      <x:c r="O286" s="17" t="str">
        <x:f>IF(K286&gt;MAX(L286,S286),"קואליציית ההקמה 2022",IF(L286&gt;MAX(K286,S286),"אופוזיציה רחבה 2022","רשימות אחרות"))</x:f>
        <x:v>קואליציית ההקמה 2022</x:v>
      </x:c>
      <x:c r="P286" s="17" t="str">
        <x:f>IF(AND(H286&lt;50%,N286&gt;50%),"כן","לא")</x:f>
        <x:v>לא</x:v>
      </x:c>
      <x:c r="Q286" s="18" t="n">
        <x:f>SUM(AV286,AJ286,AL286,T286,AN286)</x:f>
        <x:v>140</x:v>
      </x:c>
      <x:c r="R286" s="18" t="n">
        <x:f>SUM(Y286,AU286,X286)</x:f>
        <x:v>0</x:v>
      </x:c>
      <x:c r="S286" s="18" t="n">
        <x:f>J286-K286-L286</x:f>
        <x:v>15</x:v>
      </x:c>
      <x:c r="T286" s="18" t="n">
        <x:v>16</x:v>
      </x:c>
      <x:c r="U286" s="18" t="n">
        <x:v>2</x:v>
      </x:c>
      <x:c r="V286" s="18" t="n">
        <x:v>11</x:v>
      </x:c>
      <x:c r="W286" s="18" t="n">
        <x:v>4</x:v>
      </x:c>
      <x:c r="X286" s="18" t="n">
        <x:v>0</x:v>
      </x:c>
      <x:c r="Y286" s="18" t="n">
        <x:v>0</x:v>
      </x:c>
      <x:c r="Z286" s="18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66</x:v>
      </x:c>
      <x:c r="AE286" s="18" t="n">
        <x:v>0</x:v>
      </x:c>
      <x:c r="AF286" s="18" t="n">
        <x:v>1</x:v>
      </x:c>
      <x:c r="AG286" s="18" t="n">
        <x:v>0</x:v>
      </x:c>
      <x:c r="AH286" s="18" t="n">
        <x:v>0</x:v>
      </x:c>
      <x:c r="AI286" s="18" t="n">
        <x:v>0</x:v>
      </x:c>
      <x:c r="AJ286" s="18" t="n">
        <x:v>34</x:v>
      </x:c>
      <x:c r="AK286" s="18" t="n">
        <x:v>0</x:v>
      </x:c>
      <x:c r="AL286" s="18" t="n">
        <x:v>24</x:v>
      </x:c>
      <x:c r="AM286" s="18" t="n">
        <x:v>111</x:v>
      </x:c>
      <x:c r="AN286" s="18" t="n">
        <x:v>9</x:v>
      </x:c>
      <x:c r="AO286" s="18" t="n">
        <x:v>0</x:v>
      </x:c>
      <x:c r="AP286" s="18" t="n">
        <x:v>0</x:v>
      </x:c>
      <x:c r="AQ286" s="18" t="n">
        <x:v>0</x:v>
      </x:c>
      <x:c r="AR286" s="18" t="n">
        <x:v>0</x:v>
      </x:c>
      <x:c r="AS286" s="18" t="n">
        <x:v>0</x:v>
      </x:c>
      <x:c r="AT286" s="18" t="n">
        <x:v>0</x:v>
      </x:c>
      <x:c r="AU286" s="18" t="n">
        <x:v>0</x:v>
      </x:c>
      <x:c r="AV286" s="18" t="n">
        <x:v>57</x:v>
      </x:c>
      <x:c r="AW286" s="18" t="n">
        <x:v>0</x:v>
      </x:c>
      <x:c r="AX286" s="18" t="n">
        <x:v>0</x:v>
      </x:c>
      <x:c r="AY286" s="18" t="n">
        <x:v>0</x:v>
      </x:c>
      <x:c r="AZ286" s="18" t="n">
        <x:v>0</x:v>
      </x:c>
      <x:c r="BA286" s="18" t="n">
        <x:v>0</x:v>
      </x:c>
      <x:c r="BB286" s="18" t="n">
        <x:v>0</x:v>
      </x:c>
      <x:c r="BC286" s="18" t="n">
        <x:v>0</x:v>
      </x:c>
      <x:c r="BD286" s="18" t="n">
        <x:v>1</x:v>
      </x:c>
      <x:c r="BE286" s="18" t="n">
        <x:v>0</x:v>
      </x:c>
      <x:c r="BF286" s="18" t="n">
        <x:v>54</x:v>
      </x:c>
      <x:c r="BG286" s="18" t="n">
        <x:v>0</x:v>
      </x:c>
    </x:row>
    <x:row r="287">
      <x:c r="A287" s="29" t="str">
        <x:v>355.2</x:v>
      </x:c>
      <x:c r="B287" s="17" t="n">
        <x:v>3136</x:v>
      </x:c>
      <x:c r="C287" s="17" t="str">
        <x:v>בי"ס רמב"ם</x:v>
      </x:c>
      <x:c r="D287" s="17" t="str">
        <x:v>ציון 7</x:v>
      </x:c>
      <x:c r="E287" s="17" t="str">
        <x:v>גבוה מאוד</x:v>
      </x:c>
      <x:c r="F287" s="18" t="n">
        <x:v>613</x:v>
      </x:c>
      <x:c r="G287" s="18" t="n">
        <x:v>379</x:v>
      </x:c>
      <x:c r="H287" s="19" t="n">
        <x:f>IFERROR(G287/F287,0)</x:f>
        <x:v>0.6182707993474714</x:v>
      </x:c>
      <x:c r="I287" s="18" t="n">
        <x:v>5</x:v>
      </x:c>
      <x:c r="J287" s="18" t="n">
        <x:v>374</x:v>
      </x:c>
      <x:c r="K287" s="18" t="n">
        <x:f>SUM(AM287,BF287,W287,AD287)</x:f>
        <x:v>211</x:v>
      </x:c>
      <x:c r="L287" s="18" t="n">
        <x:f>Q287+R287</x:f>
        <x:v>143</x:v>
      </x:c>
      <x:c r="M287" s="19" t="n">
        <x:f>IFERROR(K287/J287,0)</x:f>
        <x:v>0.5641711229946524</x:v>
      </x:c>
      <x:c r="N287" s="19" t="n">
        <x:f>IFERROR(L287/J287,0)</x:f>
        <x:v>0.38235294117647056</x:v>
      </x:c>
      <x:c r="O287" s="17" t="str">
        <x:f>IF(K287&gt;MAX(L287,S287),"קואליציית ההקמה 2022",IF(L287&gt;MAX(K287,S287),"אופוזיציה רחבה 2022","רשימות אחרות"))</x:f>
        <x:v>קואליציית ההקמה 2022</x:v>
      </x:c>
      <x:c r="P287" s="17" t="str">
        <x:f>IF(AND(H287&lt;50%,N287&gt;50%),"כן","לא")</x:f>
        <x:v>לא</x:v>
      </x:c>
      <x:c r="Q287" s="18" t="n">
        <x:f>SUM(AV287,AJ287,AL287,T287,AN287)</x:f>
        <x:v>142</x:v>
      </x:c>
      <x:c r="R287" s="18" t="n">
        <x:f>SUM(Y287,AU287,X287)</x:f>
        <x:v>1</x:v>
      </x:c>
      <x:c r="S287" s="18" t="n">
        <x:f>J287-K287-L287</x:f>
        <x:v>20</x:v>
      </x:c>
      <x:c r="T287" s="18" t="n">
        <x:v>15</x:v>
      </x:c>
      <x:c r="U287" s="18" t="n">
        <x:v>1</x:v>
      </x:c>
      <x:c r="V287" s="18" t="n">
        <x:v>14</x:v>
      </x:c>
      <x:c r="W287" s="18" t="n">
        <x:v>7</x:v>
      </x:c>
      <x:c r="X287" s="18" t="n">
        <x:v>0</x:v>
      </x:c>
      <x:c r="Y287" s="18" t="n">
        <x:v>1</x:v>
      </x:c>
      <x:c r="Z287" s="18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82</x:v>
      </x:c>
      <x:c r="AE287" s="18" t="n">
        <x:v>0</x:v>
      </x:c>
      <x:c r="AF287" s="18" t="n">
        <x:v>0</x:v>
      </x:c>
      <x:c r="AG287" s="18" t="n">
        <x:v>0</x:v>
      </x:c>
      <x:c r="AH287" s="18" t="n">
        <x:v>0</x:v>
      </x:c>
      <x:c r="AI287" s="18" t="n">
        <x:v>0</x:v>
      </x:c>
      <x:c r="AJ287" s="18" t="n">
        <x:v>34</x:v>
      </x:c>
      <x:c r="AK287" s="18" t="n">
        <x:v>0</x:v>
      </x:c>
      <x:c r="AL287" s="18" t="n">
        <x:v>25</x:v>
      </x:c>
      <x:c r="AM287" s="18" t="n">
        <x:v>106</x:v>
      </x:c>
      <x:c r="AN287" s="18" t="n">
        <x:v>10</x:v>
      </x:c>
      <x:c r="AO287" s="18" t="n">
        <x:v>0</x:v>
      </x:c>
      <x:c r="AP287" s="18" t="n">
        <x:v>1</x:v>
      </x:c>
      <x:c r="AQ287" s="18" t="n">
        <x:v>0</x:v>
      </x:c>
      <x:c r="AR287" s="18" t="n">
        <x:v>0</x:v>
      </x:c>
      <x:c r="AS287" s="18" t="n">
        <x:v>0</x:v>
      </x:c>
      <x:c r="AT287" s="18" t="n">
        <x:v>0</x:v>
      </x:c>
      <x:c r="AU287" s="18" t="n">
        <x:v>0</x:v>
      </x:c>
      <x:c r="AV287" s="18" t="n">
        <x:v>58</x:v>
      </x:c>
      <x:c r="AW287" s="18" t="n">
        <x:v>0</x:v>
      </x:c>
      <x:c r="AX287" s="18" t="n">
        <x:v>0</x:v>
      </x:c>
      <x:c r="AY287" s="18" t="n">
        <x:v>0</x:v>
      </x:c>
      <x:c r="AZ287" s="18" t="n">
        <x:v>0</x:v>
      </x:c>
      <x:c r="BA287" s="18" t="n">
        <x:v>0</x:v>
      </x:c>
      <x:c r="BB287" s="18" t="n">
        <x:v>2</x:v>
      </x:c>
      <x:c r="BC287" s="18" t="n">
        <x:v>0</x:v>
      </x:c>
      <x:c r="BD287" s="18" t="n">
        <x:v>2</x:v>
      </x:c>
      <x:c r="BE287" s="18" t="n">
        <x:v>0</x:v>
      </x:c>
      <x:c r="BF287" s="18" t="n">
        <x:v>16</x:v>
      </x:c>
      <x:c r="BG287" s="18" t="n">
        <x:v>0</x:v>
      </x:c>
    </x:row>
    <x:row r="288">
      <x:c r="A288" s="29" t="str">
        <x:v>355.3</x:v>
      </x:c>
      <x:c r="B288" s="17" t="n">
        <x:v>3137</x:v>
      </x:c>
      <x:c r="C288" s="17" t="str">
        <x:v>בי"ס רמב"ם</x:v>
      </x:c>
      <x:c r="D288" s="17" t="str">
        <x:v>ציון 7</x:v>
      </x:c>
      <x:c r="E288" s="17" t="str">
        <x:v>גבוה מאוד</x:v>
      </x:c>
      <x:c r="F288" s="18" t="n">
        <x:v>613</x:v>
      </x:c>
      <x:c r="G288" s="18" t="n">
        <x:v>388</x:v>
      </x:c>
      <x:c r="H288" s="19" t="n">
        <x:f>IFERROR(G288/F288,0)</x:f>
        <x:v>0.632952691680261</x:v>
      </x:c>
      <x:c r="I288" s="18" t="n">
        <x:v>0</x:v>
      </x:c>
      <x:c r="J288" s="18" t="n">
        <x:v>388</x:v>
      </x:c>
      <x:c r="K288" s="18" t="n">
        <x:f>SUM(AM288,BF288,W288,AD288)</x:f>
        <x:v>206</x:v>
      </x:c>
      <x:c r="L288" s="18" t="n">
        <x:f>Q288+R288</x:f>
        <x:v>155</x:v>
      </x:c>
      <x:c r="M288" s="19" t="n">
        <x:f>IFERROR(K288/J288,0)</x:f>
        <x:v>0.5309278350515464</x:v>
      </x:c>
      <x:c r="N288" s="19" t="n">
        <x:f>IFERROR(L288/J288,0)</x:f>
        <x:v>0.39948453608247425</x:v>
      </x:c>
      <x:c r="O288" s="17" t="str">
        <x:f>IF(K288&gt;MAX(L288,S288),"קואליציית ההקמה 2022",IF(L288&gt;MAX(K288,S288),"אופוזיציה רחבה 2022","רשימות אחרות"))</x:f>
        <x:v>קואליציית ההקמה 2022</x:v>
      </x:c>
      <x:c r="P288" s="17" t="str">
        <x:f>IF(AND(H288&lt;50%,N288&gt;50%),"כן","לא")</x:f>
        <x:v>לא</x:v>
      </x:c>
      <x:c r="Q288" s="18" t="n">
        <x:f>SUM(AV288,AJ288,AL288,T288,AN288)</x:f>
        <x:v>155</x:v>
      </x:c>
      <x:c r="R288" s="18" t="n">
        <x:f>SUM(Y288,AU288,X288)</x:f>
        <x:v>0</x:v>
      </x:c>
      <x:c r="S288" s="18" t="n">
        <x:f>J288-K288-L288</x:f>
        <x:v>27</x:v>
      </x:c>
      <x:c r="T288" s="18" t="n">
        <x:v>15</x:v>
      </x:c>
      <x:c r="U288" s="18" t="n">
        <x:v>1</x:v>
      </x:c>
      <x:c r="V288" s="18" t="n">
        <x:v>21</x:v>
      </x:c>
      <x:c r="W288" s="18" t="n">
        <x:v>19</x:v>
      </x:c>
      <x:c r="X288" s="18" t="n">
        <x:v>0</x:v>
      </x:c>
      <x:c r="Y288" s="18" t="n">
        <x:v>0</x:v>
      </x:c>
      <x:c r="Z288" s="18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75</x:v>
      </x:c>
      <x:c r="AE288" s="18" t="n">
        <x:v>0</x:v>
      </x:c>
      <x:c r="AF288" s="18" t="n">
        <x:v>2</x:v>
      </x:c>
      <x:c r="AG288" s="18" t="n">
        <x:v>0</x:v>
      </x:c>
      <x:c r="AH288" s="18" t="n">
        <x:v>0</x:v>
      </x:c>
      <x:c r="AI288" s="18" t="n">
        <x:v>0</x:v>
      </x:c>
      <x:c r="AJ288" s="18" t="n">
        <x:v>44</x:v>
      </x:c>
      <x:c r="AK288" s="18" t="n">
        <x:v>0</x:v>
      </x:c>
      <x:c r="AL288" s="18" t="n">
        <x:v>26</x:v>
      </x:c>
      <x:c r="AM288" s="18" t="n">
        <x:v>98</x:v>
      </x:c>
      <x:c r="AN288" s="18" t="n">
        <x:v>5</x:v>
      </x:c>
      <x:c r="AO288" s="18" t="n">
        <x:v>0</x:v>
      </x:c>
      <x:c r="AP288" s="18" t="n">
        <x:v>0</x:v>
      </x:c>
      <x:c r="AQ288" s="18" t="n">
        <x:v>0</x:v>
      </x:c>
      <x:c r="AR288" s="18" t="n">
        <x:v>0</x:v>
      </x:c>
      <x:c r="AS288" s="18" t="n">
        <x:v>0</x:v>
      </x:c>
      <x:c r="AT288" s="18" t="n">
        <x:v>0</x:v>
      </x:c>
      <x:c r="AU288" s="18" t="n">
        <x:v>0</x:v>
      </x:c>
      <x:c r="AV288" s="18" t="n">
        <x:v>65</x:v>
      </x:c>
      <x:c r="AW288" s="18" t="n">
        <x:v>0</x:v>
      </x:c>
      <x:c r="AX288" s="18" t="n">
        <x:v>0</x:v>
      </x:c>
      <x:c r="AY288" s="18" t="n">
        <x:v>1</x:v>
      </x:c>
      <x:c r="AZ288" s="18" t="n">
        <x:v>0</x:v>
      </x:c>
      <x:c r="BA288" s="18" t="n">
        <x:v>0</x:v>
      </x:c>
      <x:c r="BB288" s="18" t="n">
        <x:v>0</x:v>
      </x:c>
      <x:c r="BC288" s="18" t="n">
        <x:v>0</x:v>
      </x:c>
      <x:c r="BD288" s="18" t="n">
        <x:v>2</x:v>
      </x:c>
      <x:c r="BE288" s="18" t="n">
        <x:v>0</x:v>
      </x:c>
      <x:c r="BF288" s="18" t="n">
        <x:v>14</x:v>
      </x:c>
      <x:c r="BG288" s="18" t="n">
        <x:v>0</x:v>
      </x:c>
    </x:row>
    <x:row r="289">
      <x:c r="A289" s="29" t="str">
        <x:v>355.4</x:v>
      </x:c>
      <x:c r="B289" s="17" t="n">
        <x:v>3138</x:v>
      </x:c>
      <x:c r="C289" s="17" t="str">
        <x:v>בי"ס רמב"ם</x:v>
      </x:c>
      <x:c r="D289" s="17" t="str">
        <x:v>ציון 7</x:v>
      </x:c>
      <x:c r="E289" s="17" t="str">
        <x:v>גבוה מאוד</x:v>
      </x:c>
      <x:c r="F289" s="18" t="n">
        <x:v>613</x:v>
      </x:c>
      <x:c r="G289" s="18" t="n">
        <x:v>382</x:v>
      </x:c>
      <x:c r="H289" s="19" t="n">
        <x:f>IFERROR(G289/F289,0)</x:f>
        <x:v>0.6231647634584013</x:v>
      </x:c>
      <x:c r="I289" s="18" t="n">
        <x:v>4</x:v>
      </x:c>
      <x:c r="J289" s="18" t="n">
        <x:v>378</x:v>
      </x:c>
      <x:c r="K289" s="18" t="n">
        <x:f>SUM(AM289,BF289,W289,AD289)</x:f>
        <x:v>200</x:v>
      </x:c>
      <x:c r="L289" s="18" t="n">
        <x:f>Q289+R289</x:f>
        <x:v>153</x:v>
      </x:c>
      <x:c r="M289" s="19" t="n">
        <x:f>IFERROR(K289/J289,0)</x:f>
        <x:v>0.5291005291005291</x:v>
      </x:c>
      <x:c r="N289" s="19" t="n">
        <x:f>IFERROR(L289/J289,0)</x:f>
        <x:v>0.40476190476190477</x:v>
      </x:c>
      <x:c r="O289" s="17" t="str">
        <x:f>IF(K289&gt;MAX(L289,S289),"קואליציית ההקמה 2022",IF(L289&gt;MAX(K289,S289),"אופוזיציה רחבה 2022","רשימות אחרות"))</x:f>
        <x:v>קואליציית ההקמה 2022</x:v>
      </x:c>
      <x:c r="P289" s="17" t="str">
        <x:f>IF(AND(H289&lt;50%,N289&gt;50%),"כן","לא")</x:f>
        <x:v>לא</x:v>
      </x:c>
      <x:c r="Q289" s="18" t="n">
        <x:f>SUM(AV289,AJ289,AL289,T289,AN289)</x:f>
        <x:v>153</x:v>
      </x:c>
      <x:c r="R289" s="18" t="n">
        <x:f>SUM(Y289,AU289,X289)</x:f>
        <x:v>0</x:v>
      </x:c>
      <x:c r="S289" s="18" t="n">
        <x:f>J289-K289-L289</x:f>
        <x:v>25</x:v>
      </x:c>
      <x:c r="T289" s="18" t="n">
        <x:v>15</x:v>
      </x:c>
      <x:c r="U289" s="18" t="n">
        <x:v>2</x:v>
      </x:c>
      <x:c r="V289" s="18" t="n">
        <x:v>16</x:v>
      </x:c>
      <x:c r="W289" s="18" t="n">
        <x:v>18</x:v>
      </x:c>
      <x:c r="X289" s="18" t="n">
        <x:v>0</x:v>
      </x:c>
      <x:c r="Y289" s="18" t="n">
        <x:v>0</x:v>
      </x:c>
      <x:c r="Z289" s="18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80</x:v>
      </x:c>
      <x:c r="AE289" s="18" t="n">
        <x:v>1</x:v>
      </x:c>
      <x:c r="AF289" s="18" t="n">
        <x:v>1</x:v>
      </x:c>
      <x:c r="AG289" s="18" t="n">
        <x:v>0</x:v>
      </x:c>
      <x:c r="AH289" s="18" t="n">
        <x:v>0</x:v>
      </x:c>
      <x:c r="AI289" s="18" t="n">
        <x:v>0</x:v>
      </x:c>
      <x:c r="AJ289" s="18" t="n">
        <x:v>32</x:v>
      </x:c>
      <x:c r="AK289" s="18" t="n">
        <x:v>0</x:v>
      </x:c>
      <x:c r="AL289" s="18" t="n">
        <x:v>27</x:v>
      </x:c>
      <x:c r="AM289" s="18" t="n">
        <x:v>90</x:v>
      </x:c>
      <x:c r="AN289" s="18" t="n">
        <x:v>4</x:v>
      </x:c>
      <x:c r="AO289" s="18" t="n">
        <x:v>0</x:v>
      </x:c>
      <x:c r="AP289" s="18" t="n">
        <x:v>0</x:v>
      </x:c>
      <x:c r="AQ289" s="18" t="n">
        <x:v>0</x:v>
      </x:c>
      <x:c r="AR289" s="18" t="n">
        <x:v>0</x:v>
      </x:c>
      <x:c r="AS289" s="18" t="n">
        <x:v>0</x:v>
      </x:c>
      <x:c r="AT289" s="18" t="n">
        <x:v>0</x:v>
      </x:c>
      <x:c r="AU289" s="18" t="n">
        <x:v>0</x:v>
      </x:c>
      <x:c r="AV289" s="18" t="n">
        <x:v>75</x:v>
      </x:c>
      <x:c r="AW289" s="18" t="n">
        <x:v>0</x:v>
      </x:c>
      <x:c r="AX289" s="18" t="n">
        <x:v>1</x:v>
      </x:c>
      <x:c r="AY289" s="18" t="n">
        <x:v>0</x:v>
      </x:c>
      <x:c r="AZ289" s="18" t="n">
        <x:v>1</x:v>
      </x:c>
      <x:c r="BA289" s="18" t="n">
        <x:v>0</x:v>
      </x:c>
      <x:c r="BB289" s="18" t="n">
        <x:v>0</x:v>
      </x:c>
      <x:c r="BC289" s="18" t="n">
        <x:v>0</x:v>
      </x:c>
      <x:c r="BD289" s="18" t="n">
        <x:v>2</x:v>
      </x:c>
      <x:c r="BE289" s="18" t="n">
        <x:v>1</x:v>
      </x:c>
      <x:c r="BF289" s="18" t="n">
        <x:v>12</x:v>
      </x:c>
      <x:c r="BG289" s="18" t="n">
        <x:v>0</x:v>
      </x:c>
    </x:row>
    <x:row r="290">
      <x:c r="A290" s="29" t="str">
        <x:v>355.5</x:v>
      </x:c>
      <x:c r="B290" s="17" t="n">
        <x:v>3139</x:v>
      </x:c>
      <x:c r="C290" s="17" t="str">
        <x:v>בי"ס רמב"ם</x:v>
      </x:c>
      <x:c r="D290" s="17" t="str">
        <x:v>ציון 7</x:v>
      </x:c>
      <x:c r="E290" s="17" t="str">
        <x:v>גבוה מאוד</x:v>
      </x:c>
      <x:c r="F290" s="18" t="n">
        <x:v>613</x:v>
      </x:c>
      <x:c r="G290" s="18" t="n">
        <x:v>355</x:v>
      </x:c>
      <x:c r="H290" s="19" t="n">
        <x:f>IFERROR(G290/F290,0)</x:f>
        <x:v>0.5791190864600326</x:v>
      </x:c>
      <x:c r="I290" s="18" t="n">
        <x:v>2</x:v>
      </x:c>
      <x:c r="J290" s="18" t="n">
        <x:v>353</x:v>
      </x:c>
      <x:c r="K290" s="18" t="n">
        <x:f>SUM(AM290,BF290,W290,AD290)</x:f>
        <x:v>178</x:v>
      </x:c>
      <x:c r="L290" s="18" t="n">
        <x:f>Q290+R290</x:f>
        <x:v>149</x:v>
      </x:c>
      <x:c r="M290" s="19" t="n">
        <x:f>IFERROR(K290/J290,0)</x:f>
        <x:v>0.5042492917847026</x:v>
      </x:c>
      <x:c r="N290" s="19" t="n">
        <x:f>IFERROR(L290/J290,0)</x:f>
        <x:v>0.42209631728045327</x:v>
      </x:c>
      <x:c r="O290" s="17" t="str">
        <x:f>IF(K290&gt;MAX(L290,S290),"קואליציית ההקמה 2022",IF(L290&gt;MAX(K290,S290),"אופוזיציה רחבה 2022","רשימות אחרות"))</x:f>
        <x:v>קואליציית ההקמה 2022</x:v>
      </x:c>
      <x:c r="P290" s="17" t="str">
        <x:f>IF(AND(H290&lt;50%,N290&gt;50%),"כן","לא")</x:f>
        <x:v>לא</x:v>
      </x:c>
      <x:c r="Q290" s="18" t="n">
        <x:f>SUM(AV290,AJ290,AL290,T290,AN290)</x:f>
        <x:v>148</x:v>
      </x:c>
      <x:c r="R290" s="18" t="n">
        <x:f>SUM(Y290,AU290,X290)</x:f>
        <x:v>1</x:v>
      </x:c>
      <x:c r="S290" s="18" t="n">
        <x:f>J290-K290-L290</x:f>
        <x:v>26</x:v>
      </x:c>
      <x:c r="T290" s="18" t="n">
        <x:v>9</x:v>
      </x:c>
      <x:c r="U290" s="18" t="n">
        <x:v>4</x:v>
      </x:c>
      <x:c r="V290" s="18" t="n">
        <x:v>17</x:v>
      </x:c>
      <x:c r="W290" s="18" t="n">
        <x:v>10</x:v>
      </x:c>
      <x:c r="X290" s="18" t="n">
        <x:v>0</x:v>
      </x:c>
      <x:c r="Y290" s="18" t="n">
        <x:v>1</x:v>
      </x:c>
      <x:c r="Z290" s="18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60</x:v>
      </x:c>
      <x:c r="AE290" s="18" t="n">
        <x:v>1</x:v>
      </x:c>
      <x:c r="AF290" s="18" t="n">
        <x:v>2</x:v>
      </x:c>
      <x:c r="AG290" s="18" t="n">
        <x:v>0</x:v>
      </x:c>
      <x:c r="AH290" s="18" t="n">
        <x:v>0</x:v>
      </x:c>
      <x:c r="AI290" s="18" t="n">
        <x:v>0</x:v>
      </x:c>
      <x:c r="AJ290" s="18" t="n">
        <x:v>45</x:v>
      </x:c>
      <x:c r="AK290" s="18" t="n">
        <x:v>0</x:v>
      </x:c>
      <x:c r="AL290" s="18" t="n">
        <x:v>17</x:v>
      </x:c>
      <x:c r="AM290" s="18" t="n">
        <x:v>75</x:v>
      </x:c>
      <x:c r="AN290" s="18" t="n">
        <x:v>10</x:v>
      </x:c>
      <x:c r="AO290" s="18" t="n">
        <x:v>1</x:v>
      </x:c>
      <x:c r="AP290" s="18" t="n">
        <x:v>0</x:v>
      </x:c>
      <x:c r="AQ290" s="18" t="n">
        <x:v>0</x:v>
      </x:c>
      <x:c r="AR290" s="18" t="n">
        <x:v>1</x:v>
      </x:c>
      <x:c r="AS290" s="18" t="n">
        <x:v>0</x:v>
      </x:c>
      <x:c r="AT290" s="18" t="n">
        <x:v>0</x:v>
      </x:c>
      <x:c r="AU290" s="18" t="n">
        <x:v>0</x:v>
      </x:c>
      <x:c r="AV290" s="18" t="n">
        <x:v>67</x:v>
      </x:c>
      <x:c r="AW290" s="18" t="n">
        <x:v>0</x:v>
      </x:c>
      <x:c r="AX290" s="18" t="n">
        <x:v>0</x:v>
      </x:c>
      <x:c r="AY290" s="18" t="n">
        <x:v>0</x:v>
      </x:c>
      <x:c r="AZ290" s="18" t="n">
        <x:v>0</x:v>
      </x:c>
      <x:c r="BA290" s="18" t="n">
        <x:v>0</x:v>
      </x:c>
      <x:c r="BB290" s="18" t="n">
        <x:v>0</x:v>
      </x:c>
      <x:c r="BC290" s="18" t="n">
        <x:v>0</x:v>
      </x:c>
      <x:c r="BD290" s="18" t="n">
        <x:v>0</x:v>
      </x:c>
      <x:c r="BE290" s="18" t="n">
        <x:v>0</x:v>
      </x:c>
      <x:c r="BF290" s="18" t="n">
        <x:v>33</x:v>
      </x:c>
      <x:c r="BG290" s="18" t="n">
        <x:v>0</x:v>
      </x:c>
    </x:row>
    <x:row r="291">
      <x:c r="A291" s="29" t="str">
        <x:v>355.6</x:v>
      </x:c>
      <x:c r="B291" s="17" t="n">
        <x:v>3140</x:v>
      </x:c>
      <x:c r="C291" s="17" t="str">
        <x:v>בי"ס רמב"ם</x:v>
      </x:c>
      <x:c r="D291" s="17" t="str">
        <x:v>ציון 7</x:v>
      </x:c>
      <x:c r="E291" s="17" t="str">
        <x:v>גבוה מאוד</x:v>
      </x:c>
      <x:c r="F291" s="18" t="n">
        <x:v>613</x:v>
      </x:c>
      <x:c r="G291" s="18" t="n">
        <x:v>377</x:v>
      </x:c>
      <x:c r="H291" s="19" t="n">
        <x:f>IFERROR(G291/F291,0)</x:f>
        <x:v>0.6150081566068516</x:v>
      </x:c>
      <x:c r="I291" s="18" t="n">
        <x:v>1</x:v>
      </x:c>
      <x:c r="J291" s="18" t="n">
        <x:v>376</x:v>
      </x:c>
      <x:c r="K291" s="18" t="n">
        <x:f>SUM(AM291,BF291,W291,AD291)</x:f>
        <x:v>187</x:v>
      </x:c>
      <x:c r="L291" s="18" t="n">
        <x:f>Q291+R291</x:f>
        <x:v>162</x:v>
      </x:c>
      <x:c r="M291" s="19" t="n">
        <x:f>IFERROR(K291/J291,0)</x:f>
        <x:v>0.4973404255319149</x:v>
      </x:c>
      <x:c r="N291" s="19" t="n">
        <x:f>IFERROR(L291/J291,0)</x:f>
        <x:v>0.4308510638297872</x:v>
      </x:c>
      <x:c r="O291" s="17" t="str">
        <x:f>IF(K291&gt;MAX(L291,S291),"קואליציית ההקמה 2022",IF(L291&gt;MAX(K291,S291),"אופוזיציה רחבה 2022","רשימות אחרות"))</x:f>
        <x:v>קואליציית ההקמה 2022</x:v>
      </x:c>
      <x:c r="P291" s="17" t="str">
        <x:f>IF(AND(H291&lt;50%,N291&gt;50%),"כן","לא")</x:f>
        <x:v>לא</x:v>
      </x:c>
      <x:c r="Q291" s="18" t="n">
        <x:f>SUM(AV291,AJ291,AL291,T291,AN291)</x:f>
        <x:v>159</x:v>
      </x:c>
      <x:c r="R291" s="18" t="n">
        <x:f>SUM(Y291,AU291,X291)</x:f>
        <x:v>3</x:v>
      </x:c>
      <x:c r="S291" s="18" t="n">
        <x:f>J291-K291-L291</x:f>
        <x:v>27</x:v>
      </x:c>
      <x:c r="T291" s="18" t="n">
        <x:v>9</x:v>
      </x:c>
      <x:c r="U291" s="18" t="n">
        <x:v>2</x:v>
      </x:c>
      <x:c r="V291" s="18" t="n">
        <x:v>15</x:v>
      </x:c>
      <x:c r="W291" s="18" t="n">
        <x:v>13</x:v>
      </x:c>
      <x:c r="X291" s="18" t="n">
        <x:v>1</x:v>
      </x:c>
      <x:c r="Y291" s="18" t="n">
        <x:v>1</x:v>
      </x:c>
      <x:c r="Z291" s="18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79</x:v>
      </x:c>
      <x:c r="AE291" s="18" t="n">
        <x:v>0</x:v>
      </x:c>
      <x:c r="AF291" s="18" t="n">
        <x:v>4</x:v>
      </x:c>
      <x:c r="AG291" s="18" t="n">
        <x:v>0</x:v>
      </x:c>
      <x:c r="AH291" s="18" t="n">
        <x:v>0</x:v>
      </x:c>
      <x:c r="AI291" s="18" t="n">
        <x:v>0</x:v>
      </x:c>
      <x:c r="AJ291" s="18" t="n">
        <x:v>31</x:v>
      </x:c>
      <x:c r="AK291" s="18" t="n">
        <x:v>0</x:v>
      </x:c>
      <x:c r="AL291" s="18" t="n">
        <x:v>33</x:v>
      </x:c>
      <x:c r="AM291" s="18" t="n">
        <x:v>73</x:v>
      </x:c>
      <x:c r="AN291" s="18" t="n">
        <x:v>8</x:v>
      </x:c>
      <x:c r="AO291" s="18" t="n">
        <x:v>0</x:v>
      </x:c>
      <x:c r="AP291" s="18" t="n">
        <x:v>0</x:v>
      </x:c>
      <x:c r="AQ291" s="18" t="n">
        <x:v>0</x:v>
      </x:c>
      <x:c r="AR291" s="18" t="n">
        <x:v>0</x:v>
      </x:c>
      <x:c r="AS291" s="18" t="n">
        <x:v>0</x:v>
      </x:c>
      <x:c r="AT291" s="18" t="n">
        <x:v>0</x:v>
      </x:c>
      <x:c r="AU291" s="18" t="n">
        <x:v>1</x:v>
      </x:c>
      <x:c r="AV291" s="18" t="n">
        <x:v>78</x:v>
      </x:c>
      <x:c r="AW291" s="18" t="n">
        <x:v>0</x:v>
      </x:c>
      <x:c r="AX291" s="18" t="n">
        <x:v>0</x:v>
      </x:c>
      <x:c r="AY291" s="18" t="n">
        <x:v>0</x:v>
      </x:c>
      <x:c r="AZ291" s="18" t="n">
        <x:v>0</x:v>
      </x:c>
      <x:c r="BA291" s="18" t="n">
        <x:v>1</x:v>
      </x:c>
      <x:c r="BB291" s="18" t="n">
        <x:v>0</x:v>
      </x:c>
      <x:c r="BC291" s="18" t="n">
        <x:v>0</x:v>
      </x:c>
      <x:c r="BD291" s="18" t="n">
        <x:v>4</x:v>
      </x:c>
      <x:c r="BE291" s="18" t="n">
        <x:v>0</x:v>
      </x:c>
      <x:c r="BF291" s="18" t="n">
        <x:v>22</x:v>
      </x:c>
      <x:c r="BG291" s="18" t="n">
        <x:v>1</x:v>
      </x:c>
    </x:row>
    <x:row r="292">
      <x:c r="A292" s="29" t="str">
        <x:v>355.7</x:v>
      </x:c>
      <x:c r="B292" s="17" t="n">
        <x:v>3141</x:v>
      </x:c>
      <x:c r="C292" s="17" t="str">
        <x:v>בי"ס רמב"ם</x:v>
      </x:c>
      <x:c r="D292" s="17" t="str">
        <x:v>ציון 7</x:v>
      </x:c>
      <x:c r="E292" s="17" t="str">
        <x:v>גבוה מאוד</x:v>
      </x:c>
      <x:c r="F292" s="18" t="n">
        <x:v>613</x:v>
      </x:c>
      <x:c r="G292" s="18" t="n">
        <x:v>407</x:v>
      </x:c>
      <x:c r="H292" s="19" t="n">
        <x:f>IFERROR(G292/F292,0)</x:f>
        <x:v>0.6639477977161501</x:v>
      </x:c>
      <x:c r="I292" s="18" t="n">
        <x:v>5</x:v>
      </x:c>
      <x:c r="J292" s="18" t="n">
        <x:v>402</x:v>
      </x:c>
      <x:c r="K292" s="18" t="n">
        <x:f>SUM(AM292,BF292,W292,AD292)</x:f>
        <x:v>221</x:v>
      </x:c>
      <x:c r="L292" s="18" t="n">
        <x:f>Q292+R292</x:f>
        <x:v>161</x:v>
      </x:c>
      <x:c r="M292" s="19" t="n">
        <x:f>IFERROR(K292/J292,0)</x:f>
        <x:v>0.5497512437810945</x:v>
      </x:c>
      <x:c r="N292" s="19" t="n">
        <x:f>IFERROR(L292/J292,0)</x:f>
        <x:v>0.40049751243781095</x:v>
      </x:c>
      <x:c r="O292" s="17" t="str">
        <x:f>IF(K292&gt;MAX(L292,S292),"קואליציית ההקמה 2022",IF(L292&gt;MAX(K292,S292),"אופוזיציה רחבה 2022","רשימות אחרות"))</x:f>
        <x:v>קואליציית ההקמה 2022</x:v>
      </x:c>
      <x:c r="P292" s="17" t="str">
        <x:f>IF(AND(H292&lt;50%,N292&gt;50%),"כן","לא")</x:f>
        <x:v>לא</x:v>
      </x:c>
      <x:c r="Q292" s="18" t="n">
        <x:f>SUM(AV292,AJ292,AL292,T292,AN292)</x:f>
        <x:v>161</x:v>
      </x:c>
      <x:c r="R292" s="18" t="n">
        <x:f>SUM(Y292,AU292,X292)</x:f>
        <x:v>0</x:v>
      </x:c>
      <x:c r="S292" s="18" t="n">
        <x:f>J292-K292-L292</x:f>
        <x:v>20</x:v>
      </x:c>
      <x:c r="T292" s="18" t="n">
        <x:v>15</x:v>
      </x:c>
      <x:c r="U292" s="18" t="n">
        <x:v>1</x:v>
      </x:c>
      <x:c r="V292" s="18" t="n">
        <x:v>17</x:v>
      </x:c>
      <x:c r="W292" s="18" t="n">
        <x:v>6</x:v>
      </x:c>
      <x:c r="X292" s="18" t="n">
        <x:v>0</x:v>
      </x:c>
      <x:c r="Y292" s="18" t="n">
        <x:v>0</x:v>
      </x:c>
      <x:c r="Z292" s="18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92</x:v>
      </x:c>
      <x:c r="AE292" s="18" t="n">
        <x:v>0</x:v>
      </x:c>
      <x:c r="AF292" s="18" t="n">
        <x:v>0</x:v>
      </x:c>
      <x:c r="AG292" s="18" t="n">
        <x:v>0</x:v>
      </x:c>
      <x:c r="AH292" s="18" t="n">
        <x:v>0</x:v>
      </x:c>
      <x:c r="AI292" s="18" t="n">
        <x:v>0</x:v>
      </x:c>
      <x:c r="AJ292" s="18" t="n">
        <x:v>29</x:v>
      </x:c>
      <x:c r="AK292" s="18" t="n">
        <x:v>0</x:v>
      </x:c>
      <x:c r="AL292" s="18" t="n">
        <x:v>30</x:v>
      </x:c>
      <x:c r="AM292" s="18" t="n">
        <x:v>89</x:v>
      </x:c>
      <x:c r="AN292" s="18" t="n">
        <x:v>5</x:v>
      </x:c>
      <x:c r="AO292" s="18" t="n">
        <x:v>0</x:v>
      </x:c>
      <x:c r="AP292" s="18" t="n">
        <x:v>1</x:v>
      </x:c>
      <x:c r="AQ292" s="18" t="n">
        <x:v>0</x:v>
      </x:c>
      <x:c r="AR292" s="18" t="n">
        <x:v>0</x:v>
      </x:c>
      <x:c r="AS292" s="18" t="n">
        <x:v>0</x:v>
      </x:c>
      <x:c r="AT292" s="18" t="n">
        <x:v>0</x:v>
      </x:c>
      <x:c r="AU292" s="18" t="n">
        <x:v>0</x:v>
      </x:c>
      <x:c r="AV292" s="18" t="n">
        <x:v>82</x:v>
      </x:c>
      <x:c r="AW292" s="18" t="n">
        <x:v>0</x:v>
      </x:c>
      <x:c r="AX292" s="18" t="n">
        <x:v>0</x:v>
      </x:c>
      <x:c r="AY292" s="18" t="n">
        <x:v>0</x:v>
      </x:c>
      <x:c r="AZ292" s="18" t="n">
        <x:v>0</x:v>
      </x:c>
      <x:c r="BA292" s="18" t="n">
        <x:v>0</x:v>
      </x:c>
      <x:c r="BB292" s="18" t="n">
        <x:v>0</x:v>
      </x:c>
      <x:c r="BC292" s="18" t="n">
        <x:v>0</x:v>
      </x:c>
      <x:c r="BD292" s="18" t="n">
        <x:v>1</x:v>
      </x:c>
      <x:c r="BE292" s="18" t="n">
        <x:v>0</x:v>
      </x:c>
      <x:c r="BF292" s="18" t="n">
        <x:v>34</x:v>
      </x:c>
      <x:c r="BG292" s="18" t="n">
        <x:v>0</x:v>
      </x:c>
    </x:row>
    <x:row r="293">
      <x:c r="A293" s="29" t="str">
        <x:v>359</x:v>
      </x:c>
      <x:c r="B293" s="17" t="n">
        <x:v>3094</x:v>
      </x:c>
      <x:c r="C293" s="17" t="str">
        <x:v>שלוחת בי"ס אינשטיין</x:v>
      </x:c>
      <x:c r="D293" s="17" t="str">
        <x:v>אינשטיין אלברט 94</x:v>
      </x:c>
      <x:c r="E293" s="17" t="str">
        <x:v>גבוה מאוד</x:v>
      </x:c>
      <x:c r="F293" s="18" t="n">
        <x:v>507</x:v>
      </x:c>
      <x:c r="G293" s="18" t="n">
        <x:v>376</x:v>
      </x:c>
      <x:c r="H293" s="19" t="n">
        <x:f>IFERROR(G293/F293,0)</x:f>
        <x:v>0.7416173570019724</x:v>
      </x:c>
      <x:c r="I293" s="18" t="n">
        <x:v>2</x:v>
      </x:c>
      <x:c r="J293" s="18" t="n">
        <x:v>374</x:v>
      </x:c>
      <x:c r="K293" s="18" t="n">
        <x:f>SUM(AM293,BF293,W293,AD293)</x:f>
        <x:v>65</x:v>
      </x:c>
      <x:c r="L293" s="18" t="n">
        <x:f>Q293+R293</x:f>
        <x:v>304</x:v>
      </x:c>
      <x:c r="M293" s="19" t="n">
        <x:f>IFERROR(K293/J293,0)</x:f>
        <x:v>0.17379679144385027</x:v>
      </x:c>
      <x:c r="N293" s="19" t="n">
        <x:f>IFERROR(L293/J293,0)</x:f>
        <x:v>0.8128342245989305</x:v>
      </x:c>
      <x:c r="O293" s="17" t="str">
        <x:f>IF(K293&gt;MAX(L293,S293),"קואליציית ההקמה 2022",IF(L293&gt;MAX(K293,S293),"אופוזיציה רחבה 2022","רשימות אחרות"))</x:f>
        <x:v>אופוזיציה רחבה 2022</x:v>
      </x:c>
      <x:c r="P293" s="17" t="str">
        <x:f>IF(AND(H293&lt;50%,N293&gt;50%),"כן","לא")</x:f>
        <x:v>לא</x:v>
      </x:c>
      <x:c r="Q293" s="18" t="n">
        <x:f>SUM(AV293,AJ293,AL293,T293,AN293)</x:f>
        <x:v>303</x:v>
      </x:c>
      <x:c r="R293" s="18" t="n">
        <x:f>SUM(Y293,AU293,X293)</x:f>
        <x:v>1</x:v>
      </x:c>
      <x:c r="S293" s="18" t="n">
        <x:f>J293-K293-L293</x:f>
        <x:v>5</x:v>
      </x:c>
      <x:c r="T293" s="18" t="n">
        <x:v>36</x:v>
      </x:c>
      <x:c r="U293" s="18" t="n">
        <x:v>0</x:v>
      </x:c>
      <x:c r="V293" s="18" t="n">
        <x:v>1</x:v>
      </x:c>
      <x:c r="W293" s="18" t="n">
        <x:v>0</x:v>
      </x:c>
      <x:c r="X293" s="18" t="n">
        <x:v>0</x:v>
      </x:c>
      <x:c r="Y293" s="18" t="n">
        <x:v>1</x:v>
      </x:c>
      <x:c r="Z293" s="18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5</x:v>
      </x:c>
      <x:c r="AE293" s="18" t="n">
        <x:v>0</x:v>
      </x:c>
      <x:c r="AF293" s="18" t="n">
        <x:v>0</x:v>
      </x:c>
      <x:c r="AG293" s="18" t="n">
        <x:v>0</x:v>
      </x:c>
      <x:c r="AH293" s="18" t="n">
        <x:v>0</x:v>
      </x:c>
      <x:c r="AI293" s="18" t="n">
        <x:v>0</x:v>
      </x:c>
      <x:c r="AJ293" s="18" t="n">
        <x:v>75</x:v>
      </x:c>
      <x:c r="AK293" s="18" t="n">
        <x:v>0</x:v>
      </x:c>
      <x:c r="AL293" s="18" t="n">
        <x:v>14</x:v>
      </x:c>
      <x:c r="AM293" s="18" t="n">
        <x:v>58</x:v>
      </x:c>
      <x:c r="AN293" s="18" t="n">
        <x:v>13</x:v>
      </x:c>
      <x:c r="AO293" s="18" t="n">
        <x:v>0</x:v>
      </x:c>
      <x:c r="AP293" s="18" t="n">
        <x:v>0</x:v>
      </x:c>
      <x:c r="AQ293" s="18" t="n">
        <x:v>0</x:v>
      </x:c>
      <x:c r="AR293" s="18" t="n">
        <x:v>0</x:v>
      </x:c>
      <x:c r="AS293" s="18" t="n">
        <x:v>0</x:v>
      </x:c>
      <x:c r="AT293" s="18" t="n">
        <x:v>0</x:v>
      </x:c>
      <x:c r="AU293" s="18" t="n">
        <x:v>0</x:v>
      </x:c>
      <x:c r="AV293" s="18" t="n">
        <x:v>165</x:v>
      </x:c>
      <x:c r="AW293" s="18" t="n">
        <x:v>0</x:v>
      </x:c>
      <x:c r="AX293" s="18" t="n">
        <x:v>0</x:v>
      </x:c>
      <x:c r="AY293" s="18" t="n">
        <x:v>0</x:v>
      </x:c>
      <x:c r="AZ293" s="18" t="n">
        <x:v>0</x:v>
      </x:c>
      <x:c r="BA293" s="18" t="n">
        <x:v>0</x:v>
      </x:c>
      <x:c r="BB293" s="18" t="n">
        <x:v>0</x:v>
      </x:c>
      <x:c r="BC293" s="18" t="n">
        <x:v>0</x:v>
      </x:c>
      <x:c r="BD293" s="18" t="n">
        <x:v>4</x:v>
      </x:c>
      <x:c r="BE293" s="18" t="n">
        <x:v>0</x:v>
      </x:c>
      <x:c r="BF293" s="18" t="n">
        <x:v>2</x:v>
      </x:c>
      <x:c r="BG293" s="18" t="n">
        <x:v>0</x:v>
      </x:c>
    </x:row>
    <x:row r="294">
      <x:c r="A294" s="29" t="str">
        <x:v>360.1</x:v>
      </x:c>
      <x:c r="B294" s="17" t="n">
        <x:v>3142</x:v>
      </x:c>
      <x:c r="C294" s="17" t="str">
        <x:v>גן ילדים אודם</x:v>
      </x:c>
      <x:c r="D294" s="17" t="str">
        <x:v>לוין גוטל 22</x:v>
      </x:c>
      <x:c r="E294" s="17" t="str">
        <x:v>גבוה מאוד</x:v>
      </x:c>
      <x:c r="F294" s="18" t="n">
        <x:v>594</x:v>
      </x:c>
      <x:c r="G294" s="18" t="n">
        <x:v>409</x:v>
      </x:c>
      <x:c r="H294" s="19" t="n">
        <x:f>IFERROR(G294/F294,0)</x:f>
        <x:v>0.6885521885521886</x:v>
      </x:c>
      <x:c r="I294" s="18" t="n">
        <x:v>0</x:v>
      </x:c>
      <x:c r="J294" s="18" t="n">
        <x:v>409</x:v>
      </x:c>
      <x:c r="K294" s="18" t="n">
        <x:f>SUM(AM294,BF294,W294,AD294)</x:f>
        <x:v>90</x:v>
      </x:c>
      <x:c r="L294" s="18" t="n">
        <x:f>Q294+R294</x:f>
        <x:v>309</x:v>
      </x:c>
      <x:c r="M294" s="19" t="n">
        <x:f>IFERROR(K294/J294,0)</x:f>
        <x:v>0.2200488997555012</x:v>
      </x:c>
      <x:c r="N294" s="19" t="n">
        <x:f>IFERROR(L294/J294,0)</x:f>
        <x:v>0.7555012224938875</x:v>
      </x:c>
      <x:c r="O294" s="17" t="str">
        <x:f>IF(K294&gt;MAX(L294,S294),"קואליציית ההקמה 2022",IF(L294&gt;MAX(K294,S294),"אופוזיציה רחבה 2022","רשימות אחרות"))</x:f>
        <x:v>אופוזיציה רחבה 2022</x:v>
      </x:c>
      <x:c r="P294" s="17" t="str">
        <x:f>IF(AND(H294&lt;50%,N294&gt;50%),"כן","לא")</x:f>
        <x:v>לא</x:v>
      </x:c>
      <x:c r="Q294" s="18" t="n">
        <x:f>SUM(AV294,AJ294,AL294,T294,AN294)</x:f>
        <x:v>306</x:v>
      </x:c>
      <x:c r="R294" s="18" t="n">
        <x:f>SUM(Y294,AU294,X294)</x:f>
        <x:v>3</x:v>
      </x:c>
      <x:c r="S294" s="18" t="n">
        <x:f>J294-K294-L294</x:f>
        <x:v>10</x:v>
      </x:c>
      <x:c r="T294" s="18" t="n">
        <x:v>23</x:v>
      </x:c>
      <x:c r="U294" s="18" t="n">
        <x:v>3</x:v>
      </x:c>
      <x:c r="V294" s="18" t="n">
        <x:v>0</x:v>
      </x:c>
      <x:c r="W294" s="18" t="n">
        <x:v>1</x:v>
      </x:c>
      <x:c r="X294" s="18" t="n">
        <x:v>0</x:v>
      </x:c>
      <x:c r="Y294" s="18" t="n">
        <x:v>2</x:v>
      </x:c>
      <x:c r="Z294" s="18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18</x:v>
      </x:c>
      <x:c r="AE294" s="18" t="n">
        <x:v>0</x:v>
      </x:c>
      <x:c r="AF294" s="18" t="n">
        <x:v>4</x:v>
      </x:c>
      <x:c r="AG294" s="18" t="n">
        <x:v>0</x:v>
      </x:c>
      <x:c r="AH294" s="18" t="n">
        <x:v>0</x:v>
      </x:c>
      <x:c r="AI294" s="18" t="n">
        <x:v>0</x:v>
      </x:c>
      <x:c r="AJ294" s="18" t="n">
        <x:v>57</x:v>
      </x:c>
      <x:c r="AK294" s="18" t="n">
        <x:v>0</x:v>
      </x:c>
      <x:c r="AL294" s="18" t="n">
        <x:v>42</x:v>
      </x:c>
      <x:c r="AM294" s="18" t="n">
        <x:v>70</x:v>
      </x:c>
      <x:c r="AN294" s="18" t="n">
        <x:v>18</x:v>
      </x:c>
      <x:c r="AO294" s="18" t="n">
        <x:v>0</x:v>
      </x:c>
      <x:c r="AP294" s="18" t="n">
        <x:v>1</x:v>
      </x:c>
      <x:c r="AQ294" s="18" t="n">
        <x:v>0</x:v>
      </x:c>
      <x:c r="AR294" s="18" t="n">
        <x:v>0</x:v>
      </x:c>
      <x:c r="AS294" s="18" t="n">
        <x:v>0</x:v>
      </x:c>
      <x:c r="AT294" s="18" t="n">
        <x:v>0</x:v>
      </x:c>
      <x:c r="AU294" s="18" t="n">
        <x:v>1</x:v>
      </x:c>
      <x:c r="AV294" s="18" t="n">
        <x:v>166</x:v>
      </x:c>
      <x:c r="AW294" s="18" t="n">
        <x:v>0</x:v>
      </x:c>
      <x:c r="AX294" s="18" t="n">
        <x:v>0</x:v>
      </x:c>
      <x:c r="AY294" s="18" t="n">
        <x:v>0</x:v>
      </x:c>
      <x:c r="AZ294" s="18" t="n">
        <x:v>0</x:v>
      </x:c>
      <x:c r="BA294" s="18" t="n">
        <x:v>0</x:v>
      </x:c>
      <x:c r="BB294" s="18" t="n">
        <x:v>0</x:v>
      </x:c>
      <x:c r="BC294" s="18" t="n">
        <x:v>0</x:v>
      </x:c>
      <x:c r="BD294" s="18" t="n">
        <x:v>2</x:v>
      </x:c>
      <x:c r="BE294" s="18" t="n">
        <x:v>0</x:v>
      </x:c>
      <x:c r="BF294" s="18" t="n">
        <x:v>1</x:v>
      </x:c>
      <x:c r="BG294" s="18" t="n">
        <x:v>0</x:v>
      </x:c>
    </x:row>
    <x:row r="295">
      <x:c r="A295" s="29" t="str">
        <x:v>361</x:v>
      </x:c>
      <x:c r="B295" s="17" t="n">
        <x:v>3143</x:v>
      </x:c>
      <x:c r="C295" s="17" t="str">
        <x:v>מרכז קהילתי רמת ספיר</x:v>
      </x:c>
      <x:c r="D295" s="17" t="str">
        <x:v>לוין גוטל 22א</x:v>
      </x:c>
      <x:c r="E295" s="17" t="str">
        <x:v>גבוה מאוד</x:v>
      </x:c>
      <x:c r="F295" s="18" t="n">
        <x:v>365</x:v>
      </x:c>
      <x:c r="G295" s="18" t="n">
        <x:v>256</x:v>
      </x:c>
      <x:c r="H295" s="19" t="n">
        <x:f>IFERROR(G295/F295,0)</x:f>
        <x:v>0.7013698630136986</x:v>
      </x:c>
      <x:c r="I295" s="18" t="n">
        <x:v>2</x:v>
      </x:c>
      <x:c r="J295" s="18" t="n">
        <x:v>254</x:v>
      </x:c>
      <x:c r="K295" s="18" t="n">
        <x:f>SUM(AM295,BF295,W295,AD295)</x:f>
        <x:v>58</x:v>
      </x:c>
      <x:c r="L295" s="18" t="n">
        <x:f>Q295+R295</x:f>
        <x:v>195</x:v>
      </x:c>
      <x:c r="M295" s="19" t="n">
        <x:f>IFERROR(K295/J295,0)</x:f>
        <x:v>0.2283464566929134</x:v>
      </x:c>
      <x:c r="N295" s="19" t="n">
        <x:f>IFERROR(L295/J295,0)</x:f>
        <x:v>0.7677165354330708</x:v>
      </x:c>
      <x:c r="O295" s="17" t="str">
        <x:f>IF(K295&gt;MAX(L295,S295),"קואליציית ההקמה 2022",IF(L295&gt;MAX(K295,S295),"אופוזיציה רחבה 2022","רשימות אחרות"))</x:f>
        <x:v>אופוזיציה רחבה 2022</x:v>
      </x:c>
      <x:c r="P295" s="17" t="str">
        <x:f>IF(AND(H295&lt;50%,N295&gt;50%),"כן","לא")</x:f>
        <x:v>לא</x:v>
      </x:c>
      <x:c r="Q295" s="18" t="n">
        <x:f>SUM(AV295,AJ295,AL295,T295,AN295)</x:f>
        <x:v>193</x:v>
      </x:c>
      <x:c r="R295" s="18" t="n">
        <x:f>SUM(Y295,AU295,X295)</x:f>
        <x:v>2</x:v>
      </x:c>
      <x:c r="S295" s="18" t="n">
        <x:f>J295-K295-L295</x:f>
        <x:v>1</x:v>
      </x:c>
      <x:c r="T295" s="18" t="n">
        <x:v>18</x:v>
      </x:c>
      <x:c r="U295" s="18" t="n">
        <x:v>0</x:v>
      </x:c>
      <x:c r="V295" s="18" t="n">
        <x:v>0</x:v>
      </x:c>
      <x:c r="W295" s="18" t="n">
        <x:v>0</x:v>
      </x:c>
      <x:c r="X295" s="18" t="n">
        <x:v>2</x:v>
      </x:c>
      <x:c r="Y295" s="18" t="n">
        <x:v>0</x:v>
      </x:c>
      <x:c r="Z295" s="18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12</x:v>
      </x:c>
      <x:c r="AE295" s="18" t="n">
        <x:v>0</x:v>
      </x:c>
      <x:c r="AF295" s="18" t="n">
        <x:v>1</x:v>
      </x:c>
      <x:c r="AG295" s="18" t="n">
        <x:v>0</x:v>
      </x:c>
      <x:c r="AH295" s="18" t="n">
        <x:v>0</x:v>
      </x:c>
      <x:c r="AI295" s="18" t="n">
        <x:v>0</x:v>
      </x:c>
      <x:c r="AJ295" s="18" t="n">
        <x:v>31</x:v>
      </x:c>
      <x:c r="AK295" s="18" t="n">
        <x:v>0</x:v>
      </x:c>
      <x:c r="AL295" s="18" t="n">
        <x:v>11</x:v>
      </x:c>
      <x:c r="AM295" s="18" t="n">
        <x:v>42</x:v>
      </x:c>
      <x:c r="AN295" s="18" t="n">
        <x:v>9</x:v>
      </x:c>
      <x:c r="AO295" s="18" t="n">
        <x:v>0</x:v>
      </x:c>
      <x:c r="AP295" s="18" t="n">
        <x:v>0</x:v>
      </x:c>
      <x:c r="AQ295" s="18" t="n">
        <x:v>0</x:v>
      </x:c>
      <x:c r="AR295" s="18" t="n">
        <x:v>0</x:v>
      </x:c>
      <x:c r="AS295" s="18" t="n">
        <x:v>0</x:v>
      </x:c>
      <x:c r="AT295" s="18" t="n">
        <x:v>0</x:v>
      </x:c>
      <x:c r="AU295" s="18" t="n">
        <x:v>0</x:v>
      </x:c>
      <x:c r="AV295" s="18" t="n">
        <x:v>124</x:v>
      </x:c>
      <x:c r="AW295" s="18" t="n">
        <x:v>0</x:v>
      </x:c>
      <x:c r="AX295" s="18" t="n">
        <x:v>0</x:v>
      </x:c>
      <x:c r="AY295" s="18" t="n">
        <x:v>0</x:v>
      </x:c>
      <x:c r="AZ295" s="18" t="n">
        <x:v>0</x:v>
      </x:c>
      <x:c r="BA295" s="18" t="n">
        <x:v>0</x:v>
      </x:c>
      <x:c r="BB295" s="18" t="n">
        <x:v>0</x:v>
      </x:c>
      <x:c r="BC295" s="18" t="n">
        <x:v>0</x:v>
      </x:c>
      <x:c r="BD295" s="18" t="n">
        <x:v>0</x:v>
      </x:c>
      <x:c r="BE295" s="18" t="n">
        <x:v>0</x:v>
      </x:c>
      <x:c r="BF295" s="18" t="n">
        <x:v>4</x:v>
      </x:c>
      <x:c r="BG295" s="18" t="n">
        <x:v>0</x:v>
      </x:c>
    </x:row>
    <x:row r="296">
      <x:c r="A296" s="29" t="str">
        <x:v>362</x:v>
      </x:c>
      <x:c r="B296" s="17" t="n">
        <x:v>3144</x:v>
      </x:c>
      <x:c r="C296" s="17" t="str">
        <x:v>מרכז קהילתי רמת ספיר</x:v>
      </x:c>
      <x:c r="D296" s="17" t="str">
        <x:v>לוין גוטל 22א</x:v>
      </x:c>
      <x:c r="E296" s="17" t="str">
        <x:v>גבוה מאוד</x:v>
      </x:c>
      <x:c r="F296" s="18" t="n">
        <x:v>558</x:v>
      </x:c>
      <x:c r="G296" s="18" t="n">
        <x:v>410</x:v>
      </x:c>
      <x:c r="H296" s="19" t="n">
        <x:f>IFERROR(G296/F296,0)</x:f>
        <x:v>0.7347670250896058</x:v>
      </x:c>
      <x:c r="I296" s="18" t="n">
        <x:v>2</x:v>
      </x:c>
      <x:c r="J296" s="18" t="n">
        <x:v>408</x:v>
      </x:c>
      <x:c r="K296" s="18" t="n">
        <x:f>SUM(AM296,BF296,W296,AD296)</x:f>
        <x:v>96</x:v>
      </x:c>
      <x:c r="L296" s="18" t="n">
        <x:f>Q296+R296</x:f>
        <x:v>304</x:v>
      </x:c>
      <x:c r="M296" s="19" t="n">
        <x:f>IFERROR(K296/J296,0)</x:f>
        <x:v>0.23529411764705882</x:v>
      </x:c>
      <x:c r="N296" s="19" t="n">
        <x:f>IFERROR(L296/J296,0)</x:f>
        <x:v>0.7450980392156863</x:v>
      </x:c>
      <x:c r="O296" s="17" t="str">
        <x:f>IF(K296&gt;MAX(L296,S296),"קואליציית ההקמה 2022",IF(L296&gt;MAX(K296,S296),"אופוזיציה רחבה 2022","רשימות אחרות"))</x:f>
        <x:v>אופוזיציה רחבה 2022</x:v>
      </x:c>
      <x:c r="P296" s="17" t="str">
        <x:f>IF(AND(H296&lt;50%,N296&gt;50%),"כן","לא")</x:f>
        <x:v>לא</x:v>
      </x:c>
      <x:c r="Q296" s="18" t="n">
        <x:f>SUM(AV296,AJ296,AL296,T296,AN296)</x:f>
        <x:v>304</x:v>
      </x:c>
      <x:c r="R296" s="18" t="n">
        <x:f>SUM(Y296,AU296,X296)</x:f>
        <x:v>0</x:v>
      </x:c>
      <x:c r="S296" s="18" t="n">
        <x:f>J296-K296-L296</x:f>
        <x:v>8</x:v>
      </x:c>
      <x:c r="T296" s="18" t="n">
        <x:v>30</x:v>
      </x:c>
      <x:c r="U296" s="18" t="n">
        <x:v>0</x:v>
      </x:c>
      <x:c r="V296" s="18" t="n">
        <x:v>3</x:v>
      </x:c>
      <x:c r="W296" s="18" t="n">
        <x:v>0</x:v>
      </x:c>
      <x:c r="X296" s="18" t="n">
        <x:v>0</x:v>
      </x:c>
      <x:c r="Y296" s="18" t="n">
        <x:v>0</x:v>
      </x:c>
      <x:c r="Z296" s="18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15</x:v>
      </x:c>
      <x:c r="AE296" s="18" t="n">
        <x:v>1</x:v>
      </x:c>
      <x:c r="AF296" s="18" t="n">
        <x:v>2</x:v>
      </x:c>
      <x:c r="AG296" s="18" t="n">
        <x:v>0</x:v>
      </x:c>
      <x:c r="AH296" s="18" t="n">
        <x:v>0</x:v>
      </x:c>
      <x:c r="AI296" s="18" t="n">
        <x:v>0</x:v>
      </x:c>
      <x:c r="AJ296" s="18" t="n">
        <x:v>68</x:v>
      </x:c>
      <x:c r="AK296" s="18" t="n">
        <x:v>0</x:v>
      </x:c>
      <x:c r="AL296" s="18" t="n">
        <x:v>24</x:v>
      </x:c>
      <x:c r="AM296" s="18" t="n">
        <x:v>76</x:v>
      </x:c>
      <x:c r="AN296" s="18" t="n">
        <x:v>16</x:v>
      </x:c>
      <x:c r="AO296" s="18" t="n">
        <x:v>0</x:v>
      </x:c>
      <x:c r="AP296" s="18" t="n">
        <x:v>0</x:v>
      </x:c>
      <x:c r="AQ296" s="18" t="n">
        <x:v>0</x:v>
      </x:c>
      <x:c r="AR296" s="18" t="n">
        <x:v>0</x:v>
      </x:c>
      <x:c r="AS296" s="18" t="n">
        <x:v>1</x:v>
      </x:c>
      <x:c r="AT296" s="18" t="n">
        <x:v>0</x:v>
      </x:c>
      <x:c r="AU296" s="18" t="n">
        <x:v>0</x:v>
      </x:c>
      <x:c r="AV296" s="18" t="n">
        <x:v>166</x:v>
      </x:c>
      <x:c r="AW296" s="18" t="n">
        <x:v>0</x:v>
      </x:c>
      <x:c r="AX296" s="18" t="n">
        <x:v>0</x:v>
      </x:c>
      <x:c r="AY296" s="18" t="n">
        <x:v>1</x:v>
      </x:c>
      <x:c r="AZ296" s="18" t="n">
        <x:v>0</x:v>
      </x:c>
      <x:c r="BA296" s="18" t="n">
        <x:v>0</x:v>
      </x:c>
      <x:c r="BB296" s="18" t="n">
        <x:v>0</x:v>
      </x:c>
      <x:c r="BC296" s="18" t="n">
        <x:v>0</x:v>
      </x:c>
      <x:c r="BD296" s="18" t="n">
        <x:v>0</x:v>
      </x:c>
      <x:c r="BE296" s="18" t="n">
        <x:v>0</x:v>
      </x:c>
      <x:c r="BF296" s="18" t="n">
        <x:v>5</x:v>
      </x:c>
      <x:c r="BG296" s="18" t="n">
        <x:v>0</x:v>
      </x:c>
    </x:row>
    <x:row r="297">
      <x:c r="A297" s="29" t="str">
        <x:v>363</x:v>
      </x:c>
      <x:c r="B297" s="17" t="n">
        <x:v>3095</x:v>
      </x:c>
      <x:c r="C297" s="17" t="str">
        <x:v>שלוחת בי"ס אינשטיין</x:v>
      </x:c>
      <x:c r="D297" s="17" t="str">
        <x:v>אינשטיין אלברט 94</x:v>
      </x:c>
      <x:c r="E297" s="17" t="str">
        <x:v>גבוה מאוד</x:v>
      </x:c>
      <x:c r="F297" s="18" t="n">
        <x:v>547</x:v>
      </x:c>
      <x:c r="G297" s="18" t="n">
        <x:v>380</x:v>
      </x:c>
      <x:c r="H297" s="19" t="n">
        <x:f>IFERROR(G297/F297,0)</x:f>
        <x:v>0.6946983546617916</x:v>
      </x:c>
      <x:c r="I297" s="18" t="n">
        <x:v>0</x:v>
      </x:c>
      <x:c r="J297" s="18" t="n">
        <x:v>380</x:v>
      </x:c>
      <x:c r="K297" s="18" t="n">
        <x:f>SUM(AM297,BF297,W297,AD297)</x:f>
        <x:v>73</x:v>
      </x:c>
      <x:c r="L297" s="18" t="n">
        <x:f>Q297+R297</x:f>
        <x:v>302</x:v>
      </x:c>
      <x:c r="M297" s="19" t="n">
        <x:f>IFERROR(K297/J297,0)</x:f>
        <x:v>0.19210526315789472</x:v>
      </x:c>
      <x:c r="N297" s="19" t="n">
        <x:f>IFERROR(L297/J297,0)</x:f>
        <x:v>0.7947368421052632</x:v>
      </x:c>
      <x:c r="O297" s="17" t="str">
        <x:f>IF(K297&gt;MAX(L297,S297),"קואליציית ההקמה 2022",IF(L297&gt;MAX(K297,S297),"אופוזיציה רחבה 2022","רשימות אחרות"))</x:f>
        <x:v>אופוזיציה רחבה 2022</x:v>
      </x:c>
      <x:c r="P297" s="17" t="str">
        <x:f>IF(AND(H297&lt;50%,N297&gt;50%),"כן","לא")</x:f>
        <x:v>לא</x:v>
      </x:c>
      <x:c r="Q297" s="18" t="n">
        <x:f>SUM(AV297,AJ297,AL297,T297,AN297)</x:f>
        <x:v>299</x:v>
      </x:c>
      <x:c r="R297" s="18" t="n">
        <x:f>SUM(Y297,AU297,X297)</x:f>
        <x:v>3</x:v>
      </x:c>
      <x:c r="S297" s="18" t="n">
        <x:f>J297-K297-L297</x:f>
        <x:v>5</x:v>
      </x:c>
      <x:c r="T297" s="18" t="n">
        <x:v>20</x:v>
      </x:c>
      <x:c r="U297" s="18" t="n">
        <x:v>1</x:v>
      </x:c>
      <x:c r="V297" s="18" t="n">
        <x:v>2</x:v>
      </x:c>
      <x:c r="W297" s="18" t="n">
        <x:v>2</x:v>
      </x:c>
      <x:c r="X297" s="18" t="n">
        <x:v>1</x:v>
      </x:c>
      <x:c r="Y297" s="18" t="n">
        <x:v>1</x:v>
      </x:c>
      <x:c r="Z297" s="18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10</x:v>
      </x:c>
      <x:c r="AE297" s="18" t="n">
        <x:v>0</x:v>
      </x:c>
      <x:c r="AF297" s="18" t="n">
        <x:v>0</x:v>
      </x:c>
      <x:c r="AG297" s="18" t="n">
        <x:v>0</x:v>
      </x:c>
      <x:c r="AH297" s="18" t="n">
        <x:v>0</x:v>
      </x:c>
      <x:c r="AI297" s="18" t="n">
        <x:v>0</x:v>
      </x:c>
      <x:c r="AJ297" s="18" t="n">
        <x:v>68</x:v>
      </x:c>
      <x:c r="AK297" s="18" t="n">
        <x:v>0</x:v>
      </x:c>
      <x:c r="AL297" s="18" t="n">
        <x:v>15</x:v>
      </x:c>
      <x:c r="AM297" s="18" t="n">
        <x:v>60</x:v>
      </x:c>
      <x:c r="AN297" s="18" t="n">
        <x:v>16</x:v>
      </x:c>
      <x:c r="AO297" s="18" t="n">
        <x:v>0</x:v>
      </x:c>
      <x:c r="AP297" s="18" t="n">
        <x:v>0</x:v>
      </x:c>
      <x:c r="AQ297" s="18" t="n">
        <x:v>0</x:v>
      </x:c>
      <x:c r="AR297" s="18" t="n">
        <x:v>0</x:v>
      </x:c>
      <x:c r="AS297" s="18" t="n">
        <x:v>0</x:v>
      </x:c>
      <x:c r="AT297" s="18" t="n">
        <x:v>0</x:v>
      </x:c>
      <x:c r="AU297" s="18" t="n">
        <x:v>1</x:v>
      </x:c>
      <x:c r="AV297" s="18" t="n">
        <x:v>180</x:v>
      </x:c>
      <x:c r="AW297" s="18" t="n">
        <x:v>0</x:v>
      </x:c>
      <x:c r="AX297" s="18" t="n">
        <x:v>0</x:v>
      </x:c>
      <x:c r="AY297" s="18" t="n">
        <x:v>0</x:v>
      </x:c>
      <x:c r="AZ297" s="18" t="n">
        <x:v>1</x:v>
      </x:c>
      <x:c r="BA297" s="18" t="n">
        <x:v>0</x:v>
      </x:c>
      <x:c r="BB297" s="18" t="n">
        <x:v>0</x:v>
      </x:c>
      <x:c r="BC297" s="18" t="n">
        <x:v>0</x:v>
      </x:c>
      <x:c r="BD297" s="18" t="n">
        <x:v>0</x:v>
      </x:c>
      <x:c r="BE297" s="18" t="n">
        <x:v>1</x:v>
      </x:c>
      <x:c r="BF297" s="18" t="n">
        <x:v>1</x:v>
      </x:c>
      <x:c r="BG297" s="18" t="n">
        <x:v>0</x:v>
      </x:c>
    </x:row>
    <x:row r="298">
      <x:c r="A298" s="29" t="str">
        <x:v>364</x:v>
      </x:c>
      <x:c r="B298" s="17" t="n">
        <x:v>3059</x:v>
      </x:c>
      <x:c r="C298" s="17" t="str">
        <x:v>בי"ס רוממה</x:v>
      </x:c>
      <x:c r="D298" s="17" t="str">
        <x:v>אורן 27</x:v>
      </x:c>
      <x:c r="E298" s="17" t="str">
        <x:v>גבוה מאוד</x:v>
      </x:c>
      <x:c r="F298" s="18" t="n">
        <x:v>574</x:v>
      </x:c>
      <x:c r="G298" s="18" t="n">
        <x:v>413</x:v>
      </x:c>
      <x:c r="H298" s="19" t="n">
        <x:f>IFERROR(G298/F298,0)</x:f>
        <x:v>0.7195121951219512</x:v>
      </x:c>
      <x:c r="I298" s="18" t="n">
        <x:v>1</x:v>
      </x:c>
      <x:c r="J298" s="18" t="n">
        <x:v>412</x:v>
      </x:c>
      <x:c r="K298" s="18" t="n">
        <x:f>SUM(AM298,BF298,W298,AD298)</x:f>
        <x:v>91</x:v>
      </x:c>
      <x:c r="L298" s="18" t="n">
        <x:f>Q298+R298</x:f>
        <x:v>310</x:v>
      </x:c>
      <x:c r="M298" s="19" t="n">
        <x:f>IFERROR(K298/J298,0)</x:f>
        <x:v>0.220873786407767</x:v>
      </x:c>
      <x:c r="N298" s="19" t="n">
        <x:f>IFERROR(L298/J298,0)</x:f>
        <x:v>0.7524271844660194</x:v>
      </x:c>
      <x:c r="O298" s="17" t="str">
        <x:f>IF(K298&gt;MAX(L298,S298),"קואליציית ההקמה 2022",IF(L298&gt;MAX(K298,S298),"אופוזיציה רחבה 2022","רשימות אחרות"))</x:f>
        <x:v>אופוזיציה רחבה 2022</x:v>
      </x:c>
      <x:c r="P298" s="17" t="str">
        <x:f>IF(AND(H298&lt;50%,N298&gt;50%),"כן","לא")</x:f>
        <x:v>לא</x:v>
      </x:c>
      <x:c r="Q298" s="18" t="n">
        <x:f>SUM(AV298,AJ298,AL298,T298,AN298)</x:f>
        <x:v>307</x:v>
      </x:c>
      <x:c r="R298" s="18" t="n">
        <x:f>SUM(Y298,AU298,X298)</x:f>
        <x:v>3</x:v>
      </x:c>
      <x:c r="S298" s="18" t="n">
        <x:f>J298-K298-L298</x:f>
        <x:v>11</x:v>
      </x:c>
      <x:c r="T298" s="18" t="n">
        <x:v>25</x:v>
      </x:c>
      <x:c r="U298" s="18" t="n">
        <x:v>0</x:v>
      </x:c>
      <x:c r="V298" s="18" t="n">
        <x:v>6</x:v>
      </x:c>
      <x:c r="W298" s="18" t="n">
        <x:v>0</x:v>
      </x:c>
      <x:c r="X298" s="18" t="n">
        <x:v>0</x:v>
      </x:c>
      <x:c r="Y298" s="18" t="n">
        <x:v>1</x:v>
      </x:c>
      <x:c r="Z298" s="18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23</x:v>
      </x:c>
      <x:c r="AE298" s="18" t="n">
        <x:v>0</x:v>
      </x:c>
      <x:c r="AF298" s="18" t="n">
        <x:v>1</x:v>
      </x:c>
      <x:c r="AG298" s="18" t="n">
        <x:v>0</x:v>
      </x:c>
      <x:c r="AH298" s="18" t="n">
        <x:v>0</x:v>
      </x:c>
      <x:c r="AI298" s="18" t="n">
        <x:v>0</x:v>
      </x:c>
      <x:c r="AJ298" s="18" t="n">
        <x:v>47</x:v>
      </x:c>
      <x:c r="AK298" s="18" t="n">
        <x:v>0</x:v>
      </x:c>
      <x:c r="AL298" s="18" t="n">
        <x:v>24</x:v>
      </x:c>
      <x:c r="AM298" s="18" t="n">
        <x:v>66</x:v>
      </x:c>
      <x:c r="AN298" s="18" t="n">
        <x:v>25</x:v>
      </x:c>
      <x:c r="AO298" s="18" t="n">
        <x:v>0</x:v>
      </x:c>
      <x:c r="AP298" s="18" t="n">
        <x:v>0</x:v>
      </x:c>
      <x:c r="AQ298" s="18" t="n">
        <x:v>0</x:v>
      </x:c>
      <x:c r="AR298" s="18" t="n">
        <x:v>0</x:v>
      </x:c>
      <x:c r="AS298" s="18" t="n">
        <x:v>0</x:v>
      </x:c>
      <x:c r="AT298" s="18" t="n">
        <x:v>0</x:v>
      </x:c>
      <x:c r="AU298" s="18" t="n">
        <x:v>2</x:v>
      </x:c>
      <x:c r="AV298" s="18" t="n">
        <x:v>186</x:v>
      </x:c>
      <x:c r="AW298" s="18" t="n">
        <x:v>0</x:v>
      </x:c>
      <x:c r="AX298" s="18" t="n">
        <x:v>0</x:v>
      </x:c>
      <x:c r="AY298" s="18" t="n">
        <x:v>0</x:v>
      </x:c>
      <x:c r="AZ298" s="18" t="n">
        <x:v>0</x:v>
      </x:c>
      <x:c r="BA298" s="18" t="n">
        <x:v>0</x:v>
      </x:c>
      <x:c r="BB298" s="18" t="n">
        <x:v>0</x:v>
      </x:c>
      <x:c r="BC298" s="18" t="n">
        <x:v>0</x:v>
      </x:c>
      <x:c r="BD298" s="18" t="n">
        <x:v>4</x:v>
      </x:c>
      <x:c r="BE298" s="18" t="n">
        <x:v>0</x:v>
      </x:c>
      <x:c r="BF298" s="18" t="n">
        <x:v>2</x:v>
      </x:c>
      <x:c r="BG298" s="18" t="n">
        <x:v>0</x:v>
      </x:c>
    </x:row>
    <x:row r="299">
      <x:c r="A299" s="29" t="str">
        <x:v>365</x:v>
      </x:c>
      <x:c r="B299" s="17" t="n">
        <x:v>3060</x:v>
      </x:c>
      <x:c r="C299" s="17" t="str">
        <x:v>אולם ספורט ביה"ס רוממה</x:v>
      </x:c>
      <x:c r="D299" s="17" t="str">
        <x:v>אורן 27</x:v>
      </x:c>
      <x:c r="E299" s="17" t="str">
        <x:v>גבוה מאוד</x:v>
      </x:c>
      <x:c r="F299" s="18" t="n">
        <x:v>600</x:v>
      </x:c>
      <x:c r="G299" s="18" t="n">
        <x:v>175</x:v>
      </x:c>
      <x:c r="H299" s="19" t="n">
        <x:f>IFERROR(G299/F299,0)</x:f>
        <x:v>0.2916666666666667</x:v>
      </x:c>
      <x:c r="I299" s="18" t="n">
        <x:v>3</x:v>
      </x:c>
      <x:c r="J299" s="18" t="n">
        <x:v>172</x:v>
      </x:c>
      <x:c r="K299" s="18" t="n">
        <x:f>SUM(AM299,BF299,W299,AD299)</x:f>
        <x:v>45</x:v>
      </x:c>
      <x:c r="L299" s="18" t="n">
        <x:f>Q299+R299</x:f>
        <x:v>123</x:v>
      </x:c>
      <x:c r="M299" s="19" t="n">
        <x:f>IFERROR(K299/J299,0)</x:f>
        <x:v>0.2616279069767442</x:v>
      </x:c>
      <x:c r="N299" s="19" t="n">
        <x:f>IFERROR(L299/J299,0)</x:f>
        <x:v>0.7151162790697675</x:v>
      </x:c>
      <x:c r="O299" s="17" t="str">
        <x:f>IF(K299&gt;MAX(L299,S299),"קואליציית ההקמה 2022",IF(L299&gt;MAX(K299,S299),"אופוזיציה רחבה 2022","רשימות אחרות"))</x:f>
        <x:v>אופוזיציה רחבה 2022</x:v>
      </x:c>
      <x:c r="P299" s="17" t="str">
        <x:f>IF(AND(H299&lt;50%,N299&gt;50%),"כן","לא")</x:f>
        <x:v>כן</x:v>
      </x:c>
      <x:c r="Q299" s="18" t="n">
        <x:f>SUM(AV299,AJ299,AL299,T299,AN299)</x:f>
        <x:v>123</x:v>
      </x:c>
      <x:c r="R299" s="18" t="n">
        <x:f>SUM(Y299,AU299,X299)</x:f>
        <x:v>0</x:v>
      </x:c>
      <x:c r="S299" s="18" t="n">
        <x:f>J299-K299-L299</x:f>
        <x:v>4</x:v>
      </x:c>
      <x:c r="T299" s="18" t="n">
        <x:v>11</x:v>
      </x:c>
      <x:c r="U299" s="18" t="n">
        <x:v>0</x:v>
      </x:c>
      <x:c r="V299" s="18" t="n">
        <x:v>4</x:v>
      </x:c>
      <x:c r="W299" s="18" t="n">
        <x:v>0</x:v>
      </x:c>
      <x:c r="X299" s="18" t="n">
        <x:v>0</x:v>
      </x:c>
      <x:c r="Y299" s="18" t="n">
        <x:v>0</x:v>
      </x:c>
      <x:c r="Z299" s="18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2</x:v>
      </x:c>
      <x:c r="AE299" s="18" t="n">
        <x:v>0</x:v>
      </x:c>
      <x:c r="AF299" s="18" t="n">
        <x:v>0</x:v>
      </x:c>
      <x:c r="AG299" s="18" t="n">
        <x:v>0</x:v>
      </x:c>
      <x:c r="AH299" s="18" t="n">
        <x:v>0</x:v>
      </x:c>
      <x:c r="AI299" s="18" t="n">
        <x:v>0</x:v>
      </x:c>
      <x:c r="AJ299" s="18" t="n">
        <x:v>17</x:v>
      </x:c>
      <x:c r="AK299" s="18" t="n">
        <x:v>0</x:v>
      </x:c>
      <x:c r="AL299" s="18" t="n">
        <x:v>30</x:v>
      </x:c>
      <x:c r="AM299" s="18" t="n">
        <x:v>42</x:v>
      </x:c>
      <x:c r="AN299" s="18" t="n">
        <x:v>9</x:v>
      </x:c>
      <x:c r="AO299" s="18" t="n">
        <x:v>0</x:v>
      </x:c>
      <x:c r="AP299" s="18" t="n">
        <x:v>0</x:v>
      </x:c>
      <x:c r="AQ299" s="18" t="n">
        <x:v>0</x:v>
      </x:c>
      <x:c r="AR299" s="18" t="n">
        <x:v>0</x:v>
      </x:c>
      <x:c r="AS299" s="18" t="n">
        <x:v>0</x:v>
      </x:c>
      <x:c r="AT299" s="18" t="n">
        <x:v>0</x:v>
      </x:c>
      <x:c r="AU299" s="18" t="n">
        <x:v>0</x:v>
      </x:c>
      <x:c r="AV299" s="18" t="n">
        <x:v>56</x:v>
      </x:c>
      <x:c r="AW299" s="18" t="n">
        <x:v>0</x:v>
      </x:c>
      <x:c r="AX299" s="18" t="n">
        <x:v>0</x:v>
      </x:c>
      <x:c r="AY299" s="18" t="n">
        <x:v>0</x:v>
      </x:c>
      <x:c r="AZ299" s="18" t="n">
        <x:v>0</x:v>
      </x:c>
      <x:c r="BA299" s="18" t="n">
        <x:v>0</x:v>
      </x:c>
      <x:c r="BB299" s="18" t="n">
        <x:v>0</x:v>
      </x:c>
      <x:c r="BC299" s="18" t="n">
        <x:v>0</x:v>
      </x:c>
      <x:c r="BD299" s="18" t="n">
        <x:v>0</x:v>
      </x:c>
      <x:c r="BE299" s="18" t="n">
        <x:v>0</x:v>
      </x:c>
      <x:c r="BF299" s="18" t="n">
        <x:v>1</x:v>
      </x:c>
      <x:c r="BG299" s="18" t="n">
        <x:v>0</x:v>
      </x:c>
    </x:row>
    <x:row r="300">
      <x:c r="A300" s="29" t="str">
        <x:v>368</x:v>
      </x:c>
      <x:c r="B300" s="17" t="n">
        <x:v>3115</x:v>
      </x:c>
      <x:c r="C300" s="17" t="str">
        <x:v>בי"ס עירוני כי"ח</x:v>
      </x:c>
      <x:c r="D300" s="17" t="str">
        <x:v>בירם ד"ר 35</x:v>
      </x:c>
      <x:c r="E300" s="17" t="str">
        <x:v>גבוה מאוד</x:v>
      </x:c>
      <x:c r="F300" s="18" t="n">
        <x:v>530</x:v>
      </x:c>
      <x:c r="G300" s="18" t="n">
        <x:v>322</x:v>
      </x:c>
      <x:c r="H300" s="19" t="n">
        <x:f>IFERROR(G300/F300,0)</x:f>
        <x:v>0.6075471698113207</x:v>
      </x:c>
      <x:c r="I300" s="18" t="n">
        <x:v>2</x:v>
      </x:c>
      <x:c r="J300" s="18" t="n">
        <x:v>320</x:v>
      </x:c>
      <x:c r="K300" s="18" t="n">
        <x:f>SUM(AM300,BF300,W300,AD300)</x:f>
        <x:v>73</x:v>
      </x:c>
      <x:c r="L300" s="18" t="n">
        <x:f>Q300+R300</x:f>
        <x:v>243</x:v>
      </x:c>
      <x:c r="M300" s="19" t="n">
        <x:f>IFERROR(K300/J300,0)</x:f>
        <x:v>0.228125</x:v>
      </x:c>
      <x:c r="N300" s="19" t="n">
        <x:f>IFERROR(L300/J300,0)</x:f>
        <x:v>0.759375</x:v>
      </x:c>
      <x:c r="O300" s="17" t="str">
        <x:f>IF(K300&gt;MAX(L300,S300),"קואליציית ההקמה 2022",IF(L300&gt;MAX(K300,S300),"אופוזיציה רחבה 2022","רשימות אחרות"))</x:f>
        <x:v>אופוזיציה רחבה 2022</x:v>
      </x:c>
      <x:c r="P300" s="17" t="str">
        <x:f>IF(AND(H300&lt;50%,N300&gt;50%),"כן","לא")</x:f>
        <x:v>לא</x:v>
      </x:c>
      <x:c r="Q300" s="18" t="n">
        <x:f>SUM(AV300,AJ300,AL300,T300,AN300)</x:f>
        <x:v>243</x:v>
      </x:c>
      <x:c r="R300" s="18" t="n">
        <x:f>SUM(Y300,AU300,X300)</x:f>
        <x:v>0</x:v>
      </x:c>
      <x:c r="S300" s="18" t="n">
        <x:f>J300-K300-L300</x:f>
        <x:v>4</x:v>
      </x:c>
      <x:c r="T300" s="18" t="n">
        <x:v>17</x:v>
      </x:c>
      <x:c r="U300" s="18" t="n">
        <x:v>1</x:v>
      </x:c>
      <x:c r="V300" s="18" t="n">
        <x:v>3</x:v>
      </x:c>
      <x:c r="W300" s="18" t="n">
        <x:v>0</x:v>
      </x:c>
      <x:c r="X300" s="18" t="n">
        <x:v>0</x:v>
      </x:c>
      <x:c r="Y300" s="18" t="n">
        <x:v>0</x:v>
      </x:c>
      <x:c r="Z300" s="18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13</x:v>
      </x:c>
      <x:c r="AE300" s="18" t="n">
        <x:v>0</x:v>
      </x:c>
      <x:c r="AF300" s="18" t="n">
        <x:v>0</x:v>
      </x:c>
      <x:c r="AG300" s="18" t="n">
        <x:v>0</x:v>
      </x:c>
      <x:c r="AH300" s="18" t="n">
        <x:v>0</x:v>
      </x:c>
      <x:c r="AI300" s="18" t="n">
        <x:v>0</x:v>
      </x:c>
      <x:c r="AJ300" s="18" t="n">
        <x:v>62</x:v>
      </x:c>
      <x:c r="AK300" s="18" t="n">
        <x:v>0</x:v>
      </x:c>
      <x:c r="AL300" s="18" t="n">
        <x:v>11</x:v>
      </x:c>
      <x:c r="AM300" s="18" t="n">
        <x:v>58</x:v>
      </x:c>
      <x:c r="AN300" s="18" t="n">
        <x:v>20</x:v>
      </x:c>
      <x:c r="AO300" s="18" t="n">
        <x:v>0</x:v>
      </x:c>
      <x:c r="AP300" s="18" t="n">
        <x:v>0</x:v>
      </x:c>
      <x:c r="AQ300" s="18" t="n">
        <x:v>0</x:v>
      </x:c>
      <x:c r="AR300" s="18" t="n">
        <x:v>0</x:v>
      </x:c>
      <x:c r="AS300" s="18" t="n">
        <x:v>0</x:v>
      </x:c>
      <x:c r="AT300" s="18" t="n">
        <x:v>0</x:v>
      </x:c>
      <x:c r="AU300" s="18" t="n">
        <x:v>0</x:v>
      </x:c>
      <x:c r="AV300" s="18" t="n">
        <x:v>133</x:v>
      </x:c>
      <x:c r="AW300" s="18" t="n">
        <x:v>0</x:v>
      </x:c>
      <x:c r="AX300" s="18" t="n">
        <x:v>0</x:v>
      </x:c>
      <x:c r="AY300" s="18" t="n">
        <x:v>0</x:v>
      </x:c>
      <x:c r="AZ300" s="18" t="n">
        <x:v>0</x:v>
      </x:c>
      <x:c r="BA300" s="18" t="n">
        <x:v>0</x:v>
      </x:c>
      <x:c r="BB300" s="18" t="n">
        <x:v>0</x:v>
      </x:c>
      <x:c r="BC300" s="18" t="n">
        <x:v>0</x:v>
      </x:c>
      <x:c r="BD300" s="18" t="n">
        <x:v>0</x:v>
      </x:c>
      <x:c r="BE300" s="18" t="n">
        <x:v>0</x:v>
      </x:c>
      <x:c r="BF300" s="18" t="n">
        <x:v>2</x:v>
      </x:c>
      <x:c r="BG300" s="18" t="n">
        <x:v>0</x:v>
      </x:c>
    </x:row>
    <x:row r="301">
      <x:c r="A301" s="29" t="str">
        <x:v>369</x:v>
      </x:c>
      <x:c r="B301" s="17" t="n">
        <x:v>3116</x:v>
      </x:c>
      <x:c r="C301" s="17" t="str">
        <x:v>ישיבה תיכונית עירונית "יבנה"</x:v>
      </x:c>
      <x:c r="D301" s="17" t="str">
        <x:v>אלתר אליעזר 34</x:v>
      </x:c>
      <x:c r="E301" s="17" t="str">
        <x:v>גבוה מאוד</x:v>
      </x:c>
      <x:c r="F301" s="18" t="n">
        <x:v>673</x:v>
      </x:c>
      <x:c r="G301" s="18" t="n">
        <x:v>467</x:v>
      </x:c>
      <x:c r="H301" s="19" t="n">
        <x:f>IFERROR(G301/F301,0)</x:f>
        <x:v>0.6939078751857355</x:v>
      </x:c>
      <x:c r="I301" s="18" t="n">
        <x:v>2</x:v>
      </x:c>
      <x:c r="J301" s="18" t="n">
        <x:v>465</x:v>
      </x:c>
      <x:c r="K301" s="18" t="n">
        <x:f>SUM(AM301,BF301,W301,AD301)</x:f>
        <x:v>131</x:v>
      </x:c>
      <x:c r="L301" s="18" t="n">
        <x:f>Q301+R301</x:f>
        <x:v>320</x:v>
      </x:c>
      <x:c r="M301" s="19" t="n">
        <x:f>IFERROR(K301/J301,0)</x:f>
        <x:v>0.2817204301075269</x:v>
      </x:c>
      <x:c r="N301" s="19" t="n">
        <x:f>IFERROR(L301/J301,0)</x:f>
        <x:v>0.6881720430107527</x:v>
      </x:c>
      <x:c r="O301" s="17" t="str">
        <x:f>IF(K301&gt;MAX(L301,S301),"קואליציית ההקמה 2022",IF(L301&gt;MAX(K301,S301),"אופוזיציה רחבה 2022","רשימות אחרות"))</x:f>
        <x:v>אופוזיציה רחבה 2022</x:v>
      </x:c>
      <x:c r="P301" s="17" t="str">
        <x:f>IF(AND(H301&lt;50%,N301&gt;50%),"כן","לא")</x:f>
        <x:v>לא</x:v>
      </x:c>
      <x:c r="Q301" s="18" t="n">
        <x:f>SUM(AV301,AJ301,AL301,T301,AN301)</x:f>
        <x:v>318</x:v>
      </x:c>
      <x:c r="R301" s="18" t="n">
        <x:f>SUM(Y301,AU301,X301)</x:f>
        <x:v>2</x:v>
      </x:c>
      <x:c r="S301" s="18" t="n">
        <x:f>J301-K301-L301</x:f>
        <x:v>14</x:v>
      </x:c>
      <x:c r="T301" s="18" t="n">
        <x:v>25</x:v>
      </x:c>
      <x:c r="U301" s="18" t="n">
        <x:v>0</x:v>
      </x:c>
      <x:c r="V301" s="18" t="n">
        <x:v>5</x:v>
      </x:c>
      <x:c r="W301" s="18" t="n">
        <x:v>0</x:v>
      </x:c>
      <x:c r="X301" s="18" t="n">
        <x:v>0</x:v>
      </x:c>
      <x:c r="Y301" s="18" t="n">
        <x:v>1</x:v>
      </x:c>
      <x:c r="Z301" s="18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24</x:v>
      </x:c>
      <x:c r="AE301" s="18" t="n">
        <x:v>0</x:v>
      </x:c>
      <x:c r="AF301" s="18" t="n">
        <x:v>1</x:v>
      </x:c>
      <x:c r="AG301" s="18" t="n">
        <x:v>0</x:v>
      </x:c>
      <x:c r="AH301" s="18" t="n">
        <x:v>0</x:v>
      </x:c>
      <x:c r="AI301" s="18" t="n">
        <x:v>0</x:v>
      </x:c>
      <x:c r="AJ301" s="18" t="n">
        <x:v>71</x:v>
      </x:c>
      <x:c r="AK301" s="18" t="n">
        <x:v>0</x:v>
      </x:c>
      <x:c r="AL301" s="18" t="n">
        <x:v>50</x:v>
      </x:c>
      <x:c r="AM301" s="18" t="n">
        <x:v>102</x:v>
      </x:c>
      <x:c r="AN301" s="18" t="n">
        <x:v>16</x:v>
      </x:c>
      <x:c r="AO301" s="18" t="n">
        <x:v>0</x:v>
      </x:c>
      <x:c r="AP301" s="18" t="n">
        <x:v>0</x:v>
      </x:c>
      <x:c r="AQ301" s="18" t="n">
        <x:v>0</x:v>
      </x:c>
      <x:c r="AR301" s="18" t="n">
        <x:v>0</x:v>
      </x:c>
      <x:c r="AS301" s="18" t="n">
        <x:v>0</x:v>
      </x:c>
      <x:c r="AT301" s="18" t="n">
        <x:v>0</x:v>
      </x:c>
      <x:c r="AU301" s="18" t="n">
        <x:v>1</x:v>
      </x:c>
      <x:c r="AV301" s="18" t="n">
        <x:v>156</x:v>
      </x:c>
      <x:c r="AW301" s="18" t="n">
        <x:v>0</x:v>
      </x:c>
      <x:c r="AX301" s="18" t="n">
        <x:v>1</x:v>
      </x:c>
      <x:c r="AY301" s="18" t="n">
        <x:v>0</x:v>
      </x:c>
      <x:c r="AZ301" s="18" t="n">
        <x:v>0</x:v>
      </x:c>
      <x:c r="BA301" s="18" t="n">
        <x:v>0</x:v>
      </x:c>
      <x:c r="BB301" s="18" t="n">
        <x:v>1</x:v>
      </x:c>
      <x:c r="BC301" s="18" t="n">
        <x:v>1</x:v>
      </x:c>
      <x:c r="BD301" s="18" t="n">
        <x:v>5</x:v>
      </x:c>
      <x:c r="BE301" s="18" t="n">
        <x:v>0</x:v>
      </x:c>
      <x:c r="BF301" s="18" t="n">
        <x:v>5</x:v>
      </x:c>
      <x:c r="BG301" s="18" t="n">
        <x:v>0</x:v>
      </x:c>
    </x:row>
    <x:row r="302">
      <x:c r="A302" s="29" t="str">
        <x:v>370</x:v>
      </x:c>
      <x:c r="B302" s="17" t="n">
        <x:v>3117</x:v>
      </x:c>
      <x:c r="C302" s="17" t="str">
        <x:v>ישיבה תיכונית עירונית "יבנה"</x:v>
      </x:c>
      <x:c r="D302" s="17" t="str">
        <x:v>אלתר אליעזר 34</x:v>
      </x:c>
      <x:c r="E302" s="17" t="str">
        <x:v>גבוה מאוד</x:v>
      </x:c>
      <x:c r="F302" s="18" t="n">
        <x:v>631</x:v>
      </x:c>
      <x:c r="G302" s="18" t="n">
        <x:v>459</x:v>
      </x:c>
      <x:c r="H302" s="19" t="n">
        <x:f>IFERROR(G302/F302,0)</x:f>
        <x:v>0.7274167987321711</x:v>
      </x:c>
      <x:c r="I302" s="18" t="n">
        <x:v>3</x:v>
      </x:c>
      <x:c r="J302" s="18" t="n">
        <x:v>456</x:v>
      </x:c>
      <x:c r="K302" s="18" t="n">
        <x:f>SUM(AM302,BF302,W302,AD302)</x:f>
        <x:v>120</x:v>
      </x:c>
      <x:c r="L302" s="18" t="n">
        <x:f>Q302+R302</x:f>
        <x:v>323</x:v>
      </x:c>
      <x:c r="M302" s="19" t="n">
        <x:f>IFERROR(K302/J302,0)</x:f>
        <x:v>0.2631578947368421</x:v>
      </x:c>
      <x:c r="N302" s="19" t="n">
        <x:f>IFERROR(L302/J302,0)</x:f>
        <x:v>0.7083333333333334</x:v>
      </x:c>
      <x:c r="O302" s="17" t="str">
        <x:f>IF(K302&gt;MAX(L302,S302),"קואליציית ההקמה 2022",IF(L302&gt;MAX(K302,S302),"אופוזיציה רחבה 2022","רשימות אחרות"))</x:f>
        <x:v>אופוזיציה רחבה 2022</x:v>
      </x:c>
      <x:c r="P302" s="17" t="str">
        <x:f>IF(AND(H302&lt;50%,N302&gt;50%),"כן","לא")</x:f>
        <x:v>לא</x:v>
      </x:c>
      <x:c r="Q302" s="18" t="n">
        <x:f>SUM(AV302,AJ302,AL302,T302,AN302)</x:f>
        <x:v>321</x:v>
      </x:c>
      <x:c r="R302" s="18" t="n">
        <x:f>SUM(Y302,AU302,X302)</x:f>
        <x:v>2</x:v>
      </x:c>
      <x:c r="S302" s="18" t="n">
        <x:f>J302-K302-L302</x:f>
        <x:v>13</x:v>
      </x:c>
      <x:c r="T302" s="18" t="n">
        <x:v>34</x:v>
      </x:c>
      <x:c r="U302" s="18" t="n">
        <x:v>3</x:v>
      </x:c>
      <x:c r="V302" s="18" t="n">
        <x:v>2</x:v>
      </x:c>
      <x:c r="W302" s="18" t="n">
        <x:v>0</x:v>
      </x:c>
      <x:c r="X302" s="18" t="n">
        <x:v>1</x:v>
      </x:c>
      <x:c r="Y302" s="18" t="n">
        <x:v>0</x:v>
      </x:c>
      <x:c r="Z302" s="18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25</x:v>
      </x:c>
      <x:c r="AE302" s="18" t="n">
        <x:v>0</x:v>
      </x:c>
      <x:c r="AF302" s="18" t="n">
        <x:v>2</x:v>
      </x:c>
      <x:c r="AG302" s="18" t="n">
        <x:v>0</x:v>
      </x:c>
      <x:c r="AH302" s="18" t="n">
        <x:v>0</x:v>
      </x:c>
      <x:c r="AI302" s="18" t="n">
        <x:v>0</x:v>
      </x:c>
      <x:c r="AJ302" s="18" t="n">
        <x:v>67</x:v>
      </x:c>
      <x:c r="AK302" s="18" t="n">
        <x:v>0</x:v>
      </x:c>
      <x:c r="AL302" s="18" t="n">
        <x:v>33</x:v>
      </x:c>
      <x:c r="AM302" s="18" t="n">
        <x:v>90</x:v>
      </x:c>
      <x:c r="AN302" s="18" t="n">
        <x:v>22</x:v>
      </x:c>
      <x:c r="AO302" s="18" t="n">
        <x:v>0</x:v>
      </x:c>
      <x:c r="AP302" s="18" t="n">
        <x:v>0</x:v>
      </x:c>
      <x:c r="AQ302" s="18" t="n">
        <x:v>1</x:v>
      </x:c>
      <x:c r="AR302" s="18" t="n">
        <x:v>0</x:v>
      </x:c>
      <x:c r="AS302" s="18" t="n">
        <x:v>0</x:v>
      </x:c>
      <x:c r="AT302" s="18" t="n">
        <x:v>0</x:v>
      </x:c>
      <x:c r="AU302" s="18" t="n">
        <x:v>1</x:v>
      </x:c>
      <x:c r="AV302" s="18" t="n">
        <x:v>165</x:v>
      </x:c>
      <x:c r="AW302" s="18" t="n">
        <x:v>0</x:v>
      </x:c>
      <x:c r="AX302" s="18" t="n">
        <x:v>0</x:v>
      </x:c>
      <x:c r="AY302" s="18" t="n">
        <x:v>0</x:v>
      </x:c>
      <x:c r="AZ302" s="18" t="n">
        <x:v>0</x:v>
      </x:c>
      <x:c r="BA302" s="18" t="n">
        <x:v>0</x:v>
      </x:c>
      <x:c r="BB302" s="18" t="n">
        <x:v>0</x:v>
      </x:c>
      <x:c r="BC302" s="18" t="n">
        <x:v>0</x:v>
      </x:c>
      <x:c r="BD302" s="18" t="n">
        <x:v>4</x:v>
      </x:c>
      <x:c r="BE302" s="18" t="n">
        <x:v>0</x:v>
      </x:c>
      <x:c r="BF302" s="18" t="n">
        <x:v>5</x:v>
      </x:c>
      <x:c r="BG302" s="18" t="n">
        <x:v>1</x:v>
      </x:c>
    </x:row>
    <x:row r="303">
      <x:c r="A303" s="29" t="str">
        <x:v>371</x:v>
      </x:c>
      <x:c r="B303" s="17" t="n">
        <x:v>3118</x:v>
      </x:c>
      <x:c r="C303" s="17" t="str">
        <x:v>בי"ס עירוני כי"ח</x:v>
      </x:c>
      <x:c r="D303" s="17" t="str">
        <x:v>בירם ד"ר 35</x:v>
      </x:c>
      <x:c r="E303" s="17" t="str">
        <x:v>גבוה מאוד</x:v>
      </x:c>
      <x:c r="F303" s="18" t="n">
        <x:v>678</x:v>
      </x:c>
      <x:c r="G303" s="18" t="n">
        <x:v>419</x:v>
      </x:c>
      <x:c r="H303" s="19" t="n">
        <x:f>IFERROR(G303/F303,0)</x:f>
        <x:v>0.6179941002949852</x:v>
      </x:c>
      <x:c r="I303" s="18" t="n">
        <x:v>2</x:v>
      </x:c>
      <x:c r="J303" s="18" t="n">
        <x:v>417</x:v>
      </x:c>
      <x:c r="K303" s="18" t="n">
        <x:f>SUM(AM303,BF303,W303,AD303)</x:f>
        <x:v>88</x:v>
      </x:c>
      <x:c r="L303" s="18" t="n">
        <x:f>Q303+R303</x:f>
        <x:v>323</x:v>
      </x:c>
      <x:c r="M303" s="19" t="n">
        <x:f>IFERROR(K303/J303,0)</x:f>
        <x:v>0.21103117505995203</x:v>
      </x:c>
      <x:c r="N303" s="19" t="n">
        <x:f>IFERROR(L303/J303,0)</x:f>
        <x:v>0.7745803357314148</x:v>
      </x:c>
      <x:c r="O303" s="17" t="str">
        <x:f>IF(K303&gt;MAX(L303,S303),"קואליציית ההקמה 2022",IF(L303&gt;MAX(K303,S303),"אופוזיציה רחבה 2022","רשימות אחרות"))</x:f>
        <x:v>אופוזיציה רחבה 2022</x:v>
      </x:c>
      <x:c r="P303" s="17" t="str">
        <x:f>IF(AND(H303&lt;50%,N303&gt;50%),"כן","לא")</x:f>
        <x:v>לא</x:v>
      </x:c>
      <x:c r="Q303" s="18" t="n">
        <x:f>SUM(AV303,AJ303,AL303,T303,AN303)</x:f>
        <x:v>318</x:v>
      </x:c>
      <x:c r="R303" s="18" t="n">
        <x:f>SUM(Y303,AU303,X303)</x:f>
        <x:v>5</x:v>
      </x:c>
      <x:c r="S303" s="18" t="n">
        <x:f>J303-K303-L303</x:f>
        <x:v>6</x:v>
      </x:c>
      <x:c r="T303" s="18" t="n">
        <x:v>26</x:v>
      </x:c>
      <x:c r="U303" s="18" t="n">
        <x:v>2</x:v>
      </x:c>
      <x:c r="V303" s="18" t="n">
        <x:v>1</x:v>
      </x:c>
      <x:c r="W303" s="18" t="n">
        <x:v>0</x:v>
      </x:c>
      <x:c r="X303" s="18" t="n">
        <x:v>3</x:v>
      </x:c>
      <x:c r="Y303" s="18" t="n">
        <x:v>2</x:v>
      </x:c>
      <x:c r="Z303" s="18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11</x:v>
      </x:c>
      <x:c r="AE303" s="18" t="n">
        <x:v>0</x:v>
      </x:c>
      <x:c r="AF303" s="18" t="n">
        <x:v>0</x:v>
      </x:c>
      <x:c r="AG303" s="18" t="n">
        <x:v>0</x:v>
      </x:c>
      <x:c r="AH303" s="18" t="n">
        <x:v>0</x:v>
      </x:c>
      <x:c r="AI303" s="18" t="n">
        <x:v>0</x:v>
      </x:c>
      <x:c r="AJ303" s="18" t="n">
        <x:v>55</x:v>
      </x:c>
      <x:c r="AK303" s="18" t="n">
        <x:v>0</x:v>
      </x:c>
      <x:c r="AL303" s="18" t="n">
        <x:v>31</x:v>
      </x:c>
      <x:c r="AM303" s="18" t="n">
        <x:v>76</x:v>
      </x:c>
      <x:c r="AN303" s="18" t="n">
        <x:v>22</x:v>
      </x:c>
      <x:c r="AO303" s="18" t="n">
        <x:v>0</x:v>
      </x:c>
      <x:c r="AP303" s="18" t="n">
        <x:v>0</x:v>
      </x:c>
      <x:c r="AQ303" s="18" t="n">
        <x:v>0</x:v>
      </x:c>
      <x:c r="AR303" s="18" t="n">
        <x:v>0</x:v>
      </x:c>
      <x:c r="AS303" s="18" t="n">
        <x:v>0</x:v>
      </x:c>
      <x:c r="AT303" s="18" t="n">
        <x:v>0</x:v>
      </x:c>
      <x:c r="AU303" s="18" t="n">
        <x:v>0</x:v>
      </x:c>
      <x:c r="AV303" s="18" t="n">
        <x:v>184</x:v>
      </x:c>
      <x:c r="AW303" s="18" t="n">
        <x:v>0</x:v>
      </x:c>
      <x:c r="AX303" s="18" t="n">
        <x:v>1</x:v>
      </x:c>
      <x:c r="AY303" s="18" t="n">
        <x:v>0</x:v>
      </x:c>
      <x:c r="AZ303" s="18" t="n">
        <x:v>1</x:v>
      </x:c>
      <x:c r="BA303" s="18" t="n">
        <x:v>0</x:v>
      </x:c>
      <x:c r="BB303" s="18" t="n">
        <x:v>0</x:v>
      </x:c>
      <x:c r="BC303" s="18" t="n">
        <x:v>0</x:v>
      </x:c>
      <x:c r="BD303" s="18" t="n">
        <x:v>1</x:v>
      </x:c>
      <x:c r="BE303" s="18" t="n">
        <x:v>0</x:v>
      </x:c>
      <x:c r="BF303" s="18" t="n">
        <x:v>1</x:v>
      </x:c>
      <x:c r="BG303" s="18" t="n">
        <x:v>0</x:v>
      </x:c>
    </x:row>
    <x:row r="304">
      <x:c r="A304" s="29" t="str">
        <x:v>372</x:v>
      </x:c>
      <x:c r="B304" s="17" t="n">
        <x:v>3119</x:v>
      </x:c>
      <x:c r="C304" s="17" t="str">
        <x:v>בי"ס יגאל אלון</x:v>
      </x:c>
      <x:c r="D304" s="17" t="str">
        <x:v>יגאל אלון 8</x:v>
      </x:c>
      <x:c r="E304" s="17" t="str">
        <x:v>גבוה מאוד</x:v>
      </x:c>
      <x:c r="F304" s="18" t="n">
        <x:v>674</x:v>
      </x:c>
      <x:c r="G304" s="18" t="n">
        <x:v>487</x:v>
      </x:c>
      <x:c r="H304" s="19" t="n">
        <x:f>IFERROR(G304/F304,0)</x:f>
        <x:v>0.7225519287833828</x:v>
      </x:c>
      <x:c r="I304" s="18" t="n">
        <x:v>2</x:v>
      </x:c>
      <x:c r="J304" s="18" t="n">
        <x:v>485</x:v>
      </x:c>
      <x:c r="K304" s="18" t="n">
        <x:f>SUM(AM304,BF304,W304,AD304)</x:f>
        <x:v>128</x:v>
      </x:c>
      <x:c r="L304" s="18" t="n">
        <x:f>Q304+R304</x:f>
        <x:v>346</x:v>
      </x:c>
      <x:c r="M304" s="19" t="n">
        <x:f>IFERROR(K304/J304,0)</x:f>
        <x:v>0.2639175257731959</x:v>
      </x:c>
      <x:c r="N304" s="19" t="n">
        <x:f>IFERROR(L304/J304,0)</x:f>
        <x:v>0.7134020618556701</x:v>
      </x:c>
      <x:c r="O304" s="17" t="str">
        <x:f>IF(K304&gt;MAX(L304,S304),"קואליציית ההקמה 2022",IF(L304&gt;MAX(K304,S304),"אופוזיציה רחבה 2022","רשימות אחרות"))</x:f>
        <x:v>אופוזיציה רחבה 2022</x:v>
      </x:c>
      <x:c r="P304" s="17" t="str">
        <x:f>IF(AND(H304&lt;50%,N304&gt;50%),"כן","לא")</x:f>
        <x:v>לא</x:v>
      </x:c>
      <x:c r="Q304" s="18" t="n">
        <x:f>SUM(AV304,AJ304,AL304,T304,AN304)</x:f>
        <x:v>345</x:v>
      </x:c>
      <x:c r="R304" s="18" t="n">
        <x:f>SUM(Y304,AU304,X304)</x:f>
        <x:v>1</x:v>
      </x:c>
      <x:c r="S304" s="18" t="n">
        <x:f>J304-K304-L304</x:f>
        <x:v>11</x:v>
      </x:c>
      <x:c r="T304" s="18" t="n">
        <x:v>31</x:v>
      </x:c>
      <x:c r="U304" s="18" t="n">
        <x:v>2</x:v>
      </x:c>
      <x:c r="V304" s="18" t="n">
        <x:v>8</x:v>
      </x:c>
      <x:c r="W304" s="18" t="n">
        <x:v>0</x:v>
      </x:c>
      <x:c r="X304" s="18" t="n">
        <x:v>0</x:v>
      </x:c>
      <x:c r="Y304" s="18" t="n">
        <x:v>1</x:v>
      </x:c>
      <x:c r="Z304" s="18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17</x:v>
      </x:c>
      <x:c r="AE304" s="18" t="n">
        <x:v>0</x:v>
      </x:c>
      <x:c r="AF304" s="18" t="n">
        <x:v>0</x:v>
      </x:c>
      <x:c r="AG304" s="18" t="n">
        <x:v>0</x:v>
      </x:c>
      <x:c r="AH304" s="18" t="n">
        <x:v>0</x:v>
      </x:c>
      <x:c r="AI304" s="18" t="n">
        <x:v>0</x:v>
      </x:c>
      <x:c r="AJ304" s="18" t="n">
        <x:v>79</x:v>
      </x:c>
      <x:c r="AK304" s="18" t="n">
        <x:v>0</x:v>
      </x:c>
      <x:c r="AL304" s="18" t="n">
        <x:v>30</x:v>
      </x:c>
      <x:c r="AM304" s="18" t="n">
        <x:v>107</x:v>
      </x:c>
      <x:c r="AN304" s="18" t="n">
        <x:v>27</x:v>
      </x:c>
      <x:c r="AO304" s="18" t="n">
        <x:v>0</x:v>
      </x:c>
      <x:c r="AP304" s="18" t="n">
        <x:v>0</x:v>
      </x:c>
      <x:c r="AQ304" s="18" t="n">
        <x:v>0</x:v>
      </x:c>
      <x:c r="AR304" s="18" t="n">
        <x:v>0</x:v>
      </x:c>
      <x:c r="AS304" s="18" t="n">
        <x:v>0</x:v>
      </x:c>
      <x:c r="AT304" s="18" t="n">
        <x:v>0</x:v>
      </x:c>
      <x:c r="AU304" s="18" t="n">
        <x:v>0</x:v>
      </x:c>
      <x:c r="AV304" s="18" t="n">
        <x:v>178</x:v>
      </x:c>
      <x:c r="AW304" s="18" t="n">
        <x:v>0</x:v>
      </x:c>
      <x:c r="AX304" s="18" t="n">
        <x:v>0</x:v>
      </x:c>
      <x:c r="AY304" s="18" t="n">
        <x:v>0</x:v>
      </x:c>
      <x:c r="AZ304" s="18" t="n">
        <x:v>0</x:v>
      </x:c>
      <x:c r="BA304" s="18" t="n">
        <x:v>0</x:v>
      </x:c>
      <x:c r="BB304" s="18" t="n">
        <x:v>0</x:v>
      </x:c>
      <x:c r="BC304" s="18" t="n">
        <x:v>0</x:v>
      </x:c>
      <x:c r="BD304" s="18" t="n">
        <x:v>1</x:v>
      </x:c>
      <x:c r="BE304" s="18" t="n">
        <x:v>0</x:v>
      </x:c>
      <x:c r="BF304" s="18" t="n">
        <x:v>4</x:v>
      </x:c>
      <x:c r="BG304" s="18" t="n">
        <x:v>0</x:v>
      </x:c>
    </x:row>
    <x:row r="305">
      <x:c r="A305" s="29" t="str">
        <x:v>375</x:v>
      </x:c>
      <x:c r="B305" s="17" t="n">
        <x:v>2846</x:v>
      </x:c>
      <x:c r="C305" s="17" t="str">
        <x:v>מרכז קהילתי</x:v>
      </x:c>
      <x:c r="D305" s="17" t="str">
        <x:v>הירדן 23</x:v>
      </x:c>
      <x:c r="E305" s="17" t="str">
        <x:v>גבוה</x:v>
      </x:c>
      <x:c r="F305" s="18" t="n">
        <x:v>636</x:v>
      </x:c>
      <x:c r="G305" s="18" t="n">
        <x:v>228</x:v>
      </x:c>
      <x:c r="H305" s="19" t="n">
        <x:f>IFERROR(G305/F305,0)</x:f>
        <x:v>0.3584905660377358</x:v>
      </x:c>
      <x:c r="I305" s="18" t="n">
        <x:v>1</x:v>
      </x:c>
      <x:c r="J305" s="18" t="n">
        <x:v>227</x:v>
      </x:c>
      <x:c r="K305" s="18" t="n">
        <x:f>SUM(AM305,BF305,W305,AD305)</x:f>
        <x:v>87</x:v>
      </x:c>
      <x:c r="L305" s="18" t="n">
        <x:f>Q305+R305</x:f>
        <x:v>135</x:v>
      </x:c>
      <x:c r="M305" s="19" t="n">
        <x:f>IFERROR(K305/J305,0)</x:f>
        <x:v>0.3832599118942731</x:v>
      </x:c>
      <x:c r="N305" s="19" t="n">
        <x:f>IFERROR(L305/J305,0)</x:f>
        <x:v>0.5947136563876652</x:v>
      </x:c>
      <x:c r="O305" s="17" t="str">
        <x:f>IF(K305&gt;MAX(L305,S305),"קואליציית ההקמה 2022",IF(L305&gt;MAX(K305,S305),"אופוזיציה רחבה 2022","רשימות אחרות"))</x:f>
        <x:v>אופוזיציה רחבה 2022</x:v>
      </x:c>
      <x:c r="P305" s="17" t="str">
        <x:f>IF(AND(H305&lt;50%,N305&gt;50%),"כן","לא")</x:f>
        <x:v>כן</x:v>
      </x:c>
      <x:c r="Q305" s="18" t="n">
        <x:f>SUM(AV305,AJ305,AL305,T305,AN305)</x:f>
        <x:v>110</x:v>
      </x:c>
      <x:c r="R305" s="18" t="n">
        <x:f>SUM(Y305,AU305,X305)</x:f>
        <x:v>25</x:v>
      </x:c>
      <x:c r="S305" s="18" t="n">
        <x:f>J305-K305-L305</x:f>
        <x:v>5</x:v>
      </x:c>
      <x:c r="T305" s="18" t="n">
        <x:v>5</x:v>
      </x:c>
      <x:c r="U305" s="18" t="n">
        <x:v>1</x:v>
      </x:c>
      <x:c r="V305" s="18" t="n">
        <x:v>0</x:v>
      </x:c>
      <x:c r="W305" s="18" t="n">
        <x:v>1</x:v>
      </x:c>
      <x:c r="X305" s="18" t="n">
        <x:v>6</x:v>
      </x:c>
      <x:c r="Y305" s="18" t="n">
        <x:v>14</x:v>
      </x:c>
      <x:c r="Z305" s="18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7</x:v>
      </x:c>
      <x:c r="AE305" s="18" t="n">
        <x:v>0</x:v>
      </x:c>
      <x:c r="AF305" s="18" t="n">
        <x:v>3</x:v>
      </x:c>
      <x:c r="AG305" s="18" t="n">
        <x:v>0</x:v>
      </x:c>
      <x:c r="AH305" s="18" t="n">
        <x:v>0</x:v>
      </x:c>
      <x:c r="AI305" s="18" t="n">
        <x:v>0</x:v>
      </x:c>
      <x:c r="AJ305" s="18" t="n">
        <x:v>13</x:v>
      </x:c>
      <x:c r="AK305" s="18" t="n">
        <x:v>0</x:v>
      </x:c>
      <x:c r="AL305" s="18" t="n">
        <x:v>43</x:v>
      </x:c>
      <x:c r="AM305" s="18" t="n">
        <x:v>73</x:v>
      </x:c>
      <x:c r="AN305" s="18" t="n">
        <x:v>2</x:v>
      </x:c>
      <x:c r="AO305" s="18" t="n">
        <x:v>0</x:v>
      </x:c>
      <x:c r="AP305" s="18" t="n">
        <x:v>0</x:v>
      </x:c>
      <x:c r="AQ305" s="18" t="n">
        <x:v>0</x:v>
      </x:c>
      <x:c r="AR305" s="18" t="n">
        <x:v>0</x:v>
      </x:c>
      <x:c r="AS305" s="18" t="n">
        <x:v>0</x:v>
      </x:c>
      <x:c r="AT305" s="18" t="n">
        <x:v>0</x:v>
      </x:c>
      <x:c r="AU305" s="18" t="n">
        <x:v>5</x:v>
      </x:c>
      <x:c r="AV305" s="18" t="n">
        <x:v>47</x:v>
      </x:c>
      <x:c r="AW305" s="18" t="n">
        <x:v>0</x:v>
      </x:c>
      <x:c r="AX305" s="18" t="n">
        <x:v>0</x:v>
      </x:c>
      <x:c r="AY305" s="18" t="n">
        <x:v>0</x:v>
      </x:c>
      <x:c r="AZ305" s="18" t="n">
        <x:v>1</x:v>
      </x:c>
      <x:c r="BA305" s="18" t="n">
        <x:v>0</x:v>
      </x:c>
      <x:c r="BB305" s="18" t="n">
        <x:v>0</x:v>
      </x:c>
      <x:c r="BC305" s="18" t="n">
        <x:v>0</x:v>
      </x:c>
      <x:c r="BD305" s="18" t="n">
        <x:v>0</x:v>
      </x:c>
      <x:c r="BE305" s="18" t="n">
        <x:v>0</x:v>
      </x:c>
      <x:c r="BF305" s="18" t="n">
        <x:v>6</x:v>
      </x:c>
      <x:c r="BG305" s="18" t="n">
        <x:v>0</x:v>
      </x:c>
    </x:row>
    <x:row r="306">
      <x:c r="A306" s="29" t="str">
        <x:v>377</x:v>
      </x:c>
      <x:c r="B306" s="17" t="n">
        <x:v>2847</x:v>
      </x:c>
      <x:c r="C306" s="17" t="str">
        <x:v>המכללה להכשרת מורים</x:v>
      </x:c>
      <x:c r="D306" s="17" t="str">
        <x:v>החשמל 22</x:v>
      </x:c>
      <x:c r="E306" s="17" t="str">
        <x:v>גבוה מאוד</x:v>
      </x:c>
      <x:c r="F306" s="18" t="n">
        <x:v>636</x:v>
      </x:c>
      <x:c r="G306" s="18" t="n">
        <x:v>226</x:v>
      </x:c>
      <x:c r="H306" s="19" t="n">
        <x:f>IFERROR(G306/F306,0)</x:f>
        <x:v>0.3553459119496855</x:v>
      </x:c>
      <x:c r="I306" s="18" t="n">
        <x:v>3</x:v>
      </x:c>
      <x:c r="J306" s="18" t="n">
        <x:v>223</x:v>
      </x:c>
      <x:c r="K306" s="18" t="n">
        <x:f>SUM(AM306,BF306,W306,AD306)</x:f>
        <x:v>108</x:v>
      </x:c>
      <x:c r="L306" s="18" t="n">
        <x:f>Q306+R306</x:f>
        <x:v>103</x:v>
      </x:c>
      <x:c r="M306" s="19" t="n">
        <x:f>IFERROR(K306/J306,0)</x:f>
        <x:v>0.484304932735426</x:v>
      </x:c>
      <x:c r="N306" s="19" t="n">
        <x:f>IFERROR(L306/J306,0)</x:f>
        <x:v>0.4618834080717489</x:v>
      </x:c>
      <x:c r="O306" s="17" t="str">
        <x:f>IF(K306&gt;MAX(L306,S306),"קואליציית ההקמה 2022",IF(L306&gt;MAX(K306,S306),"אופוזיציה רחבה 2022","רשימות אחרות"))</x:f>
        <x:v>קואליציית ההקמה 2022</x:v>
      </x:c>
      <x:c r="P306" s="17" t="str">
        <x:f>IF(AND(H306&lt;50%,N306&gt;50%),"כן","לא")</x:f>
        <x:v>לא</x:v>
      </x:c>
      <x:c r="Q306" s="18" t="n">
        <x:f>SUM(AV306,AJ306,AL306,T306,AN306)</x:f>
        <x:v>98</x:v>
      </x:c>
      <x:c r="R306" s="18" t="n">
        <x:f>SUM(Y306,AU306,X306)</x:f>
        <x:v>5</x:v>
      </x:c>
      <x:c r="S306" s="18" t="n">
        <x:f>J306-K306-L306</x:f>
        <x:v>12</x:v>
      </x:c>
      <x:c r="T306" s="18" t="n">
        <x:v>8</x:v>
      </x:c>
      <x:c r="U306" s="18" t="n">
        <x:v>0</x:v>
      </x:c>
      <x:c r="V306" s="18" t="n">
        <x:v>4</x:v>
      </x:c>
      <x:c r="W306" s="18" t="n">
        <x:v>0</x:v>
      </x:c>
      <x:c r="X306" s="18" t="n">
        <x:v>0</x:v>
      </x:c>
      <x:c r="Y306" s="18" t="n">
        <x:v>5</x:v>
      </x:c>
      <x:c r="Z306" s="18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20</x:v>
      </x:c>
      <x:c r="AE306" s="18" t="n">
        <x:v>0</x:v>
      </x:c>
      <x:c r="AF306" s="18" t="n">
        <x:v>1</x:v>
      </x:c>
      <x:c r="AG306" s="18" t="n">
        <x:v>0</x:v>
      </x:c>
      <x:c r="AH306" s="18" t="n">
        <x:v>0</x:v>
      </x:c>
      <x:c r="AI306" s="18" t="n">
        <x:v>0</x:v>
      </x:c>
      <x:c r="AJ306" s="18" t="n">
        <x:v>32</x:v>
      </x:c>
      <x:c r="AK306" s="18" t="n">
        <x:v>0</x:v>
      </x:c>
      <x:c r="AL306" s="18" t="n">
        <x:v>33</x:v>
      </x:c>
      <x:c r="AM306" s="18" t="n">
        <x:v>74</x:v>
      </x:c>
      <x:c r="AN306" s="18" t="n">
        <x:v>0</x:v>
      </x:c>
      <x:c r="AO306" s="18" t="n">
        <x:v>0</x:v>
      </x:c>
      <x:c r="AP306" s="18" t="n">
        <x:v>0</x:v>
      </x:c>
      <x:c r="AQ306" s="18" t="n">
        <x:v>0</x:v>
      </x:c>
      <x:c r="AR306" s="18" t="n">
        <x:v>0</x:v>
      </x:c>
      <x:c r="AS306" s="18" t="n">
        <x:v>1</x:v>
      </x:c>
      <x:c r="AT306" s="18" t="n">
        <x:v>0</x:v>
      </x:c>
      <x:c r="AU306" s="18" t="n">
        <x:v>0</x:v>
      </x:c>
      <x:c r="AV306" s="18" t="n">
        <x:v>25</x:v>
      </x:c>
      <x:c r="AW306" s="18" t="n">
        <x:v>1</x:v>
      </x:c>
      <x:c r="AX306" s="18" t="n">
        <x:v>0</x:v>
      </x:c>
      <x:c r="AY306" s="18" t="n">
        <x:v>0</x:v>
      </x:c>
      <x:c r="AZ306" s="18" t="n">
        <x:v>0</x:v>
      </x:c>
      <x:c r="BA306" s="18" t="n">
        <x:v>1</x:v>
      </x:c>
      <x:c r="BB306" s="18" t="n">
        <x:v>1</x:v>
      </x:c>
      <x:c r="BC306" s="18" t="n">
        <x:v>0</x:v>
      </x:c>
      <x:c r="BD306" s="18" t="n">
        <x:v>2</x:v>
      </x:c>
      <x:c r="BE306" s="18" t="n">
        <x:v>0</x:v>
      </x:c>
      <x:c r="BF306" s="18" t="n">
        <x:v>14</x:v>
      </x:c>
      <x:c r="BG306" s="18" t="n">
        <x:v>1</x:v>
      </x:c>
    </x:row>
    <x:row r="307">
      <x:c r="A307" s="29" t="str">
        <x:v>379</x:v>
      </x:c>
      <x:c r="B307" s="17" t="n">
        <x:v>2848</x:v>
      </x:c>
      <x:c r="C307" s="17" t="str">
        <x:v>מרכז הנוער בית מגנצא</x:v>
      </x:c>
      <x:c r="D307" s="17" t="str">
        <x:v>חטיבת כרמלי 42א</x:v>
      </x:c>
      <x:c r="E307" s="17" t="str">
        <x:v>גבוה מאוד</x:v>
      </x:c>
      <x:c r="F307" s="18" t="n">
        <x:v>617</x:v>
      </x:c>
      <x:c r="G307" s="18" t="n">
        <x:v>143</x:v>
      </x:c>
      <x:c r="H307" s="19" t="n">
        <x:f>IFERROR(G307/F307,0)</x:f>
        <x:v>0.23176661264181522</x:v>
      </x:c>
      <x:c r="I307" s="18" t="n">
        <x:v>2</x:v>
      </x:c>
      <x:c r="J307" s="18" t="n">
        <x:v>141</x:v>
      </x:c>
      <x:c r="K307" s="18" t="n">
        <x:f>SUM(AM307,BF307,W307,AD307)</x:f>
        <x:v>56</x:v>
      </x:c>
      <x:c r="L307" s="18" t="n">
        <x:f>Q307+R307</x:f>
        <x:v>79</x:v>
      </x:c>
      <x:c r="M307" s="19" t="n">
        <x:f>IFERROR(K307/J307,0)</x:f>
        <x:v>0.3971631205673759</x:v>
      </x:c>
      <x:c r="N307" s="19" t="n">
        <x:f>IFERROR(L307/J307,0)</x:f>
        <x:v>0.5602836879432624</x:v>
      </x:c>
      <x:c r="O307" s="17" t="str">
        <x:f>IF(K307&gt;MAX(L307,S307),"קואליציית ההקמה 2022",IF(L307&gt;MAX(K307,S307),"אופוזיציה רחבה 2022","רשימות אחרות"))</x:f>
        <x:v>אופוזיציה רחבה 2022</x:v>
      </x:c>
      <x:c r="P307" s="17" t="str">
        <x:f>IF(AND(H307&lt;50%,N307&gt;50%),"כן","לא")</x:f>
        <x:v>כן</x:v>
      </x:c>
      <x:c r="Q307" s="18" t="n">
        <x:f>SUM(AV307,AJ307,AL307,T307,AN307)</x:f>
        <x:v>73</x:v>
      </x:c>
      <x:c r="R307" s="18" t="n">
        <x:f>SUM(Y307,AU307,X307)</x:f>
        <x:v>6</x:v>
      </x:c>
      <x:c r="S307" s="18" t="n">
        <x:f>J307-K307-L307</x:f>
        <x:v>6</x:v>
      </x:c>
      <x:c r="T307" s="18" t="n">
        <x:v>1</x:v>
      </x:c>
      <x:c r="U307" s="18" t="n">
        <x:v>0</x:v>
      </x:c>
      <x:c r="V307" s="18" t="n">
        <x:v>0</x:v>
      </x:c>
      <x:c r="W307" s="18" t="n">
        <x:v>0</x:v>
      </x:c>
      <x:c r="X307" s="18" t="n">
        <x:v>2</x:v>
      </x:c>
      <x:c r="Y307" s="18" t="n">
        <x:v>4</x:v>
      </x:c>
      <x:c r="Z307" s="18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11</x:v>
      </x:c>
      <x:c r="AE307" s="18" t="n">
        <x:v>0</x:v>
      </x:c>
      <x:c r="AF307" s="18" t="n">
        <x:v>2</x:v>
      </x:c>
      <x:c r="AG307" s="18" t="n">
        <x:v>0</x:v>
      </x:c>
      <x:c r="AH307" s="18" t="n">
        <x:v>0</x:v>
      </x:c>
      <x:c r="AI307" s="18" t="n">
        <x:v>0</x:v>
      </x:c>
      <x:c r="AJ307" s="18" t="n">
        <x:v>10</x:v>
      </x:c>
      <x:c r="AK307" s="18" t="n">
        <x:v>1</x:v>
      </x:c>
      <x:c r="AL307" s="18" t="n">
        <x:v>40</x:v>
      </x:c>
      <x:c r="AM307" s="18" t="n">
        <x:v>43</x:v>
      </x:c>
      <x:c r="AN307" s="18" t="n">
        <x:v>3</x:v>
      </x:c>
      <x:c r="AO307" s="18" t="n">
        <x:v>0</x:v>
      </x:c>
      <x:c r="AP307" s="18" t="n">
        <x:v>2</x:v>
      </x:c>
      <x:c r="AQ307" s="18" t="n">
        <x:v>0</x:v>
      </x:c>
      <x:c r="AR307" s="18" t="n">
        <x:v>0</x:v>
      </x:c>
      <x:c r="AS307" s="18" t="n">
        <x:v>0</x:v>
      </x:c>
      <x:c r="AT307" s="18" t="n">
        <x:v>1</x:v>
      </x:c>
      <x:c r="AU307" s="18" t="n">
        <x:v>0</x:v>
      </x:c>
      <x:c r="AV307" s="18" t="n">
        <x:v>19</x:v>
      </x:c>
      <x:c r="AW307" s="18" t="n">
        <x:v>0</x:v>
      </x:c>
      <x:c r="AX307" s="18" t="n">
        <x:v>0</x:v>
      </x:c>
      <x:c r="AY307" s="18" t="n">
        <x:v>0</x:v>
      </x:c>
      <x:c r="AZ307" s="18" t="n">
        <x:v>0</x:v>
      </x:c>
      <x:c r="BA307" s="18" t="n">
        <x:v>0</x:v>
      </x:c>
      <x:c r="BB307" s="18" t="n">
        <x:v>0</x:v>
      </x:c>
      <x:c r="BC307" s="18" t="n">
        <x:v>0</x:v>
      </x:c>
      <x:c r="BD307" s="18" t="n">
        <x:v>0</x:v>
      </x:c>
      <x:c r="BE307" s="18" t="n">
        <x:v>0</x:v>
      </x:c>
      <x:c r="BF307" s="18" t="n">
        <x:v>2</x:v>
      </x:c>
      <x:c r="BG307" s="18" t="n">
        <x:v>0</x:v>
      </x:c>
    </x:row>
    <x:row r="308">
      <x:c r="A308" s="29" t="str">
        <x:v>380.1</x:v>
      </x:c>
      <x:c r="B308" s="17" t="n">
        <x:v>3166</x:v>
      </x:c>
      <x:c r="C308" s="17" t="str">
        <x:v>מתנ"ס נווה יוסף (אגף חדש)</x:v>
      </x:c>
      <x:c r="D308" s="17" t="str">
        <x:v>משאש הרב 1</x:v>
      </x:c>
      <x:c r="E308" s="17" t="str">
        <x:v>גבוה מאוד</x:v>
      </x:c>
      <x:c r="F308" s="18" t="n">
        <x:v>606</x:v>
      </x:c>
      <x:c r="G308" s="18" t="n">
        <x:v>282</x:v>
      </x:c>
      <x:c r="H308" s="19" t="n">
        <x:f>IFERROR(G308/F308,0)</x:f>
        <x:v>0.46534653465346537</x:v>
      </x:c>
      <x:c r="I308" s="18" t="n">
        <x:v>7</x:v>
      </x:c>
      <x:c r="J308" s="18" t="n">
        <x:v>275</x:v>
      </x:c>
      <x:c r="K308" s="18" t="n">
        <x:f>SUM(AM308,BF308,W308,AD308)</x:f>
        <x:v>146</x:v>
      </x:c>
      <x:c r="L308" s="18" t="n">
        <x:f>Q308+R308</x:f>
        <x:v>124</x:v>
      </x:c>
      <x:c r="M308" s="19" t="n">
        <x:f>IFERROR(K308/J308,0)</x:f>
        <x:v>0.5309090909090909</x:v>
      </x:c>
      <x:c r="N308" s="19" t="n">
        <x:f>IFERROR(L308/J308,0)</x:f>
        <x:v>0.4509090909090909</x:v>
      </x:c>
      <x:c r="O308" s="17" t="str">
        <x:f>IF(K308&gt;MAX(L308,S308),"קואליציית ההקמה 2022",IF(L308&gt;MAX(K308,S308),"אופוזיציה רחבה 2022","רשימות אחרות"))</x:f>
        <x:v>קואליציית ההקמה 2022</x:v>
      </x:c>
      <x:c r="P308" s="17" t="str">
        <x:f>IF(AND(H308&lt;50%,N308&gt;50%),"כן","לא")</x:f>
        <x:v>לא</x:v>
      </x:c>
      <x:c r="Q308" s="18" t="n">
        <x:f>SUM(AV308,AJ308,AL308,T308,AN308)</x:f>
        <x:v>106</x:v>
      </x:c>
      <x:c r="R308" s="18" t="n">
        <x:f>SUM(Y308,AU308,X308)</x:f>
        <x:v>18</x:v>
      </x:c>
      <x:c r="S308" s="18" t="n">
        <x:f>J308-K308-L308</x:f>
        <x:v>5</x:v>
      </x:c>
      <x:c r="T308" s="18" t="n">
        <x:v>3</x:v>
      </x:c>
      <x:c r="U308" s="18" t="n">
        <x:v>0</x:v>
      </x:c>
      <x:c r="V308" s="18" t="n">
        <x:v>3</x:v>
      </x:c>
      <x:c r="W308" s="18" t="n">
        <x:v>1</x:v>
      </x:c>
      <x:c r="X308" s="18" t="n">
        <x:v>5</x:v>
      </x:c>
      <x:c r="Y308" s="18" t="n">
        <x:v>11</x:v>
      </x:c>
      <x:c r="Z308" s="18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18</x:v>
      </x:c>
      <x:c r="AE308" s="18" t="n">
        <x:v>0</x:v>
      </x:c>
      <x:c r="AF308" s="18" t="n">
        <x:v>0</x:v>
      </x:c>
      <x:c r="AG308" s="18" t="n">
        <x:v>0</x:v>
      </x:c>
      <x:c r="AH308" s="18" t="n">
        <x:v>0</x:v>
      </x:c>
      <x:c r="AI308" s="18" t="n">
        <x:v>0</x:v>
      </x:c>
      <x:c r="AJ308" s="18" t="n">
        <x:v>24</x:v>
      </x:c>
      <x:c r="AK308" s="18" t="n">
        <x:v>0</x:v>
      </x:c>
      <x:c r="AL308" s="18" t="n">
        <x:v>32</x:v>
      </x:c>
      <x:c r="AM308" s="18" t="n">
        <x:v>104</x:v>
      </x:c>
      <x:c r="AN308" s="18" t="n">
        <x:v>6</x:v>
      </x:c>
      <x:c r="AO308" s="18" t="n">
        <x:v>0</x:v>
      </x:c>
      <x:c r="AP308" s="18" t="n">
        <x:v>1</x:v>
      </x:c>
      <x:c r="AQ308" s="18" t="n">
        <x:v>0</x:v>
      </x:c>
      <x:c r="AR308" s="18" t="n">
        <x:v>0</x:v>
      </x:c>
      <x:c r="AS308" s="18" t="n">
        <x:v>0</x:v>
      </x:c>
      <x:c r="AT308" s="18" t="n">
        <x:v>0</x:v>
      </x:c>
      <x:c r="AU308" s="18" t="n">
        <x:v>2</x:v>
      </x:c>
      <x:c r="AV308" s="18" t="n">
        <x:v>41</x:v>
      </x:c>
      <x:c r="AW308" s="18" t="n">
        <x:v>0</x:v>
      </x:c>
      <x:c r="AX308" s="18" t="n">
        <x:v>0</x:v>
      </x:c>
      <x:c r="AY308" s="18" t="n">
        <x:v>0</x:v>
      </x:c>
      <x:c r="AZ308" s="18" t="n">
        <x:v>0</x:v>
      </x:c>
      <x:c r="BA308" s="18" t="n">
        <x:v>0</x:v>
      </x:c>
      <x:c r="BB308" s="18" t="n">
        <x:v>1</x:v>
      </x:c>
      <x:c r="BC308" s="18" t="n">
        <x:v>0</x:v>
      </x:c>
      <x:c r="BD308" s="18" t="n">
        <x:v>0</x:v>
      </x:c>
      <x:c r="BE308" s="18" t="n">
        <x:v>0</x:v>
      </x:c>
      <x:c r="BF308" s="18" t="n">
        <x:v>23</x:v>
      </x:c>
      <x:c r="BG308" s="18" t="n">
        <x:v>0</x:v>
      </x:c>
    </x:row>
    <x:row r="309">
      <x:c r="A309" s="29" t="str">
        <x:v>380.2</x:v>
      </x:c>
      <x:c r="B309" s="17" t="n">
        <x:v>3167</x:v>
      </x:c>
      <x:c r="C309" s="17" t="str">
        <x:v>מתנ"ס נווה יוסף (אגף חדש)</x:v>
      </x:c>
      <x:c r="D309" s="17" t="str">
        <x:v>משאש הרב 1</x:v>
      </x:c>
      <x:c r="E309" s="17" t="str">
        <x:v>גבוה מאוד</x:v>
      </x:c>
      <x:c r="F309" s="18" t="n">
        <x:v>606</x:v>
      </x:c>
      <x:c r="G309" s="18" t="n">
        <x:v>262</x:v>
      </x:c>
      <x:c r="H309" s="19" t="n">
        <x:f>IFERROR(G309/F309,0)</x:f>
        <x:v>0.43234323432343236</x:v>
      </x:c>
      <x:c r="I309" s="18" t="n">
        <x:v>2</x:v>
      </x:c>
      <x:c r="J309" s="18" t="n">
        <x:v>260</x:v>
      </x:c>
      <x:c r="K309" s="18" t="n">
        <x:f>SUM(AM309,BF309,W309,AD309)</x:f>
        <x:v>132</x:v>
      </x:c>
      <x:c r="L309" s="18" t="n">
        <x:f>Q309+R309</x:f>
        <x:v>121</x:v>
      </x:c>
      <x:c r="M309" s="19" t="n">
        <x:f>IFERROR(K309/J309,0)</x:f>
        <x:v>0.5076923076923077</x:v>
      </x:c>
      <x:c r="N309" s="19" t="n">
        <x:f>IFERROR(L309/J309,0)</x:f>
        <x:v>0.4653846153846154</x:v>
      </x:c>
      <x:c r="O309" s="17" t="str">
        <x:f>IF(K309&gt;MAX(L309,S309),"קואליציית ההקמה 2022",IF(L309&gt;MAX(K309,S309),"אופוזיציה רחבה 2022","רשימות אחרות"))</x:f>
        <x:v>קואליציית ההקמה 2022</x:v>
      </x:c>
      <x:c r="P309" s="17" t="str">
        <x:f>IF(AND(H309&lt;50%,N309&gt;50%),"כן","לא")</x:f>
        <x:v>לא</x:v>
      </x:c>
      <x:c r="Q309" s="18" t="n">
        <x:f>SUM(AV309,AJ309,AL309,T309,AN309)</x:f>
        <x:v>101</x:v>
      </x:c>
      <x:c r="R309" s="18" t="n">
        <x:f>SUM(Y309,AU309,X309)</x:f>
        <x:v>20</x:v>
      </x:c>
      <x:c r="S309" s="18" t="n">
        <x:f>J309-K309-L309</x:f>
        <x:v>7</x:v>
      </x:c>
      <x:c r="T309" s="18" t="n">
        <x:v>3</x:v>
      </x:c>
      <x:c r="U309" s="18" t="n">
        <x:v>1</x:v>
      </x:c>
      <x:c r="V309" s="18" t="n">
        <x:v>3</x:v>
      </x:c>
      <x:c r="W309" s="18" t="n">
        <x:v>1</x:v>
      </x:c>
      <x:c r="X309" s="18" t="n">
        <x:v>1</x:v>
      </x:c>
      <x:c r="Y309" s="18" t="n">
        <x:v>12</x:v>
      </x:c>
      <x:c r="Z309" s="18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25</x:v>
      </x:c>
      <x:c r="AE309" s="18" t="n">
        <x:v>0</x:v>
      </x:c>
      <x:c r="AF309" s="18" t="n">
        <x:v>0</x:v>
      </x:c>
      <x:c r="AG309" s="18" t="n">
        <x:v>0</x:v>
      </x:c>
      <x:c r="AH309" s="18" t="n">
        <x:v>0</x:v>
      </x:c>
      <x:c r="AI309" s="18" t="n">
        <x:v>0</x:v>
      </x:c>
      <x:c r="AJ309" s="18" t="n">
        <x:v>24</x:v>
      </x:c>
      <x:c r="AK309" s="18" t="n">
        <x:v>0</x:v>
      </x:c>
      <x:c r="AL309" s="18" t="n">
        <x:v>41</x:v>
      </x:c>
      <x:c r="AM309" s="18" t="n">
        <x:v>94</x:v>
      </x:c>
      <x:c r="AN309" s="18" t="n">
        <x:v>6</x:v>
      </x:c>
      <x:c r="AO309" s="18" t="n">
        <x:v>0</x:v>
      </x:c>
      <x:c r="AP309" s="18" t="n">
        <x:v>0</x:v>
      </x:c>
      <x:c r="AQ309" s="18" t="n">
        <x:v>0</x:v>
      </x:c>
      <x:c r="AR309" s="18" t="n">
        <x:v>0</x:v>
      </x:c>
      <x:c r="AS309" s="18" t="n">
        <x:v>0</x:v>
      </x:c>
      <x:c r="AT309" s="18" t="n">
        <x:v>0</x:v>
      </x:c>
      <x:c r="AU309" s="18" t="n">
        <x:v>7</x:v>
      </x:c>
      <x:c r="AV309" s="18" t="n">
        <x:v>27</x:v>
      </x:c>
      <x:c r="AW309" s="18" t="n">
        <x:v>0</x:v>
      </x:c>
      <x:c r="AX309" s="18" t="n">
        <x:v>0</x:v>
      </x:c>
      <x:c r="AY309" s="18" t="n">
        <x:v>0</x:v>
      </x:c>
      <x:c r="AZ309" s="18" t="n">
        <x:v>0</x:v>
      </x:c>
      <x:c r="BA309" s="18" t="n">
        <x:v>0</x:v>
      </x:c>
      <x:c r="BB309" s="18" t="n">
        <x:v>0</x:v>
      </x:c>
      <x:c r="BC309" s="18" t="n">
        <x:v>0</x:v>
      </x:c>
      <x:c r="BD309" s="18" t="n">
        <x:v>1</x:v>
      </x:c>
      <x:c r="BE309" s="18" t="n">
        <x:v>2</x:v>
      </x:c>
      <x:c r="BF309" s="18" t="n">
        <x:v>12</x:v>
      </x:c>
      <x:c r="BG309" s="18" t="n">
        <x:v>0</x:v>
      </x:c>
    </x:row>
    <x:row r="310">
      <x:c r="A310" s="29" t="str">
        <x:v>380.3</x:v>
      </x:c>
      <x:c r="B310" s="17" t="n">
        <x:v>3168</x:v>
      </x:c>
      <x:c r="C310" s="17" t="str">
        <x:v>מתנ"ס נווה יוסף (אגף חדש)</x:v>
      </x:c>
      <x:c r="D310" s="17" t="str">
        <x:v>משאש הרב 1</x:v>
      </x:c>
      <x:c r="E310" s="17" t="str">
        <x:v>גבוה מאוד</x:v>
      </x:c>
      <x:c r="F310" s="18" t="n">
        <x:v>606</x:v>
      </x:c>
      <x:c r="G310" s="18" t="n">
        <x:v>258</x:v>
      </x:c>
      <x:c r="H310" s="19" t="n">
        <x:f>IFERROR(G310/F310,0)</x:f>
        <x:v>0.42574257425742573</x:v>
      </x:c>
      <x:c r="I310" s="18" t="n">
        <x:v>5</x:v>
      </x:c>
      <x:c r="J310" s="18" t="n">
        <x:v>253</x:v>
      </x:c>
      <x:c r="K310" s="18" t="n">
        <x:f>SUM(AM310,BF310,W310,AD310)</x:f>
        <x:v>119</x:v>
      </x:c>
      <x:c r="L310" s="18" t="n">
        <x:f>Q310+R310</x:f>
        <x:v>128</x:v>
      </x:c>
      <x:c r="M310" s="19" t="n">
        <x:f>IFERROR(K310/J310,0)</x:f>
        <x:v>0.47035573122529645</x:v>
      </x:c>
      <x:c r="N310" s="19" t="n">
        <x:f>IFERROR(L310/J310,0)</x:f>
        <x:v>0.5059288537549407</x:v>
      </x:c>
      <x:c r="O310" s="17" t="str">
        <x:f>IF(K310&gt;MAX(L310,S310),"קואליציית ההקמה 2022",IF(L310&gt;MAX(K310,S310),"אופוזיציה רחבה 2022","רשימות אחרות"))</x:f>
        <x:v>אופוזיציה רחבה 2022</x:v>
      </x:c>
      <x:c r="P310" s="17" t="str">
        <x:f>IF(AND(H310&lt;50%,N310&gt;50%),"כן","לא")</x:f>
        <x:v>כן</x:v>
      </x:c>
      <x:c r="Q310" s="18" t="n">
        <x:f>SUM(AV310,AJ310,AL310,T310,AN310)</x:f>
        <x:v>111</x:v>
      </x:c>
      <x:c r="R310" s="18" t="n">
        <x:f>SUM(Y310,AU310,X310)</x:f>
        <x:v>17</x:v>
      </x:c>
      <x:c r="S310" s="18" t="n">
        <x:f>J310-K310-L310</x:f>
        <x:v>6</x:v>
      </x:c>
      <x:c r="T310" s="18" t="n">
        <x:v>5</x:v>
      </x:c>
      <x:c r="U310" s="18" t="n">
        <x:v>0</x:v>
      </x:c>
      <x:c r="V310" s="18" t="n">
        <x:v>0</x:v>
      </x:c>
      <x:c r="W310" s="18" t="n">
        <x:v>1</x:v>
      </x:c>
      <x:c r="X310" s="18" t="n">
        <x:v>2</x:v>
      </x:c>
      <x:c r="Y310" s="18" t="n">
        <x:v>13</x:v>
      </x:c>
      <x:c r="Z310" s="18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28</x:v>
      </x:c>
      <x:c r="AE310" s="18" t="n">
        <x:v>0</x:v>
      </x:c>
      <x:c r="AF310" s="18" t="n">
        <x:v>1</x:v>
      </x:c>
      <x:c r="AG310" s="18" t="n">
        <x:v>0</x:v>
      </x:c>
      <x:c r="AH310" s="18" t="n">
        <x:v>0</x:v>
      </x:c>
      <x:c r="AI310" s="18" t="n">
        <x:v>0</x:v>
      </x:c>
      <x:c r="AJ310" s="18" t="n">
        <x:v>20</x:v>
      </x:c>
      <x:c r="AK310" s="18" t="n">
        <x:v>2</x:v>
      </x:c>
      <x:c r="AL310" s="18" t="n">
        <x:v>47</x:v>
      </x:c>
      <x:c r="AM310" s="18" t="n">
        <x:v>83</x:v>
      </x:c>
      <x:c r="AN310" s="18" t="n">
        <x:v>3</x:v>
      </x:c>
      <x:c r="AO310" s="18" t="n">
        <x:v>0</x:v>
      </x:c>
      <x:c r="AP310" s="18" t="n">
        <x:v>0</x:v>
      </x:c>
      <x:c r="AQ310" s="18" t="n">
        <x:v>0</x:v>
      </x:c>
      <x:c r="AR310" s="18" t="n">
        <x:v>0</x:v>
      </x:c>
      <x:c r="AS310" s="18" t="n">
        <x:v>0</x:v>
      </x:c>
      <x:c r="AT310" s="18" t="n">
        <x:v>1</x:v>
      </x:c>
      <x:c r="AU310" s="18" t="n">
        <x:v>2</x:v>
      </x:c>
      <x:c r="AV310" s="18" t="n">
        <x:v>36</x:v>
      </x:c>
      <x:c r="AW310" s="18" t="n">
        <x:v>0</x:v>
      </x:c>
      <x:c r="AX310" s="18" t="n">
        <x:v>0</x:v>
      </x:c>
      <x:c r="AY310" s="18" t="n">
        <x:v>0</x:v>
      </x:c>
      <x:c r="AZ310" s="18" t="n">
        <x:v>1</x:v>
      </x:c>
      <x:c r="BA310" s="18" t="n">
        <x:v>1</x:v>
      </x:c>
      <x:c r="BB310" s="18" t="n">
        <x:v>0</x:v>
      </x:c>
      <x:c r="BC310" s="18" t="n">
        <x:v>0</x:v>
      </x:c>
      <x:c r="BD310" s="18" t="n">
        <x:v>0</x:v>
      </x:c>
      <x:c r="BE310" s="18" t="n">
        <x:v>0</x:v>
      </x:c>
      <x:c r="BF310" s="18" t="n">
        <x:v>7</x:v>
      </x:c>
      <x:c r="BG310" s="18" t="n">
        <x:v>0</x:v>
      </x:c>
    </x:row>
    <x:row r="311">
      <x:c r="A311" s="29" t="str">
        <x:v>380.4</x:v>
      </x:c>
      <x:c r="B311" s="17" t="n">
        <x:v>3169</x:v>
      </x:c>
      <x:c r="C311" s="17" t="str">
        <x:v>מתנ"ס נווה יוסף (אגף חדש)</x:v>
      </x:c>
      <x:c r="D311" s="17" t="str">
        <x:v>משאש הרב 1</x:v>
      </x:c>
      <x:c r="E311" s="17" t="str">
        <x:v>גבוה מאוד</x:v>
      </x:c>
      <x:c r="F311" s="18" t="n">
        <x:v>603</x:v>
      </x:c>
      <x:c r="G311" s="18" t="n">
        <x:v>238</x:v>
      </x:c>
      <x:c r="H311" s="19" t="n">
        <x:f>IFERROR(G311/F311,0)</x:f>
        <x:v>0.3946932006633499</x:v>
      </x:c>
      <x:c r="I311" s="18" t="n">
        <x:v>3</x:v>
      </x:c>
      <x:c r="J311" s="18" t="n">
        <x:v>235</x:v>
      </x:c>
      <x:c r="K311" s="18" t="n">
        <x:f>SUM(AM311,BF311,W311,AD311)</x:f>
        <x:v>120</x:v>
      </x:c>
      <x:c r="L311" s="18" t="n">
        <x:f>Q311+R311</x:f>
        <x:v>111</x:v>
      </x:c>
      <x:c r="M311" s="19" t="n">
        <x:f>IFERROR(K311/J311,0)</x:f>
        <x:v>0.5106382978723404</x:v>
      </x:c>
      <x:c r="N311" s="19" t="n">
        <x:f>IFERROR(L311/J311,0)</x:f>
        <x:v>0.4723404255319149</x:v>
      </x:c>
      <x:c r="O311" s="17" t="str">
        <x:f>IF(K311&gt;MAX(L311,S311),"קואליציית ההקמה 2022",IF(L311&gt;MAX(K311,S311),"אופוזיציה רחבה 2022","רשימות אחרות"))</x:f>
        <x:v>קואליציית ההקמה 2022</x:v>
      </x:c>
      <x:c r="P311" s="17" t="str">
        <x:f>IF(AND(H311&lt;50%,N311&gt;50%),"כן","לא")</x:f>
        <x:v>לא</x:v>
      </x:c>
      <x:c r="Q311" s="18" t="n">
        <x:f>SUM(AV311,AJ311,AL311,T311,AN311)</x:f>
        <x:v>110</x:v>
      </x:c>
      <x:c r="R311" s="18" t="n">
        <x:f>SUM(Y311,AU311,X311)</x:f>
        <x:v>1</x:v>
      </x:c>
      <x:c r="S311" s="18" t="n">
        <x:f>J311-K311-L311</x:f>
        <x:v>4</x:v>
      </x:c>
      <x:c r="T311" s="18" t="n">
        <x:v>5</x:v>
      </x:c>
      <x:c r="U311" s="18" t="n">
        <x:v>1</x:v>
      </x:c>
      <x:c r="V311" s="18" t="n">
        <x:v>1</x:v>
      </x:c>
      <x:c r="W311" s="18" t="n">
        <x:v>0</x:v>
      </x:c>
      <x:c r="X311" s="18" t="n">
        <x:v>0</x:v>
      </x:c>
      <x:c r="Y311" s="18" t="n">
        <x:v>1</x:v>
      </x:c>
      <x:c r="Z311" s="18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19</x:v>
      </x:c>
      <x:c r="AE311" s="18" t="n">
        <x:v>0</x:v>
      </x:c>
      <x:c r="AF311" s="18" t="n">
        <x:v>0</x:v>
      </x:c>
      <x:c r="AG311" s="18" t="n">
        <x:v>0</x:v>
      </x:c>
      <x:c r="AH311" s="18" t="n">
        <x:v>0</x:v>
      </x:c>
      <x:c r="AI311" s="18" t="n">
        <x:v>0</x:v>
      </x:c>
      <x:c r="AJ311" s="18" t="n">
        <x:v>8</x:v>
      </x:c>
      <x:c r="AK311" s="18" t="n">
        <x:v>0</x:v>
      </x:c>
      <x:c r="AL311" s="18" t="n">
        <x:v>49</x:v>
      </x:c>
      <x:c r="AM311" s="18" t="n">
        <x:v>100</x:v>
      </x:c>
      <x:c r="AN311" s="18" t="n">
        <x:v>4</x:v>
      </x:c>
      <x:c r="AO311" s="18" t="n">
        <x:v>0</x:v>
      </x:c>
      <x:c r="AP311" s="18" t="n">
        <x:v>0</x:v>
      </x:c>
      <x:c r="AQ311" s="18" t="n">
        <x:v>0</x:v>
      </x:c>
      <x:c r="AR311" s="18" t="n">
        <x:v>0</x:v>
      </x:c>
      <x:c r="AS311" s="18" t="n">
        <x:v>0</x:v>
      </x:c>
      <x:c r="AT311" s="18" t="n">
        <x:v>0</x:v>
      </x:c>
      <x:c r="AU311" s="18" t="n">
        <x:v>0</x:v>
      </x:c>
      <x:c r="AV311" s="18" t="n">
        <x:v>44</x:v>
      </x:c>
      <x:c r="AW311" s="18" t="n">
        <x:v>1</x:v>
      </x:c>
      <x:c r="AX311" s="18" t="n">
        <x:v>0</x:v>
      </x:c>
      <x:c r="AY311" s="18" t="n">
        <x:v>0</x:v>
      </x:c>
      <x:c r="AZ311" s="18" t="n">
        <x:v>0</x:v>
      </x:c>
      <x:c r="BA311" s="18" t="n">
        <x:v>0</x:v>
      </x:c>
      <x:c r="BB311" s="18" t="n">
        <x:v>0</x:v>
      </x:c>
      <x:c r="BC311" s="18" t="n">
        <x:v>0</x:v>
      </x:c>
      <x:c r="BD311" s="18" t="n">
        <x:v>1</x:v>
      </x:c>
      <x:c r="BE311" s="18" t="n">
        <x:v>0</x:v>
      </x:c>
      <x:c r="BF311" s="18" t="n">
        <x:v>1</x:v>
      </x:c>
      <x:c r="BG311" s="18" t="n">
        <x:v>0</x:v>
      </x:c>
    </x:row>
    <x:row r="312">
      <x:c r="A312" s="29" t="str">
        <x:v>381</x:v>
      </x:c>
      <x:c r="B312" s="17" t="n">
        <x:v>2849</x:v>
      </x:c>
      <x:c r="C312" s="17" t="str">
        <x:v>מרכז הנוער בית מגנצא</x:v>
      </x:c>
      <x:c r="D312" s="17" t="str">
        <x:v>חטיבת כרמלי 42א</x:v>
      </x:c>
      <x:c r="E312" s="17" t="str">
        <x:v>גבוה מאוד</x:v>
      </x:c>
      <x:c r="F312" s="18" t="n">
        <x:v>533</x:v>
      </x:c>
      <x:c r="G312" s="18" t="n">
        <x:v>224</x:v>
      </x:c>
      <x:c r="H312" s="19" t="n">
        <x:f>IFERROR(G312/F312,0)</x:f>
        <x:v>0.4202626641651032</x:v>
      </x:c>
      <x:c r="I312" s="18" t="n">
        <x:v>6</x:v>
      </x:c>
      <x:c r="J312" s="18" t="n">
        <x:v>218</x:v>
      </x:c>
      <x:c r="K312" s="18" t="n">
        <x:f>SUM(AM312,BF312,W312,AD312)</x:f>
        <x:v>119</x:v>
      </x:c>
      <x:c r="L312" s="18" t="n">
        <x:f>Q312+R312</x:f>
        <x:v>92</x:v>
      </x:c>
      <x:c r="M312" s="19" t="n">
        <x:f>IFERROR(K312/J312,0)</x:f>
        <x:v>0.5458715596330275</x:v>
      </x:c>
      <x:c r="N312" s="19" t="n">
        <x:f>IFERROR(L312/J312,0)</x:f>
        <x:v>0.42201834862385323</x:v>
      </x:c>
      <x:c r="O312" s="17" t="str">
        <x:f>IF(K312&gt;MAX(L312,S312),"קואליציית ההקמה 2022",IF(L312&gt;MAX(K312,S312),"אופוזיציה רחבה 2022","רשימות אחרות"))</x:f>
        <x:v>קואליציית ההקמה 2022</x:v>
      </x:c>
      <x:c r="P312" s="17" t="str">
        <x:f>IF(AND(H312&lt;50%,N312&gt;50%),"כן","לא")</x:f>
        <x:v>לא</x:v>
      </x:c>
      <x:c r="Q312" s="18" t="n">
        <x:f>SUM(AV312,AJ312,AL312,T312,AN312)</x:f>
        <x:v>89</x:v>
      </x:c>
      <x:c r="R312" s="18" t="n">
        <x:f>SUM(Y312,AU312,X312)</x:f>
        <x:v>3</x:v>
      </x:c>
      <x:c r="S312" s="18" t="n">
        <x:f>J312-K312-L312</x:f>
        <x:v>7</x:v>
      </x:c>
      <x:c r="T312" s="18" t="n">
        <x:v>5</x:v>
      </x:c>
      <x:c r="U312" s="18" t="n">
        <x:v>0</x:v>
      </x:c>
      <x:c r="V312" s="18" t="n">
        <x:v>0</x:v>
      </x:c>
      <x:c r="W312" s="18" t="n">
        <x:v>1</x:v>
      </x:c>
      <x:c r="X312" s="18" t="n">
        <x:v>0</x:v>
      </x:c>
      <x:c r="Y312" s="18" t="n">
        <x:v>3</x:v>
      </x:c>
      <x:c r="Z312" s="18" t="n">
        <x:v>0</x:v>
      </x:c>
      <x:c r="AA312" s="18" t="n">
        <x:v>1</x:v>
      </x:c>
      <x:c r="AB312" s="18" t="n">
        <x:v>0</x:v>
      </x:c>
      <x:c r="AC312" s="18" t="n">
        <x:v>0</x:v>
      </x:c>
      <x:c r="AD312" s="18" t="n">
        <x:v>22</x:v>
      </x:c>
      <x:c r="AE312" s="18" t="n">
        <x:v>0</x:v>
      </x:c>
      <x:c r="AF312" s="18" t="n">
        <x:v>0</x:v>
      </x:c>
      <x:c r="AG312" s="18" t="n">
        <x:v>0</x:v>
      </x:c>
      <x:c r="AH312" s="18" t="n">
        <x:v>0</x:v>
      </x:c>
      <x:c r="AI312" s="18" t="n">
        <x:v>0</x:v>
      </x:c>
      <x:c r="AJ312" s="18" t="n">
        <x:v>15</x:v>
      </x:c>
      <x:c r="AK312" s="18" t="n">
        <x:v>0</x:v>
      </x:c>
      <x:c r="AL312" s="18" t="n">
        <x:v>48</x:v>
      </x:c>
      <x:c r="AM312" s="18" t="n">
        <x:v>87</x:v>
      </x:c>
      <x:c r="AN312" s="18" t="n">
        <x:v>1</x:v>
      </x:c>
      <x:c r="AO312" s="18" t="n">
        <x:v>0</x:v>
      </x:c>
      <x:c r="AP312" s="18" t="n">
        <x:v>1</x:v>
      </x:c>
      <x:c r="AQ312" s="18" t="n">
        <x:v>0</x:v>
      </x:c>
      <x:c r="AR312" s="18" t="n">
        <x:v>0</x:v>
      </x:c>
      <x:c r="AS312" s="18" t="n">
        <x:v>0</x:v>
      </x:c>
      <x:c r="AT312" s="18" t="n">
        <x:v>0</x:v>
      </x:c>
      <x:c r="AU312" s="18" t="n">
        <x:v>0</x:v>
      </x:c>
      <x:c r="AV312" s="18" t="n">
        <x:v>20</x:v>
      </x:c>
      <x:c r="AW312" s="18" t="n">
        <x:v>0</x:v>
      </x:c>
      <x:c r="AX312" s="18" t="n">
        <x:v>1</x:v>
      </x:c>
      <x:c r="AY312" s="18" t="n">
        <x:v>0</x:v>
      </x:c>
      <x:c r="AZ312" s="18" t="n">
        <x:v>0</x:v>
      </x:c>
      <x:c r="BA312" s="18" t="n">
        <x:v>0</x:v>
      </x:c>
      <x:c r="BB312" s="18" t="n">
        <x:v>1</x:v>
      </x:c>
      <x:c r="BC312" s="18" t="n">
        <x:v>1</x:v>
      </x:c>
      <x:c r="BD312" s="18" t="n">
        <x:v>2</x:v>
      </x:c>
      <x:c r="BE312" s="18" t="n">
        <x:v>0</x:v>
      </x:c>
      <x:c r="BF312" s="18" t="n">
        <x:v>9</x:v>
      </x:c>
      <x:c r="BG312" s="18" t="n">
        <x:v>0</x:v>
      </x:c>
    </x:row>
    <x:row r="313">
      <x:c r="A313" s="29" t="str">
        <x:v>382</x:v>
      </x:c>
      <x:c r="B313" s="17" t="n">
        <x:v>2850</x:v>
      </x:c>
      <x:c r="C313" s="17" t="str">
        <x:v>המכללה להכשרת מורים</x:v>
      </x:c>
      <x:c r="D313" s="17" t="str">
        <x:v>החשמל 22</x:v>
      </x:c>
      <x:c r="E313" s="17" t="str">
        <x:v>גבוה מאוד</x:v>
      </x:c>
      <x:c r="F313" s="18" t="n">
        <x:v>629</x:v>
      </x:c>
      <x:c r="G313" s="18" t="n">
        <x:v>218</x:v>
      </x:c>
      <x:c r="H313" s="19" t="n">
        <x:f>IFERROR(G313/F313,0)</x:f>
        <x:v>0.3465818759936407</x:v>
      </x:c>
      <x:c r="I313" s="18" t="n">
        <x:v>1</x:v>
      </x:c>
      <x:c r="J313" s="18" t="n">
        <x:v>217</x:v>
      </x:c>
      <x:c r="K313" s="18" t="n">
        <x:f>SUM(AM313,BF313,W313,AD313)</x:f>
        <x:v>78</x:v>
      </x:c>
      <x:c r="L313" s="18" t="n">
        <x:f>Q313+R313</x:f>
        <x:v>130</x:v>
      </x:c>
      <x:c r="M313" s="19" t="n">
        <x:f>IFERROR(K313/J313,0)</x:f>
        <x:v>0.35944700460829493</x:v>
      </x:c>
      <x:c r="N313" s="19" t="n">
        <x:f>IFERROR(L313/J313,0)</x:f>
        <x:v>0.5990783410138248</x:v>
      </x:c>
      <x:c r="O313" s="17" t="str">
        <x:f>IF(K313&gt;MAX(L313,S313),"קואליציית ההקמה 2022",IF(L313&gt;MAX(K313,S313),"אופוזיציה רחבה 2022","רשימות אחרות"))</x:f>
        <x:v>אופוזיציה רחבה 2022</x:v>
      </x:c>
      <x:c r="P313" s="17" t="str">
        <x:f>IF(AND(H313&lt;50%,N313&gt;50%),"כן","לא")</x:f>
        <x:v>כן</x:v>
      </x:c>
      <x:c r="Q313" s="18" t="n">
        <x:f>SUM(AV313,AJ313,AL313,T313,AN313)</x:f>
        <x:v>107</x:v>
      </x:c>
      <x:c r="R313" s="18" t="n">
        <x:f>SUM(Y313,AU313,X313)</x:f>
        <x:v>23</x:v>
      </x:c>
      <x:c r="S313" s="18" t="n">
        <x:f>J313-K313-L313</x:f>
        <x:v>9</x:v>
      </x:c>
      <x:c r="T313" s="18" t="n">
        <x:v>3</x:v>
      </x:c>
      <x:c r="U313" s="18" t="n">
        <x:v>1</x:v>
      </x:c>
      <x:c r="V313" s="18" t="n">
        <x:v>0</x:v>
      </x:c>
      <x:c r="W313" s="18" t="n">
        <x:v>1</x:v>
      </x:c>
      <x:c r="X313" s="18" t="n">
        <x:v>6</x:v>
      </x:c>
      <x:c r="Y313" s="18" t="n">
        <x:v>10</x:v>
      </x:c>
      <x:c r="Z313" s="18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13</x:v>
      </x:c>
      <x:c r="AE313" s="18" t="n">
        <x:v>0</x:v>
      </x:c>
      <x:c r="AF313" s="18" t="n">
        <x:v>0</x:v>
      </x:c>
      <x:c r="AG313" s="18" t="n">
        <x:v>1</x:v>
      </x:c>
      <x:c r="AH313" s="18" t="n">
        <x:v>0</x:v>
      </x:c>
      <x:c r="AI313" s="18" t="n">
        <x:v>0</x:v>
      </x:c>
      <x:c r="AJ313" s="18" t="n">
        <x:v>21</x:v>
      </x:c>
      <x:c r="AK313" s="18" t="n">
        <x:v>0</x:v>
      </x:c>
      <x:c r="AL313" s="18" t="n">
        <x:v>54</x:v>
      </x:c>
      <x:c r="AM313" s="18" t="n">
        <x:v>56</x:v>
      </x:c>
      <x:c r="AN313" s="18" t="n">
        <x:v>1</x:v>
      </x:c>
      <x:c r="AO313" s="18" t="n">
        <x:v>0</x:v>
      </x:c>
      <x:c r="AP313" s="18" t="n">
        <x:v>0</x:v>
      </x:c>
      <x:c r="AQ313" s="18" t="n">
        <x:v>0</x:v>
      </x:c>
      <x:c r="AR313" s="18" t="n">
        <x:v>0</x:v>
      </x:c>
      <x:c r="AS313" s="18" t="n">
        <x:v>0</x:v>
      </x:c>
      <x:c r="AT313" s="18" t="n">
        <x:v>0</x:v>
      </x:c>
      <x:c r="AU313" s="18" t="n">
        <x:v>7</x:v>
      </x:c>
      <x:c r="AV313" s="18" t="n">
        <x:v>28</x:v>
      </x:c>
      <x:c r="AW313" s="18" t="n">
        <x:v>2</x:v>
      </x:c>
      <x:c r="AX313" s="18" t="n">
        <x:v>1</x:v>
      </x:c>
      <x:c r="AY313" s="18" t="n">
        <x:v>0</x:v>
      </x:c>
      <x:c r="AZ313" s="18" t="n">
        <x:v>0</x:v>
      </x:c>
      <x:c r="BA313" s="18" t="n">
        <x:v>0</x:v>
      </x:c>
      <x:c r="BB313" s="18" t="n">
        <x:v>3</x:v>
      </x:c>
      <x:c r="BC313" s="18" t="n">
        <x:v>0</x:v>
      </x:c>
      <x:c r="BD313" s="18" t="n">
        <x:v>0</x:v>
      </x:c>
      <x:c r="BE313" s="18" t="n">
        <x:v>0</x:v>
      </x:c>
      <x:c r="BF313" s="18" t="n">
        <x:v>8</x:v>
      </x:c>
      <x:c r="BG313" s="18" t="n">
        <x:v>1</x:v>
      </x:c>
    </x:row>
    <x:row r="314">
      <x:c r="A314" s="29" t="str">
        <x:v>384</x:v>
      </x:c>
      <x:c r="B314" s="17" t="n">
        <x:v>2851</x:v>
      </x:c>
      <x:c r="C314" s="17" t="str">
        <x:v>בי"ס עבד אל רחמן אלחאג'</x:v>
      </x:c>
      <x:c r="D314" s="17" t="str">
        <x:v>גוש עציון 24</x:v>
      </x:c>
      <x:c r="E314" s="17" t="str">
        <x:v>גבוה מאוד</x:v>
      </x:c>
      <x:c r="F314" s="18" t="n">
        <x:v>528</x:v>
      </x:c>
      <x:c r="G314" s="18" t="n">
        <x:v>196</x:v>
      </x:c>
      <x:c r="H314" s="19" t="n">
        <x:f>IFERROR(G314/F314,0)</x:f>
        <x:v>0.3712121212121212</x:v>
      </x:c>
      <x:c r="I314" s="18" t="n">
        <x:v>2</x:v>
      </x:c>
      <x:c r="J314" s="18" t="n">
        <x:v>194</x:v>
      </x:c>
      <x:c r="K314" s="18" t="n">
        <x:f>SUM(AM314,BF314,W314,AD314)</x:f>
        <x:v>13</x:v>
      </x:c>
      <x:c r="L314" s="18" t="n">
        <x:f>Q314+R314</x:f>
        <x:v>180</x:v>
      </x:c>
      <x:c r="M314" s="19" t="n">
        <x:f>IFERROR(K314/J314,0)</x:f>
        <x:v>0.06701030927835051</x:v>
      </x:c>
      <x:c r="N314" s="19" t="n">
        <x:f>IFERROR(L314/J314,0)</x:f>
        <x:v>0.9278350515463918</x:v>
      </x:c>
      <x:c r="O314" s="17" t="str">
        <x:f>IF(K314&gt;MAX(L314,S314),"קואליציית ההקמה 2022",IF(L314&gt;MAX(K314,S314),"אופוזיציה רחבה 2022","רשימות אחרות"))</x:f>
        <x:v>אופוזיציה רחבה 2022</x:v>
      </x:c>
      <x:c r="P314" s="17" t="str">
        <x:f>IF(AND(H314&lt;50%,N314&gt;50%),"כן","לא")</x:f>
        <x:v>כן</x:v>
      </x:c>
      <x:c r="Q314" s="18" t="n">
        <x:f>SUM(AV314,AJ314,AL314,T314,AN314)</x:f>
        <x:v>12</x:v>
      </x:c>
      <x:c r="R314" s="18" t="n">
        <x:f>SUM(Y314,AU314,X314)</x:f>
        <x:v>168</x:v>
      </x:c>
      <x:c r="S314" s="18" t="n">
        <x:f>J314-K314-L314</x:f>
        <x:v>1</x:v>
      </x:c>
      <x:c r="T314" s="18" t="n">
        <x:v>0</x:v>
      </x:c>
      <x:c r="U314" s="18" t="n">
        <x:v>0</x:v>
      </x:c>
      <x:c r="V314" s="18" t="n">
        <x:v>0</x:v>
      </x:c>
      <x:c r="W314" s="18" t="n">
        <x:v>1</x:v>
      </x:c>
      <x:c r="X314" s="18" t="n">
        <x:v>26</x:v>
      </x:c>
      <x:c r="Y314" s="18" t="n">
        <x:v>125</x:v>
      </x:c>
      <x:c r="Z314" s="18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  <x:c r="AE314" s="18" t="n">
        <x:v>0</x:v>
      </x:c>
      <x:c r="AF314" s="18" t="n">
        <x:v>0</x:v>
      </x:c>
      <x:c r="AG314" s="18" t="n">
        <x:v>0</x:v>
      </x:c>
      <x:c r="AH314" s="18" t="n">
        <x:v>0</x:v>
      </x:c>
      <x:c r="AI314" s="18" t="n">
        <x:v>0</x:v>
      </x:c>
      <x:c r="AJ314" s="18" t="n">
        <x:v>0</x:v>
      </x:c>
      <x:c r="AK314" s="18" t="n">
        <x:v>0</x:v>
      </x:c>
      <x:c r="AL314" s="18" t="n">
        <x:v>10</x:v>
      </x:c>
      <x:c r="AM314" s="18" t="n">
        <x:v>11</x:v>
      </x:c>
      <x:c r="AN314" s="18" t="n">
        <x:v>2</x:v>
      </x:c>
      <x:c r="AO314" s="18" t="n">
        <x:v>0</x:v>
      </x:c>
      <x:c r="AP314" s="18" t="n">
        <x:v>0</x:v>
      </x:c>
      <x:c r="AQ314" s="18" t="n">
        <x:v>0</x:v>
      </x:c>
      <x:c r="AR314" s="18" t="n">
        <x:v>0</x:v>
      </x:c>
      <x:c r="AS314" s="18" t="n">
        <x:v>0</x:v>
      </x:c>
      <x:c r="AT314" s="18" t="n">
        <x:v>0</x:v>
      </x:c>
      <x:c r="AU314" s="18" t="n">
        <x:v>17</x:v>
      </x:c>
      <x:c r="AV314" s="18" t="n">
        <x:v>0</x:v>
      </x:c>
      <x:c r="AW314" s="18" t="n">
        <x:v>0</x:v>
      </x:c>
      <x:c r="AX314" s="18" t="n">
        <x:v>0</x:v>
      </x:c>
      <x:c r="AY314" s="18" t="n">
        <x:v>1</x:v>
      </x:c>
      <x:c r="AZ314" s="18" t="n">
        <x:v>0</x:v>
      </x:c>
      <x:c r="BA314" s="18" t="n">
        <x:v>0</x:v>
      </x:c>
      <x:c r="BB314" s="18" t="n">
        <x:v>0</x:v>
      </x:c>
      <x:c r="BC314" s="18" t="n">
        <x:v>0</x:v>
      </x:c>
      <x:c r="BD314" s="18" t="n">
        <x:v>0</x:v>
      </x:c>
      <x:c r="BE314" s="18" t="n">
        <x:v>0</x:v>
      </x:c>
      <x:c r="BF314" s="18" t="n">
        <x:v>1</x:v>
      </x:c>
      <x:c r="BG314" s="18" t="n">
        <x:v>0</x:v>
      </x:c>
    </x:row>
    <x:row r="315">
      <x:c r="A315" s="29" t="str">
        <x:v>385.1</x:v>
      </x:c>
      <x:c r="B315" s="17" t="n">
        <x:v>3170</x:v>
      </x:c>
      <x:c r="C315" s="17" t="str">
        <x:v>גן ילדים נוף</x:v>
      </x:c>
      <x:c r="D315" s="17" t="str">
        <x:v>פרץ מרקיש 5</x:v>
      </x:c>
      <x:c r="E315" s="17" t="str">
        <x:v>גבוה מאוד</x:v>
      </x:c>
      <x:c r="F315" s="18" t="n">
        <x:v>590</x:v>
      </x:c>
      <x:c r="G315" s="18" t="n">
        <x:v>326</x:v>
      </x:c>
      <x:c r="H315" s="19" t="n">
        <x:f>IFERROR(G315/F315,0)</x:f>
        <x:v>0.5525423728813559</x:v>
      </x:c>
      <x:c r="I315" s="18" t="n">
        <x:v>7</x:v>
      </x:c>
      <x:c r="J315" s="18" t="n">
        <x:v>319</x:v>
      </x:c>
      <x:c r="K315" s="18" t="n">
        <x:f>SUM(AM315,BF315,W315,AD315)</x:f>
        <x:v>114</x:v>
      </x:c>
      <x:c r="L315" s="18" t="n">
        <x:f>Q315+R315</x:f>
        <x:v>198</x:v>
      </x:c>
      <x:c r="M315" s="19" t="n">
        <x:f>IFERROR(K315/J315,0)</x:f>
        <x:v>0.3573667711598746</x:v>
      </x:c>
      <x:c r="N315" s="19" t="n">
        <x:f>IFERROR(L315/J315,0)</x:f>
        <x:v>0.6206896551724138</x:v>
      </x:c>
      <x:c r="O315" s="17" t="str">
        <x:f>IF(K315&gt;MAX(L315,S315),"קואליציית ההקמה 2022",IF(L315&gt;MAX(K315,S315),"אופוזיציה רחבה 2022","רשימות אחרות"))</x:f>
        <x:v>אופוזיציה רחבה 2022</x:v>
      </x:c>
      <x:c r="P315" s="17" t="str">
        <x:f>IF(AND(H315&lt;50%,N315&gt;50%),"כן","לא")</x:f>
        <x:v>לא</x:v>
      </x:c>
      <x:c r="Q315" s="18" t="n">
        <x:f>SUM(AV315,AJ315,AL315,T315,AN315)</x:f>
        <x:v>197</x:v>
      </x:c>
      <x:c r="R315" s="18" t="n">
        <x:f>SUM(Y315,AU315,X315)</x:f>
        <x:v>1</x:v>
      </x:c>
      <x:c r="S315" s="18" t="n">
        <x:f>J315-K315-L315</x:f>
        <x:v>7</x:v>
      </x:c>
      <x:c r="T315" s="18" t="n">
        <x:v>8</x:v>
      </x:c>
      <x:c r="U315" s="18" t="n">
        <x:v>1</x:v>
      </x:c>
      <x:c r="V315" s="18" t="n">
        <x:v>0</x:v>
      </x:c>
      <x:c r="W315" s="18" t="n">
        <x:v>4</x:v>
      </x:c>
      <x:c r="X315" s="18" t="n">
        <x:v>0</x:v>
      </x:c>
      <x:c r="Y315" s="18" t="n">
        <x:v>1</x:v>
      </x:c>
      <x:c r="Z315" s="18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11</x:v>
      </x:c>
      <x:c r="AE315" s="18" t="n">
        <x:v>0</x:v>
      </x:c>
      <x:c r="AF315" s="18" t="n">
        <x:v>1</x:v>
      </x:c>
      <x:c r="AG315" s="18" t="n">
        <x:v>0</x:v>
      </x:c>
      <x:c r="AH315" s="18" t="n">
        <x:v>0</x:v>
      </x:c>
      <x:c r="AI315" s="18" t="n">
        <x:v>0</x:v>
      </x:c>
      <x:c r="AJ315" s="18" t="n">
        <x:v>22</x:v>
      </x:c>
      <x:c r="AK315" s="18" t="n">
        <x:v>0</x:v>
      </x:c>
      <x:c r="AL315" s="18" t="n">
        <x:v>68</x:v>
      </x:c>
      <x:c r="AM315" s="18" t="n">
        <x:v>94</x:v>
      </x:c>
      <x:c r="AN315" s="18" t="n">
        <x:v>6</x:v>
      </x:c>
      <x:c r="AO315" s="18" t="n">
        <x:v>0</x:v>
      </x:c>
      <x:c r="AP315" s="18" t="n">
        <x:v>0</x:v>
      </x:c>
      <x:c r="AQ315" s="18" t="n">
        <x:v>0</x:v>
      </x:c>
      <x:c r="AR315" s="18" t="n">
        <x:v>0</x:v>
      </x:c>
      <x:c r="AS315" s="18" t="n">
        <x:v>0</x:v>
      </x:c>
      <x:c r="AT315" s="18" t="n">
        <x:v>0</x:v>
      </x:c>
      <x:c r="AU315" s="18" t="n">
        <x:v>0</x:v>
      </x:c>
      <x:c r="AV315" s="18" t="n">
        <x:v>93</x:v>
      </x:c>
      <x:c r="AW315" s="18" t="n">
        <x:v>0</x:v>
      </x:c>
      <x:c r="AX315" s="18" t="n">
        <x:v>0</x:v>
      </x:c>
      <x:c r="AY315" s="18" t="n">
        <x:v>0</x:v>
      </x:c>
      <x:c r="AZ315" s="18" t="n">
        <x:v>0</x:v>
      </x:c>
      <x:c r="BA315" s="18" t="n">
        <x:v>0</x:v>
      </x:c>
      <x:c r="BB315" s="18" t="n">
        <x:v>0</x:v>
      </x:c>
      <x:c r="BC315" s="18" t="n">
        <x:v>1</x:v>
      </x:c>
      <x:c r="BD315" s="18" t="n">
        <x:v>1</x:v>
      </x:c>
      <x:c r="BE315" s="18" t="n">
        <x:v>3</x:v>
      </x:c>
      <x:c r="BF315" s="18" t="n">
        <x:v>5</x:v>
      </x:c>
      <x:c r="BG315" s="18" t="n">
        <x:v>0</x:v>
      </x:c>
    </x:row>
    <x:row r="316">
      <x:c r="A316" s="29" t="str">
        <x:v>385.2</x:v>
      </x:c>
      <x:c r="B316" s="17" t="n">
        <x:v>3171</x:v>
      </x:c>
      <x:c r="C316" s="17" t="str">
        <x:v>גן ילדים "תפוז"</x:v>
      </x:c>
      <x:c r="D316" s="17" t="str">
        <x:v>פרץ מרקיש 5</x:v>
      </x:c>
      <x:c r="E316" s="17" t="str">
        <x:v>גבוה</x:v>
      </x:c>
      <x:c r="F316" s="18" t="n">
        <x:v>590</x:v>
      </x:c>
      <x:c r="G316" s="18" t="n">
        <x:v>299</x:v>
      </x:c>
      <x:c r="H316" s="19" t="n">
        <x:f>IFERROR(G316/F316,0)</x:f>
        <x:v>0.5067796610169492</x:v>
      </x:c>
      <x:c r="I316" s="18" t="n">
        <x:v>4</x:v>
      </x:c>
      <x:c r="J316" s="18" t="n">
        <x:v>295</x:v>
      </x:c>
      <x:c r="K316" s="18" t="n">
        <x:f>SUM(AM316,BF316,W316,AD316)</x:f>
        <x:v>94</x:v>
      </x:c>
      <x:c r="L316" s="18" t="n">
        <x:f>Q316+R316</x:f>
        <x:v>189</x:v>
      </x:c>
      <x:c r="M316" s="19" t="n">
        <x:f>IFERROR(K316/J316,0)</x:f>
        <x:v>0.31864406779661014</x:v>
      </x:c>
      <x:c r="N316" s="19" t="n">
        <x:f>IFERROR(L316/J316,0)</x:f>
        <x:v>0.6406779661016949</x:v>
      </x:c>
      <x:c r="O316" s="17" t="str">
        <x:f>IF(K316&gt;MAX(L316,S316),"קואליציית ההקמה 2022",IF(L316&gt;MAX(K316,S316),"אופוזיציה רחבה 2022","רשימות אחרות"))</x:f>
        <x:v>אופוזיציה רחבה 2022</x:v>
      </x:c>
      <x:c r="P316" s="17" t="str">
        <x:f>IF(AND(H316&lt;50%,N316&gt;50%),"כן","לא")</x:f>
        <x:v>לא</x:v>
      </x:c>
      <x:c r="Q316" s="18" t="n">
        <x:f>SUM(AV316,AJ316,AL316,T316,AN316)</x:f>
        <x:v>186</x:v>
      </x:c>
      <x:c r="R316" s="18" t="n">
        <x:f>SUM(Y316,AU316,X316)</x:f>
        <x:v>3</x:v>
      </x:c>
      <x:c r="S316" s="18" t="n">
        <x:f>J316-K316-L316</x:f>
        <x:v>12</x:v>
      </x:c>
      <x:c r="T316" s="18" t="n">
        <x:v>7</x:v>
      </x:c>
      <x:c r="U316" s="18" t="n">
        <x:v>1</x:v>
      </x:c>
      <x:c r="V316" s="18" t="n">
        <x:v>2</x:v>
      </x:c>
      <x:c r="W316" s="18" t="n">
        <x:v>2</x:v>
      </x:c>
      <x:c r="X316" s="18" t="n">
        <x:v>1</x:v>
      </x:c>
      <x:c r="Y316" s="18" t="n">
        <x:v>2</x:v>
      </x:c>
      <x:c r="Z316" s="18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9</x:v>
      </x:c>
      <x:c r="AE316" s="18" t="n">
        <x:v>0</x:v>
      </x:c>
      <x:c r="AF316" s="18" t="n">
        <x:v>2</x:v>
      </x:c>
      <x:c r="AG316" s="18" t="n">
        <x:v>0</x:v>
      </x:c>
      <x:c r="AH316" s="18" t="n">
        <x:v>0</x:v>
      </x:c>
      <x:c r="AI316" s="18" t="n">
        <x:v>0</x:v>
      </x:c>
      <x:c r="AJ316" s="18" t="n">
        <x:v>14</x:v>
      </x:c>
      <x:c r="AK316" s="18" t="n">
        <x:v>1</x:v>
      </x:c>
      <x:c r="AL316" s="18" t="n">
        <x:v>74</x:v>
      </x:c>
      <x:c r="AM316" s="18" t="n">
        <x:v>76</x:v>
      </x:c>
      <x:c r="AN316" s="18" t="n">
        <x:v>8</x:v>
      </x:c>
      <x:c r="AO316" s="18" t="n">
        <x:v>0</x:v>
      </x:c>
      <x:c r="AP316" s="18" t="n">
        <x:v>0</x:v>
      </x:c>
      <x:c r="AQ316" s="18" t="n">
        <x:v>0</x:v>
      </x:c>
      <x:c r="AR316" s="18" t="n">
        <x:v>1</x:v>
      </x:c>
      <x:c r="AS316" s="18" t="n">
        <x:v>0</x:v>
      </x:c>
      <x:c r="AT316" s="18" t="n">
        <x:v>0</x:v>
      </x:c>
      <x:c r="AU316" s="18" t="n">
        <x:v>0</x:v>
      </x:c>
      <x:c r="AV316" s="18" t="n">
        <x:v>83</x:v>
      </x:c>
      <x:c r="AW316" s="18" t="n">
        <x:v>0</x:v>
      </x:c>
      <x:c r="AX316" s="18" t="n">
        <x:v>0</x:v>
      </x:c>
      <x:c r="AY316" s="18" t="n">
        <x:v>0</x:v>
      </x:c>
      <x:c r="AZ316" s="18" t="n">
        <x:v>0</x:v>
      </x:c>
      <x:c r="BA316" s="18" t="n">
        <x:v>0</x:v>
      </x:c>
      <x:c r="BB316" s="18" t="n">
        <x:v>0</x:v>
      </x:c>
      <x:c r="BC316" s="18" t="n">
        <x:v>0</x:v>
      </x:c>
      <x:c r="BD316" s="18" t="n">
        <x:v>5</x:v>
      </x:c>
      <x:c r="BE316" s="18" t="n">
        <x:v>0</x:v>
      </x:c>
      <x:c r="BF316" s="18" t="n">
        <x:v>7</x:v>
      </x:c>
      <x:c r="BG316" s="18" t="n">
        <x:v>0</x:v>
      </x:c>
    </x:row>
    <x:row r="317">
      <x:c r="A317" s="29" t="str">
        <x:v>387.1</x:v>
      </x:c>
      <x:c r="B317" s="17" t="n">
        <x:v>2852</x:v>
      </x:c>
      <x:c r="C317" s="17" t="str">
        <x:v>בי"ס תהילת שלמה</x:v>
      </x:c>
      <x:c r="D317" s="17" t="str">
        <x:v>החשמל 8</x:v>
      </x:c>
      <x:c r="E317" s="17" t="str">
        <x:v>גבוה מאוד</x:v>
      </x:c>
      <x:c r="F317" s="18" t="n">
        <x:v>666</x:v>
      </x:c>
      <x:c r="G317" s="18" t="n">
        <x:v>237</x:v>
      </x:c>
      <x:c r="H317" s="19" t="n">
        <x:f>IFERROR(G317/F317,0)</x:f>
        <x:v>0.35585585585585583</x:v>
      </x:c>
      <x:c r="I317" s="18" t="n">
        <x:v>1</x:v>
      </x:c>
      <x:c r="J317" s="18" t="n">
        <x:v>236</x:v>
      </x:c>
      <x:c r="K317" s="18" t="n">
        <x:f>SUM(AM317,BF317,W317,AD317)</x:f>
        <x:v>82</x:v>
      </x:c>
      <x:c r="L317" s="18" t="n">
        <x:f>Q317+R317</x:f>
        <x:v>147</x:v>
      </x:c>
      <x:c r="M317" s="19" t="n">
        <x:f>IFERROR(K317/J317,0)</x:f>
        <x:v>0.3474576271186441</x:v>
      </x:c>
      <x:c r="N317" s="19" t="n">
        <x:f>IFERROR(L317/J317,0)</x:f>
        <x:v>0.6228813559322034</x:v>
      </x:c>
      <x:c r="O317" s="17" t="str">
        <x:f>IF(K317&gt;MAX(L317,S317),"קואליציית ההקמה 2022",IF(L317&gt;MAX(K317,S317),"אופוזיציה רחבה 2022","רשימות אחרות"))</x:f>
        <x:v>אופוזיציה רחבה 2022</x:v>
      </x:c>
      <x:c r="P317" s="17" t="str">
        <x:f>IF(AND(H317&lt;50%,N317&gt;50%),"כן","לא")</x:f>
        <x:v>כן</x:v>
      </x:c>
      <x:c r="Q317" s="18" t="n">
        <x:f>SUM(AV317,AJ317,AL317,T317,AN317)</x:f>
        <x:v>102</x:v>
      </x:c>
      <x:c r="R317" s="18" t="n">
        <x:f>SUM(Y317,AU317,X317)</x:f>
        <x:v>45</x:v>
      </x:c>
      <x:c r="S317" s="18" t="n">
        <x:f>J317-K317-L317</x:f>
        <x:v>7</x:v>
      </x:c>
      <x:c r="T317" s="18" t="n">
        <x:v>9</x:v>
      </x:c>
      <x:c r="U317" s="18" t="n">
        <x:v>0</x:v>
      </x:c>
      <x:c r="V317" s="18" t="n">
        <x:v>0</x:v>
      </x:c>
      <x:c r="W317" s="18" t="n">
        <x:v>0</x:v>
      </x:c>
      <x:c r="X317" s="18" t="n">
        <x:v>12</x:v>
      </x:c>
      <x:c r="Y317" s="18" t="n">
        <x:v>23</x:v>
      </x:c>
      <x:c r="Z317" s="18" t="n">
        <x:v>0</x:v>
      </x:c>
      <x:c r="AA317" s="18" t="n">
        <x:v>0</x:v>
      </x:c>
      <x:c r="AB317" s="18" t="n">
        <x:v>0</x:v>
      </x:c>
      <x:c r="AC317" s="18" t="n">
        <x:v>1</x:v>
      </x:c>
      <x:c r="AD317" s="18" t="n">
        <x:v>22</x:v>
      </x:c>
      <x:c r="AE317" s="18" t="n">
        <x:v>1</x:v>
      </x:c>
      <x:c r="AF317" s="18" t="n">
        <x:v>0</x:v>
      </x:c>
      <x:c r="AG317" s="18" t="n">
        <x:v>0</x:v>
      </x:c>
      <x:c r="AH317" s="18" t="n">
        <x:v>0</x:v>
      </x:c>
      <x:c r="AI317" s="18" t="n">
        <x:v>0</x:v>
      </x:c>
      <x:c r="AJ317" s="18" t="n">
        <x:v>12</x:v>
      </x:c>
      <x:c r="AK317" s="18" t="n">
        <x:v>0</x:v>
      </x:c>
      <x:c r="AL317" s="18" t="n">
        <x:v>40</x:v>
      </x:c>
      <x:c r="AM317" s="18" t="n">
        <x:v>47</x:v>
      </x:c>
      <x:c r="AN317" s="18" t="n">
        <x:v>7</x:v>
      </x:c>
      <x:c r="AO317" s="18" t="n">
        <x:v>0</x:v>
      </x:c>
      <x:c r="AP317" s="18" t="n">
        <x:v>0</x:v>
      </x:c>
      <x:c r="AQ317" s="18" t="n">
        <x:v>0</x:v>
      </x:c>
      <x:c r="AR317" s="18" t="n">
        <x:v>0</x:v>
      </x:c>
      <x:c r="AS317" s="18" t="n">
        <x:v>1</x:v>
      </x:c>
      <x:c r="AT317" s="18" t="n">
        <x:v>0</x:v>
      </x:c>
      <x:c r="AU317" s="18" t="n">
        <x:v>10</x:v>
      </x:c>
      <x:c r="AV317" s="18" t="n">
        <x:v>34</x:v>
      </x:c>
      <x:c r="AW317" s="18" t="n">
        <x:v>0</x:v>
      </x:c>
      <x:c r="AX317" s="18" t="n">
        <x:v>1</x:v>
      </x:c>
      <x:c r="AY317" s="18" t="n">
        <x:v>1</x:v>
      </x:c>
      <x:c r="AZ317" s="18" t="n">
        <x:v>0</x:v>
      </x:c>
      <x:c r="BA317" s="18" t="n">
        <x:v>0</x:v>
      </x:c>
      <x:c r="BB317" s="18" t="n">
        <x:v>0</x:v>
      </x:c>
      <x:c r="BC317" s="18" t="n">
        <x:v>0</x:v>
      </x:c>
      <x:c r="BD317" s="18" t="n">
        <x:v>1</x:v>
      </x:c>
      <x:c r="BE317" s="18" t="n">
        <x:v>0</x:v>
      </x:c>
      <x:c r="BF317" s="18" t="n">
        <x:v>13</x:v>
      </x:c>
      <x:c r="BG317" s="18" t="n">
        <x:v>1</x:v>
      </x:c>
    </x:row>
    <x:row r="318">
      <x:c r="A318" s="29" t="str">
        <x:v>387.2</x:v>
      </x:c>
      <x:c r="B318" s="17" t="n">
        <x:v>2853</x:v>
      </x:c>
      <x:c r="C318" s="17" t="str">
        <x:v>בי"ס תהילת שלמה</x:v>
      </x:c>
      <x:c r="D318" s="17" t="str">
        <x:v>החשמל 8</x:v>
      </x:c>
      <x:c r="E318" s="17" t="str">
        <x:v>גבוה מאוד</x:v>
      </x:c>
      <x:c r="F318" s="18" t="n">
        <x:v>666</x:v>
      </x:c>
      <x:c r="G318" s="18" t="n">
        <x:v>189</x:v>
      </x:c>
      <x:c r="H318" s="19" t="n">
        <x:f>IFERROR(G318/F318,0)</x:f>
        <x:v>0.28378378378378377</x:v>
      </x:c>
      <x:c r="I318" s="18" t="n">
        <x:v>2</x:v>
      </x:c>
      <x:c r="J318" s="18" t="n">
        <x:v>187</x:v>
      </x:c>
      <x:c r="K318" s="18" t="n">
        <x:f>SUM(AM318,BF318,W318,AD318)</x:f>
        <x:v>45</x:v>
      </x:c>
      <x:c r="L318" s="18" t="n">
        <x:f>Q318+R318</x:f>
        <x:v>138</x:v>
      </x:c>
      <x:c r="M318" s="19" t="n">
        <x:f>IFERROR(K318/J318,0)</x:f>
        <x:v>0.24064171122994651</x:v>
      </x:c>
      <x:c r="N318" s="19" t="n">
        <x:f>IFERROR(L318/J318,0)</x:f>
        <x:v>0.7379679144385026</x:v>
      </x:c>
      <x:c r="O318" s="17" t="str">
        <x:f>IF(K318&gt;MAX(L318,S318),"קואליציית ההקמה 2022",IF(L318&gt;MAX(K318,S318),"אופוזיציה רחבה 2022","רשימות אחרות"))</x:f>
        <x:v>אופוזיציה רחבה 2022</x:v>
      </x:c>
      <x:c r="P318" s="17" t="str">
        <x:f>IF(AND(H318&lt;50%,N318&gt;50%),"כן","לא")</x:f>
        <x:v>כן</x:v>
      </x:c>
      <x:c r="Q318" s="18" t="n">
        <x:f>SUM(AV318,AJ318,AL318,T318,AN318)</x:f>
        <x:v>99</x:v>
      </x:c>
      <x:c r="R318" s="18" t="n">
        <x:f>SUM(Y318,AU318,X318)</x:f>
        <x:v>39</x:v>
      </x:c>
      <x:c r="S318" s="18" t="n">
        <x:f>J318-K318-L318</x:f>
        <x:v>4</x:v>
      </x:c>
      <x:c r="T318" s="18" t="n">
        <x:v>6</x:v>
      </x:c>
      <x:c r="U318" s="18" t="n">
        <x:v>0</x:v>
      </x:c>
      <x:c r="V318" s="18" t="n">
        <x:v>0</x:v>
      </x:c>
      <x:c r="W318" s="18" t="n">
        <x:v>1</x:v>
      </x:c>
      <x:c r="X318" s="18" t="n">
        <x:v>10</x:v>
      </x:c>
      <x:c r="Y318" s="18" t="n">
        <x:v>24</x:v>
      </x:c>
      <x:c r="Z318" s="18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6</x:v>
      </x:c>
      <x:c r="AE318" s="18" t="n">
        <x:v>0</x:v>
      </x:c>
      <x:c r="AF318" s="18" t="n">
        <x:v>0</x:v>
      </x:c>
      <x:c r="AG318" s="18" t="n">
        <x:v>0</x:v>
      </x:c>
      <x:c r="AH318" s="18" t="n">
        <x:v>0</x:v>
      </x:c>
      <x:c r="AI318" s="18" t="n">
        <x:v>0</x:v>
      </x:c>
      <x:c r="AJ318" s="18" t="n">
        <x:v>8</x:v>
      </x:c>
      <x:c r="AK318" s="18" t="n">
        <x:v>0</x:v>
      </x:c>
      <x:c r="AL318" s="18" t="n">
        <x:v>33</x:v>
      </x:c>
      <x:c r="AM318" s="18" t="n">
        <x:v>36</x:v>
      </x:c>
      <x:c r="AN318" s="18" t="n">
        <x:v>3</x:v>
      </x:c>
      <x:c r="AO318" s="18" t="n">
        <x:v>0</x:v>
      </x:c>
      <x:c r="AP318" s="18" t="n">
        <x:v>0</x:v>
      </x:c>
      <x:c r="AQ318" s="18" t="n">
        <x:v>0</x:v>
      </x:c>
      <x:c r="AR318" s="18" t="n">
        <x:v>0</x:v>
      </x:c>
      <x:c r="AS318" s="18" t="n">
        <x:v>0</x:v>
      </x:c>
      <x:c r="AT318" s="18" t="n">
        <x:v>0</x:v>
      </x:c>
      <x:c r="AU318" s="18" t="n">
        <x:v>5</x:v>
      </x:c>
      <x:c r="AV318" s="18" t="n">
        <x:v>49</x:v>
      </x:c>
      <x:c r="AW318" s="18" t="n">
        <x:v>0</x:v>
      </x:c>
      <x:c r="AX318" s="18" t="n">
        <x:v>0</x:v>
      </x:c>
      <x:c r="AY318" s="18" t="n">
        <x:v>1</x:v>
      </x:c>
      <x:c r="AZ318" s="18" t="n">
        <x:v>0</x:v>
      </x:c>
      <x:c r="BA318" s="18" t="n">
        <x:v>0</x:v>
      </x:c>
      <x:c r="BB318" s="18" t="n">
        <x:v>1</x:v>
      </x:c>
      <x:c r="BC318" s="18" t="n">
        <x:v>0</x:v>
      </x:c>
      <x:c r="BD318" s="18" t="n">
        <x:v>2</x:v>
      </x:c>
      <x:c r="BE318" s="18" t="n">
        <x:v>0</x:v>
      </x:c>
      <x:c r="BF318" s="18" t="n">
        <x:v>2</x:v>
      </x:c>
      <x:c r="BG318" s="18" t="n">
        <x:v>0</x:v>
      </x:c>
    </x:row>
    <x:row r="319">
      <x:c r="A319" s="29" t="str">
        <x:v>388</x:v>
      </x:c>
      <x:c r="B319" s="17" t="n">
        <x:v>2854</x:v>
      </x:c>
      <x:c r="C319" s="17" t="str">
        <x:v>מרכז קהילתי</x:v>
      </x:c>
      <x:c r="D319" s="17" t="str">
        <x:v>הירדן 23</x:v>
      </x:c>
      <x:c r="E319" s="17" t="str">
        <x:v>גבוה</x:v>
      </x:c>
      <x:c r="F319" s="18" t="n">
        <x:v>603</x:v>
      </x:c>
      <x:c r="G319" s="18" t="n">
        <x:v>202</x:v>
      </x:c>
      <x:c r="H319" s="19" t="n">
        <x:f>IFERROR(G319/F319,0)</x:f>
        <x:v>0.33499170812603646</x:v>
      </x:c>
      <x:c r="I319" s="18" t="n">
        <x:v>2</x:v>
      </x:c>
      <x:c r="J319" s="18" t="n">
        <x:v>200</x:v>
      </x:c>
      <x:c r="K319" s="18" t="n">
        <x:f>SUM(AM319,BF319,W319,AD319)</x:f>
        <x:v>42</x:v>
      </x:c>
      <x:c r="L319" s="18" t="n">
        <x:f>Q319+R319</x:f>
        <x:v>148</x:v>
      </x:c>
      <x:c r="M319" s="19" t="n">
        <x:f>IFERROR(K319/J319,0)</x:f>
        <x:v>0.21</x:v>
      </x:c>
      <x:c r="N319" s="19" t="n">
        <x:f>IFERROR(L319/J319,0)</x:f>
        <x:v>0.74</x:v>
      </x:c>
      <x:c r="O319" s="17" t="str">
        <x:f>IF(K319&gt;MAX(L319,S319),"קואליציית ההקמה 2022",IF(L319&gt;MAX(K319,S319),"אופוזיציה רחבה 2022","רשימות אחרות"))</x:f>
        <x:v>אופוזיציה רחבה 2022</x:v>
      </x:c>
      <x:c r="P319" s="17" t="str">
        <x:f>IF(AND(H319&lt;50%,N319&gt;50%),"כן","לא")</x:f>
        <x:v>כן</x:v>
      </x:c>
      <x:c r="Q319" s="18" t="n">
        <x:f>SUM(AV319,AJ319,AL319,T319,AN319)</x:f>
        <x:v>104</x:v>
      </x:c>
      <x:c r="R319" s="18" t="n">
        <x:f>SUM(Y319,AU319,X319)</x:f>
        <x:v>44</x:v>
      </x:c>
      <x:c r="S319" s="18" t="n">
        <x:f>J319-K319-L319</x:f>
        <x:v>10</x:v>
      </x:c>
      <x:c r="T319" s="18" t="n">
        <x:v>3</x:v>
      </x:c>
      <x:c r="U319" s="18" t="n">
        <x:v>1</x:v>
      </x:c>
      <x:c r="V319" s="18" t="n">
        <x:v>0</x:v>
      </x:c>
      <x:c r="W319" s="18" t="n">
        <x:v>1</x:v>
      </x:c>
      <x:c r="X319" s="18" t="n">
        <x:v>11</x:v>
      </x:c>
      <x:c r="Y319" s="18" t="n">
        <x:v>26</x:v>
      </x:c>
      <x:c r="Z319" s="18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4</x:v>
      </x:c>
      <x:c r="AE319" s="18" t="n">
        <x:v>0</x:v>
      </x:c>
      <x:c r="AF319" s="18" t="n">
        <x:v>1</x:v>
      </x:c>
      <x:c r="AG319" s="18" t="n">
        <x:v>1</x:v>
      </x:c>
      <x:c r="AH319" s="18" t="n">
        <x:v>0</x:v>
      </x:c>
      <x:c r="AI319" s="18" t="n">
        <x:v>0</x:v>
      </x:c>
      <x:c r="AJ319" s="18" t="n">
        <x:v>15</x:v>
      </x:c>
      <x:c r="AK319" s="18" t="n">
        <x:v>0</x:v>
      </x:c>
      <x:c r="AL319" s="18" t="n">
        <x:v>53</x:v>
      </x:c>
      <x:c r="AM319" s="18" t="n">
        <x:v>35</x:v>
      </x:c>
      <x:c r="AN319" s="18" t="n">
        <x:v>1</x:v>
      </x:c>
      <x:c r="AO319" s="18" t="n">
        <x:v>0</x:v>
      </x:c>
      <x:c r="AP319" s="18" t="n">
        <x:v>0</x:v>
      </x:c>
      <x:c r="AQ319" s="18" t="n">
        <x:v>2</x:v>
      </x:c>
      <x:c r="AR319" s="18" t="n">
        <x:v>0</x:v>
      </x:c>
      <x:c r="AS319" s="18" t="n">
        <x:v>2</x:v>
      </x:c>
      <x:c r="AT319" s="18" t="n">
        <x:v>0</x:v>
      </x:c>
      <x:c r="AU319" s="18" t="n">
        <x:v>7</x:v>
      </x:c>
      <x:c r="AV319" s="18" t="n">
        <x:v>32</x:v>
      </x:c>
      <x:c r="AW319" s="18" t="n">
        <x:v>0</x:v>
      </x:c>
      <x:c r="AX319" s="18" t="n">
        <x:v>2</x:v>
      </x:c>
      <x:c r="AY319" s="18" t="n">
        <x:v>0</x:v>
      </x:c>
      <x:c r="AZ319" s="18" t="n">
        <x:v>0</x:v>
      </x:c>
      <x:c r="BA319" s="18" t="n">
        <x:v>0</x:v>
      </x:c>
      <x:c r="BB319" s="18" t="n">
        <x:v>0</x:v>
      </x:c>
      <x:c r="BC319" s="18" t="n">
        <x:v>0</x:v>
      </x:c>
      <x:c r="BD319" s="18" t="n">
        <x:v>0</x:v>
      </x:c>
      <x:c r="BE319" s="18" t="n">
        <x:v>0</x:v>
      </x:c>
      <x:c r="BF319" s="18" t="n">
        <x:v>2</x:v>
      </x:c>
      <x:c r="BG319" s="18" t="n">
        <x:v>1</x:v>
      </x:c>
    </x:row>
    <x:row r="320">
      <x:c r="A320" s="29" t="str">
        <x:v>389</x:v>
      </x:c>
      <x:c r="B320" s="17" t="n">
        <x:v>3172</x:v>
      </x:c>
      <x:c r="C320" s="17" t="str">
        <x:v>גן ילדים "דוכיפת"</x:v>
      </x:c>
      <x:c r="D320" s="17" t="str">
        <x:v>פרץ מרקיש 22</x:v>
      </x:c>
      <x:c r="E320" s="17" t="str">
        <x:v>גבוה מאוד</x:v>
      </x:c>
      <x:c r="F320" s="18" t="n">
        <x:v>521</x:v>
      </x:c>
      <x:c r="G320" s="18" t="n">
        <x:v>243</x:v>
      </x:c>
      <x:c r="H320" s="19" t="n">
        <x:f>IFERROR(G320/F320,0)</x:f>
        <x:v>0.46641074856046066</x:v>
      </x:c>
      <x:c r="I320" s="18" t="n">
        <x:v>1</x:v>
      </x:c>
      <x:c r="J320" s="18" t="n">
        <x:v>242</x:v>
      </x:c>
      <x:c r="K320" s="18" t="n">
        <x:f>SUM(AM320,BF320,W320,AD320)</x:f>
        <x:v>120</x:v>
      </x:c>
      <x:c r="L320" s="18" t="n">
        <x:f>Q320+R320</x:f>
        <x:v>111</x:v>
      </x:c>
      <x:c r="M320" s="19" t="n">
        <x:f>IFERROR(K320/J320,0)</x:f>
        <x:v>0.49586776859504134</x:v>
      </x:c>
      <x:c r="N320" s="19" t="n">
        <x:f>IFERROR(L320/J320,0)</x:f>
        <x:v>0.45867768595041325</x:v>
      </x:c>
      <x:c r="O320" s="17" t="str">
        <x:f>IF(K320&gt;MAX(L320,S320),"קואליציית ההקמה 2022",IF(L320&gt;MAX(K320,S320),"אופוזיציה רחבה 2022","רשימות אחרות"))</x:f>
        <x:v>קואליציית ההקמה 2022</x:v>
      </x:c>
      <x:c r="P320" s="17" t="str">
        <x:f>IF(AND(H320&lt;50%,N320&gt;50%),"כן","לא")</x:f>
        <x:v>לא</x:v>
      </x:c>
      <x:c r="Q320" s="18" t="n">
        <x:f>SUM(AV320,AJ320,AL320,T320,AN320)</x:f>
        <x:v>110</x:v>
      </x:c>
      <x:c r="R320" s="18" t="n">
        <x:f>SUM(Y320,AU320,X320)</x:f>
        <x:v>1</x:v>
      </x:c>
      <x:c r="S320" s="18" t="n">
        <x:f>J320-K320-L320</x:f>
        <x:v>11</x:v>
      </x:c>
      <x:c r="T320" s="18" t="n">
        <x:v>4</x:v>
      </x:c>
      <x:c r="U320" s="18" t="n">
        <x:v>2</x:v>
      </x:c>
      <x:c r="V320" s="18" t="n">
        <x:v>5</x:v>
      </x:c>
      <x:c r="W320" s="18" t="n">
        <x:v>3</x:v>
      </x:c>
      <x:c r="X320" s="18" t="n">
        <x:v>0</x:v>
      </x:c>
      <x:c r="Y320" s="18" t="n">
        <x:v>0</x:v>
      </x:c>
      <x:c r="Z320" s="18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15</x:v>
      </x:c>
      <x:c r="AE320" s="18" t="n">
        <x:v>0</x:v>
      </x:c>
      <x:c r="AF320" s="18" t="n">
        <x:v>1</x:v>
      </x:c>
      <x:c r="AG320" s="18" t="n">
        <x:v>0</x:v>
      </x:c>
      <x:c r="AH320" s="18" t="n">
        <x:v>0</x:v>
      </x:c>
      <x:c r="AI320" s="18" t="n">
        <x:v>0</x:v>
      </x:c>
      <x:c r="AJ320" s="18" t="n">
        <x:v>14</x:v>
      </x:c>
      <x:c r="AK320" s="18" t="n">
        <x:v>0</x:v>
      </x:c>
      <x:c r="AL320" s="18" t="n">
        <x:v>38</x:v>
      </x:c>
      <x:c r="AM320" s="18" t="n">
        <x:v>86</x:v>
      </x:c>
      <x:c r="AN320" s="18" t="n">
        <x:v>1</x:v>
      </x:c>
      <x:c r="AO320" s="18" t="n">
        <x:v>0</x:v>
      </x:c>
      <x:c r="AP320" s="18" t="n">
        <x:v>0</x:v>
      </x:c>
      <x:c r="AQ320" s="18" t="n">
        <x:v>0</x:v>
      </x:c>
      <x:c r="AR320" s="18" t="n">
        <x:v>0</x:v>
      </x:c>
      <x:c r="AS320" s="18" t="n">
        <x:v>0</x:v>
      </x:c>
      <x:c r="AT320" s="18" t="n">
        <x:v>0</x:v>
      </x:c>
      <x:c r="AU320" s="18" t="n">
        <x:v>1</x:v>
      </x:c>
      <x:c r="AV320" s="18" t="n">
        <x:v>53</x:v>
      </x:c>
      <x:c r="AW320" s="18" t="n">
        <x:v>0</x:v>
      </x:c>
      <x:c r="AX320" s="18" t="n">
        <x:v>1</x:v>
      </x:c>
      <x:c r="AY320" s="18" t="n">
        <x:v>0</x:v>
      </x:c>
      <x:c r="AZ320" s="18" t="n">
        <x:v>0</x:v>
      </x:c>
      <x:c r="BA320" s="18" t="n">
        <x:v>0</x:v>
      </x:c>
      <x:c r="BB320" s="18" t="n">
        <x:v>0</x:v>
      </x:c>
      <x:c r="BC320" s="18" t="n">
        <x:v>0</x:v>
      </x:c>
      <x:c r="BD320" s="18" t="n">
        <x:v>1</x:v>
      </x:c>
      <x:c r="BE320" s="18" t="n">
        <x:v>1</x:v>
      </x:c>
      <x:c r="BF320" s="18" t="n">
        <x:v>16</x:v>
      </x:c>
      <x:c r="BG320" s="18" t="n">
        <x:v>0</x:v>
      </x:c>
    </x:row>
    <x:row r="321">
      <x:c r="A321" s="29" t="str">
        <x:v>392.1</x:v>
      </x:c>
      <x:c r="B321" s="17" t="n">
        <x:v>3145</x:v>
      </x:c>
      <x:c r="C321" s="17" t="str">
        <x:v>בי"ס תל חי</x:v>
      </x:c>
      <x:c r="D321" s="17" t="str">
        <x:v>הגליל 107</x:v>
      </x:c>
      <x:c r="E321" s="17" t="str">
        <x:v>גבוה מאוד</x:v>
      </x:c>
      <x:c r="F321" s="18" t="n">
        <x:v>633</x:v>
      </x:c>
      <x:c r="G321" s="18" t="n">
        <x:v>420</x:v>
      </x:c>
      <x:c r="H321" s="19" t="n">
        <x:f>IFERROR(G321/F321,0)</x:f>
        <x:v>0.6635071090047393</x:v>
      </x:c>
      <x:c r="I321" s="18" t="n">
        <x:v>2</x:v>
      </x:c>
      <x:c r="J321" s="18" t="n">
        <x:v>418</x:v>
      </x:c>
      <x:c r="K321" s="18" t="n">
        <x:f>SUM(AM321,BF321,W321,AD321)</x:f>
        <x:v>251</x:v>
      </x:c>
      <x:c r="L321" s="18" t="n">
        <x:f>Q321+R321</x:f>
        <x:v>146</x:v>
      </x:c>
      <x:c r="M321" s="19" t="n">
        <x:f>IFERROR(K321/J321,0)</x:f>
        <x:v>0.6004784688995215</x:v>
      </x:c>
      <x:c r="N321" s="19" t="n">
        <x:f>IFERROR(L321/J321,0)</x:f>
        <x:v>0.3492822966507177</x:v>
      </x:c>
      <x:c r="O321" s="17" t="str">
        <x:f>IF(K321&gt;MAX(L321,S321),"קואליציית ההקמה 2022",IF(L321&gt;MAX(K321,S321),"אופוזיציה רחבה 2022","רשימות אחרות"))</x:f>
        <x:v>קואליציית ההקמה 2022</x:v>
      </x:c>
      <x:c r="P321" s="17" t="str">
        <x:f>IF(AND(H321&lt;50%,N321&gt;50%),"כן","לא")</x:f>
        <x:v>לא</x:v>
      </x:c>
      <x:c r="Q321" s="18" t="n">
        <x:f>SUM(AV321,AJ321,AL321,T321,AN321)</x:f>
        <x:v>144</x:v>
      </x:c>
      <x:c r="R321" s="18" t="n">
        <x:f>SUM(Y321,AU321,X321)</x:f>
        <x:v>2</x:v>
      </x:c>
      <x:c r="S321" s="18" t="n">
        <x:f>J321-K321-L321</x:f>
        <x:v>21</x:v>
      </x:c>
      <x:c r="T321" s="18" t="n">
        <x:v>13</x:v>
      </x:c>
      <x:c r="U321" s="18" t="n">
        <x:v>5</x:v>
      </x:c>
      <x:c r="V321" s="18" t="n">
        <x:v>12</x:v>
      </x:c>
      <x:c r="W321" s="18" t="n">
        <x:v>60</x:v>
      </x:c>
      <x:c r="X321" s="18" t="n">
        <x:v>1</x:v>
      </x:c>
      <x:c r="Y321" s="18" t="n">
        <x:v>1</x:v>
      </x:c>
      <x:c r="Z321" s="18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73</x:v>
      </x:c>
      <x:c r="AE321" s="18" t="n">
        <x:v>0</x:v>
      </x:c>
      <x:c r="AF321" s="18" t="n">
        <x:v>2</x:v>
      </x:c>
      <x:c r="AG321" s="18" t="n">
        <x:v>0</x:v>
      </x:c>
      <x:c r="AH321" s="18" t="n">
        <x:v>0</x:v>
      </x:c>
      <x:c r="AI321" s="18" t="n">
        <x:v>0</x:v>
      </x:c>
      <x:c r="AJ321" s="18" t="n">
        <x:v>40</x:v>
      </x:c>
      <x:c r="AK321" s="18" t="n">
        <x:v>0</x:v>
      </x:c>
      <x:c r="AL321" s="18" t="n">
        <x:v>11</x:v>
      </x:c>
      <x:c r="AM321" s="18" t="n">
        <x:v>72</x:v>
      </x:c>
      <x:c r="AN321" s="18" t="n">
        <x:v>9</x:v>
      </x:c>
      <x:c r="AO321" s="18" t="n">
        <x:v>0</x:v>
      </x:c>
      <x:c r="AP321" s="18" t="n">
        <x:v>0</x:v>
      </x:c>
      <x:c r="AQ321" s="18" t="n">
        <x:v>0</x:v>
      </x:c>
      <x:c r="AR321" s="18" t="n">
        <x:v>0</x:v>
      </x:c>
      <x:c r="AS321" s="18" t="n">
        <x:v>0</x:v>
      </x:c>
      <x:c r="AT321" s="18" t="n">
        <x:v>0</x:v>
      </x:c>
      <x:c r="AU321" s="18" t="n">
        <x:v>0</x:v>
      </x:c>
      <x:c r="AV321" s="18" t="n">
        <x:v>71</x:v>
      </x:c>
      <x:c r="AW321" s="18" t="n">
        <x:v>0</x:v>
      </x:c>
      <x:c r="AX321" s="18" t="n">
        <x:v>0</x:v>
      </x:c>
      <x:c r="AY321" s="18" t="n">
        <x:v>0</x:v>
      </x:c>
      <x:c r="AZ321" s="18" t="n">
        <x:v>0</x:v>
      </x:c>
      <x:c r="BA321" s="18" t="n">
        <x:v>0</x:v>
      </x:c>
      <x:c r="BB321" s="18" t="n">
        <x:v>0</x:v>
      </x:c>
      <x:c r="BC321" s="18" t="n">
        <x:v>0</x:v>
      </x:c>
      <x:c r="BD321" s="18" t="n">
        <x:v>1</x:v>
      </x:c>
      <x:c r="BE321" s="18" t="n">
        <x:v>1</x:v>
      </x:c>
      <x:c r="BF321" s="18" t="n">
        <x:v>46</x:v>
      </x:c>
      <x:c r="BG321" s="18" t="n">
        <x:v>0</x:v>
      </x:c>
    </x:row>
    <x:row r="322">
      <x:c r="A322" s="29" t="str">
        <x:v>392.2</x:v>
      </x:c>
      <x:c r="B322" s="17" t="n">
        <x:v>3146</x:v>
      </x:c>
      <x:c r="C322" s="17" t="str">
        <x:v>בי"ס תל חי</x:v>
      </x:c>
      <x:c r="D322" s="17" t="str">
        <x:v>הגליל 107</x:v>
      </x:c>
      <x:c r="E322" s="17" t="str">
        <x:v>גבוה מאוד</x:v>
      </x:c>
      <x:c r="F322" s="18" t="n">
        <x:v>633</x:v>
      </x:c>
      <x:c r="G322" s="18" t="n">
        <x:v>430</x:v>
      </x:c>
      <x:c r="H322" s="19" t="n">
        <x:f>IFERROR(G322/F322,0)</x:f>
        <x:v>0.6793048973143759</x:v>
      </x:c>
      <x:c r="I322" s="18" t="n">
        <x:v>2</x:v>
      </x:c>
      <x:c r="J322" s="18" t="n">
        <x:v>428</x:v>
      </x:c>
      <x:c r="K322" s="18" t="n">
        <x:f>SUM(AM322,BF322,W322,AD322)</x:f>
        <x:v>244</x:v>
      </x:c>
      <x:c r="L322" s="18" t="n">
        <x:f>Q322+R322</x:f>
        <x:v>171</x:v>
      </x:c>
      <x:c r="M322" s="19" t="n">
        <x:f>IFERROR(K322/J322,0)</x:f>
        <x:v>0.5700934579439252</x:v>
      </x:c>
      <x:c r="N322" s="19" t="n">
        <x:f>IFERROR(L322/J322,0)</x:f>
        <x:v>0.39953271028037385</x:v>
      </x:c>
      <x:c r="O322" s="17" t="str">
        <x:f>IF(K322&gt;MAX(L322,S322),"קואליציית ההקמה 2022",IF(L322&gt;MAX(K322,S322),"אופוזיציה רחבה 2022","רשימות אחרות"))</x:f>
        <x:v>קואליציית ההקמה 2022</x:v>
      </x:c>
      <x:c r="P322" s="17" t="str">
        <x:f>IF(AND(H322&lt;50%,N322&gt;50%),"כן","לא")</x:f>
        <x:v>לא</x:v>
      </x:c>
      <x:c r="Q322" s="18" t="n">
        <x:f>SUM(AV322,AJ322,AL322,T322,AN322)</x:f>
        <x:v>168</x:v>
      </x:c>
      <x:c r="R322" s="18" t="n">
        <x:f>SUM(Y322,AU322,X322)</x:f>
        <x:v>3</x:v>
      </x:c>
      <x:c r="S322" s="18" t="n">
        <x:f>J322-K322-L322</x:f>
        <x:v>13</x:v>
      </x:c>
      <x:c r="T322" s="18" t="n">
        <x:v>24</x:v>
      </x:c>
      <x:c r="U322" s="18" t="n">
        <x:v>1</x:v>
      </x:c>
      <x:c r="V322" s="18" t="n">
        <x:v>12</x:v>
      </x:c>
      <x:c r="W322" s="18" t="n">
        <x:v>84</x:v>
      </x:c>
      <x:c r="X322" s="18" t="n">
        <x:v>1</x:v>
      </x:c>
      <x:c r="Y322" s="18" t="n">
        <x:v>2</x:v>
      </x:c>
      <x:c r="Z322" s="18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52</x:v>
      </x:c>
      <x:c r="AE322" s="18" t="n">
        <x:v>0</x:v>
      </x:c>
      <x:c r="AF322" s="18" t="n">
        <x:v>0</x:v>
      </x:c>
      <x:c r="AG322" s="18" t="n">
        <x:v>0</x:v>
      </x:c>
      <x:c r="AH322" s="18" t="n">
        <x:v>0</x:v>
      </x:c>
      <x:c r="AI322" s="18" t="n">
        <x:v>0</x:v>
      </x:c>
      <x:c r="AJ322" s="18" t="n">
        <x:v>35</x:v>
      </x:c>
      <x:c r="AK322" s="18" t="n">
        <x:v>0</x:v>
      </x:c>
      <x:c r="AL322" s="18" t="n">
        <x:v>16</x:v>
      </x:c>
      <x:c r="AM322" s="18" t="n">
        <x:v>72</x:v>
      </x:c>
      <x:c r="AN322" s="18" t="n">
        <x:v>14</x:v>
      </x:c>
      <x:c r="AO322" s="18" t="n">
        <x:v>0</x:v>
      </x:c>
      <x:c r="AP322" s="18" t="n">
        <x:v>0</x:v>
      </x:c>
      <x:c r="AQ322" s="18" t="n">
        <x:v>0</x:v>
      </x:c>
      <x:c r="AR322" s="18" t="n">
        <x:v>0</x:v>
      </x:c>
      <x:c r="AS322" s="18" t="n">
        <x:v>0</x:v>
      </x:c>
      <x:c r="AT322" s="18" t="n">
        <x:v>0</x:v>
      </x:c>
      <x:c r="AU322" s="18" t="n">
        <x:v>0</x:v>
      </x:c>
      <x:c r="AV322" s="18" t="n">
        <x:v>79</x:v>
      </x:c>
      <x:c r="AW322" s="18" t="n">
        <x:v>0</x:v>
      </x:c>
      <x:c r="AX322" s="18" t="n">
        <x:v>0</x:v>
      </x:c>
      <x:c r="AY322" s="18" t="n">
        <x:v>0</x:v>
      </x:c>
      <x:c r="AZ322" s="18" t="n">
        <x:v>0</x:v>
      </x:c>
      <x:c r="BA322" s="18" t="n">
        <x:v>0</x:v>
      </x:c>
      <x:c r="BB322" s="18" t="n">
        <x:v>0</x:v>
      </x:c>
      <x:c r="BC322" s="18" t="n">
        <x:v>0</x:v>
      </x:c>
      <x:c r="BD322" s="18" t="n">
        <x:v>0</x:v>
      </x:c>
      <x:c r="BE322" s="18" t="n">
        <x:v>0</x:v>
      </x:c>
      <x:c r="BF322" s="18" t="n">
        <x:v>36</x:v>
      </x:c>
      <x:c r="BG322" s="18" t="n">
        <x:v>0</x:v>
      </x:c>
    </x:row>
    <x:row r="323">
      <x:c r="A323" s="29" t="str">
        <x:v>392.3</x:v>
      </x:c>
      <x:c r="B323" s="17" t="n">
        <x:v>3147</x:v>
      </x:c>
      <x:c r="C323" s="17" t="str">
        <x:v>בי"ס תל חי</x:v>
      </x:c>
      <x:c r="D323" s="17" t="str">
        <x:v>הגליל 107</x:v>
      </x:c>
      <x:c r="E323" s="17" t="str">
        <x:v>גבוה מאוד</x:v>
      </x:c>
      <x:c r="F323" s="18" t="n">
        <x:v>633</x:v>
      </x:c>
      <x:c r="G323" s="18" t="n">
        <x:v>410</x:v>
      </x:c>
      <x:c r="H323" s="19" t="n">
        <x:f>IFERROR(G323/F323,0)</x:f>
        <x:v>0.6477093206951027</x:v>
      </x:c>
      <x:c r="I323" s="18" t="n">
        <x:v>2</x:v>
      </x:c>
      <x:c r="J323" s="18" t="n">
        <x:v>408</x:v>
      </x:c>
      <x:c r="K323" s="18" t="n">
        <x:f>SUM(AM323,BF323,W323,AD323)</x:f>
        <x:v>220</x:v>
      </x:c>
      <x:c r="L323" s="18" t="n">
        <x:f>Q323+R323</x:f>
        <x:v>167</x:v>
      </x:c>
      <x:c r="M323" s="19" t="n">
        <x:f>IFERROR(K323/J323,0)</x:f>
        <x:v>0.5392156862745098</x:v>
      </x:c>
      <x:c r="N323" s="19" t="n">
        <x:f>IFERROR(L323/J323,0)</x:f>
        <x:v>0.40931372549019607</x:v>
      </x:c>
      <x:c r="O323" s="17" t="str">
        <x:f>IF(K323&gt;MAX(L323,S323),"קואליציית ההקמה 2022",IF(L323&gt;MAX(K323,S323),"אופוזיציה רחבה 2022","רשימות אחרות"))</x:f>
        <x:v>קואליציית ההקמה 2022</x:v>
      </x:c>
      <x:c r="P323" s="17" t="str">
        <x:f>IF(AND(H323&lt;50%,N323&gt;50%),"כן","לא")</x:f>
        <x:v>לא</x:v>
      </x:c>
      <x:c r="Q323" s="18" t="n">
        <x:f>SUM(AV323,AJ323,AL323,T323,AN323)</x:f>
        <x:v>164</x:v>
      </x:c>
      <x:c r="R323" s="18" t="n">
        <x:f>SUM(Y323,AU323,X323)</x:f>
        <x:v>3</x:v>
      </x:c>
      <x:c r="S323" s="18" t="n">
        <x:f>J323-K323-L323</x:f>
        <x:v>21</x:v>
      </x:c>
      <x:c r="T323" s="18" t="n">
        <x:v>18</x:v>
      </x:c>
      <x:c r="U323" s="18" t="n">
        <x:v>0</x:v>
      </x:c>
      <x:c r="V323" s="18" t="n">
        <x:v>13</x:v>
      </x:c>
      <x:c r="W323" s="18" t="n">
        <x:v>56</x:v>
      </x:c>
      <x:c r="X323" s="18" t="n">
        <x:v>0</x:v>
      </x:c>
      <x:c r="Y323" s="18" t="n">
        <x:v>2</x:v>
      </x:c>
      <x:c r="Z323" s="18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74</x:v>
      </x:c>
      <x:c r="AE323" s="18" t="n">
        <x:v>0</x:v>
      </x:c>
      <x:c r="AF323" s="18" t="n">
        <x:v>2</x:v>
      </x:c>
      <x:c r="AG323" s="18" t="n">
        <x:v>0</x:v>
      </x:c>
      <x:c r="AH323" s="18" t="n">
        <x:v>0</x:v>
      </x:c>
      <x:c r="AI323" s="18" t="n">
        <x:v>0</x:v>
      </x:c>
      <x:c r="AJ323" s="18" t="n">
        <x:v>37</x:v>
      </x:c>
      <x:c r="AK323" s="18" t="n">
        <x:v>0</x:v>
      </x:c>
      <x:c r="AL323" s="18" t="n">
        <x:v>15</x:v>
      </x:c>
      <x:c r="AM323" s="18" t="n">
        <x:v>65</x:v>
      </x:c>
      <x:c r="AN323" s="18" t="n">
        <x:v>12</x:v>
      </x:c>
      <x:c r="AO323" s="18" t="n">
        <x:v>0</x:v>
      </x:c>
      <x:c r="AP323" s="18" t="n">
        <x:v>0</x:v>
      </x:c>
      <x:c r="AQ323" s="18" t="n">
        <x:v>0</x:v>
      </x:c>
      <x:c r="AR323" s="18" t="n">
        <x:v>0</x:v>
      </x:c>
      <x:c r="AS323" s="18" t="n">
        <x:v>0</x:v>
      </x:c>
      <x:c r="AT323" s="18" t="n">
        <x:v>0</x:v>
      </x:c>
      <x:c r="AU323" s="18" t="n">
        <x:v>1</x:v>
      </x:c>
      <x:c r="AV323" s="18" t="n">
        <x:v>82</x:v>
      </x:c>
      <x:c r="AW323" s="18" t="n">
        <x:v>0</x:v>
      </x:c>
      <x:c r="AX323" s="18" t="n">
        <x:v>0</x:v>
      </x:c>
      <x:c r="AY323" s="18" t="n">
        <x:v>0</x:v>
      </x:c>
      <x:c r="AZ323" s="18" t="n">
        <x:v>0</x:v>
      </x:c>
      <x:c r="BA323" s="18" t="n">
        <x:v>0</x:v>
      </x:c>
      <x:c r="BB323" s="18" t="n">
        <x:v>0</x:v>
      </x:c>
      <x:c r="BC323" s="18" t="n">
        <x:v>0</x:v>
      </x:c>
      <x:c r="BD323" s="18" t="n">
        <x:v>6</x:v>
      </x:c>
      <x:c r="BE323" s="18" t="n">
        <x:v>0</x:v>
      </x:c>
      <x:c r="BF323" s="18" t="n">
        <x:v>25</x:v>
      </x:c>
      <x:c r="BG323" s="18" t="n">
        <x:v>0</x:v>
      </x:c>
    </x:row>
    <x:row r="324">
      <x:c r="A324" s="29" t="str">
        <x:v>392.4</x:v>
      </x:c>
      <x:c r="B324" s="17" t="n">
        <x:v>3148</x:v>
      </x:c>
      <x:c r="C324" s="17" t="str">
        <x:v>בי"ס תל חי</x:v>
      </x:c>
      <x:c r="D324" s="17" t="str">
        <x:v>הגליל 107</x:v>
      </x:c>
      <x:c r="E324" s="17" t="str">
        <x:v>גבוה מאוד</x:v>
      </x:c>
      <x:c r="F324" s="18" t="n">
        <x:v>633</x:v>
      </x:c>
      <x:c r="G324" s="18" t="n">
        <x:v>399</x:v>
      </x:c>
      <x:c r="H324" s="19" t="n">
        <x:f>IFERROR(G324/F324,0)</x:f>
        <x:v>0.6303317535545023</x:v>
      </x:c>
      <x:c r="I324" s="18" t="n">
        <x:v>0</x:v>
      </x:c>
      <x:c r="J324" s="18" t="n">
        <x:v>399</x:v>
      </x:c>
      <x:c r="K324" s="18" t="n">
        <x:f>SUM(AM324,BF324,W324,AD324)</x:f>
        <x:v>226</x:v>
      </x:c>
      <x:c r="L324" s="18" t="n">
        <x:f>Q324+R324</x:f>
        <x:v>147</x:v>
      </x:c>
      <x:c r="M324" s="19" t="n">
        <x:f>IFERROR(K324/J324,0)</x:f>
        <x:v>0.5664160401002506</x:v>
      </x:c>
      <x:c r="N324" s="19" t="n">
        <x:f>IFERROR(L324/J324,0)</x:f>
        <x:v>0.3684210526315789</x:v>
      </x:c>
      <x:c r="O324" s="17" t="str">
        <x:f>IF(K324&gt;MAX(L324,S324),"קואליציית ההקמה 2022",IF(L324&gt;MAX(K324,S324),"אופוזיציה רחבה 2022","רשימות אחרות"))</x:f>
        <x:v>קואליציית ההקמה 2022</x:v>
      </x:c>
      <x:c r="P324" s="17" t="str">
        <x:f>IF(AND(H324&lt;50%,N324&gt;50%),"כן","לא")</x:f>
        <x:v>לא</x:v>
      </x:c>
      <x:c r="Q324" s="18" t="n">
        <x:f>SUM(AV324,AJ324,AL324,T324,AN324)</x:f>
        <x:v>147</x:v>
      </x:c>
      <x:c r="R324" s="18" t="n">
        <x:f>SUM(Y324,AU324,X324)</x:f>
        <x:v>0</x:v>
      </x:c>
      <x:c r="S324" s="18" t="n">
        <x:f>J324-K324-L324</x:f>
        <x:v>26</x:v>
      </x:c>
      <x:c r="T324" s="18" t="n">
        <x:v>14</x:v>
      </x:c>
      <x:c r="U324" s="18" t="n">
        <x:v>1</x:v>
      </x:c>
      <x:c r="V324" s="18" t="n">
        <x:v>19</x:v>
      </x:c>
      <x:c r="W324" s="18" t="n">
        <x:v>61</x:v>
      </x:c>
      <x:c r="X324" s="18" t="n">
        <x:v>0</x:v>
      </x:c>
      <x:c r="Y324" s="18" t="n">
        <x:v>0</x:v>
      </x:c>
      <x:c r="Z324" s="18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74</x:v>
      </x:c>
      <x:c r="AE324" s="18" t="n">
        <x:v>0</x:v>
      </x:c>
      <x:c r="AF324" s="18" t="n">
        <x:v>3</x:v>
      </x:c>
      <x:c r="AG324" s="18" t="n">
        <x:v>0</x:v>
      </x:c>
      <x:c r="AH324" s="18" t="n">
        <x:v>0</x:v>
      </x:c>
      <x:c r="AI324" s="18" t="n">
        <x:v>0</x:v>
      </x:c>
      <x:c r="AJ324" s="18" t="n">
        <x:v>24</x:v>
      </x:c>
      <x:c r="AK324" s="18" t="n">
        <x:v>0</x:v>
      </x:c>
      <x:c r="AL324" s="18" t="n">
        <x:v>20</x:v>
      </x:c>
      <x:c r="AM324" s="18" t="n">
        <x:v>59</x:v>
      </x:c>
      <x:c r="AN324" s="18" t="n">
        <x:v>11</x:v>
      </x:c>
      <x:c r="AO324" s="18" t="n">
        <x:v>0</x:v>
      </x:c>
      <x:c r="AP324" s="18" t="n">
        <x:v>0</x:v>
      </x:c>
      <x:c r="AQ324" s="18" t="n">
        <x:v>0</x:v>
      </x:c>
      <x:c r="AR324" s="18" t="n">
        <x:v>0</x:v>
      </x:c>
      <x:c r="AS324" s="18" t="n">
        <x:v>0</x:v>
      </x:c>
      <x:c r="AT324" s="18" t="n">
        <x:v>0</x:v>
      </x:c>
      <x:c r="AU324" s="18" t="n">
        <x:v>0</x:v>
      </x:c>
      <x:c r="AV324" s="18" t="n">
        <x:v>78</x:v>
      </x:c>
      <x:c r="AW324" s="18" t="n">
        <x:v>0</x:v>
      </x:c>
      <x:c r="AX324" s="18" t="n">
        <x:v>0</x:v>
      </x:c>
      <x:c r="AY324" s="18" t="n">
        <x:v>1</x:v>
      </x:c>
      <x:c r="AZ324" s="18" t="n">
        <x:v>0</x:v>
      </x:c>
      <x:c r="BA324" s="18" t="n">
        <x:v>0</x:v>
      </x:c>
      <x:c r="BB324" s="18" t="n">
        <x:v>0</x:v>
      </x:c>
      <x:c r="BC324" s="18" t="n">
        <x:v>0</x:v>
      </x:c>
      <x:c r="BD324" s="18" t="n">
        <x:v>2</x:v>
      </x:c>
      <x:c r="BE324" s="18" t="n">
        <x:v>0</x:v>
      </x:c>
      <x:c r="BF324" s="18" t="n">
        <x:v>32</x:v>
      </x:c>
      <x:c r="BG324" s="18" t="n">
        <x:v>0</x:v>
      </x:c>
    </x:row>
    <x:row r="325">
      <x:c r="A325" s="29" t="str">
        <x:v>392.5</x:v>
      </x:c>
      <x:c r="B325" s="17" t="n">
        <x:v>3149</x:v>
      </x:c>
      <x:c r="C325" s="17" t="str">
        <x:v>בי"ס תל חי</x:v>
      </x:c>
      <x:c r="D325" s="17" t="str">
        <x:v>הגליל 107</x:v>
      </x:c>
      <x:c r="E325" s="17" t="str">
        <x:v>גבוה מאוד</x:v>
      </x:c>
      <x:c r="F325" s="18" t="n">
        <x:v>633</x:v>
      </x:c>
      <x:c r="G325" s="18" t="n">
        <x:v>375</x:v>
      </x:c>
      <x:c r="H325" s="19" t="n">
        <x:f>IFERROR(G325/F325,0)</x:f>
        <x:v>0.5924170616113744</x:v>
      </x:c>
      <x:c r="I325" s="18" t="n">
        <x:v>3</x:v>
      </x:c>
      <x:c r="J325" s="18" t="n">
        <x:v>372</x:v>
      </x:c>
      <x:c r="K325" s="18" t="n">
        <x:f>SUM(AM325,BF325,W325,AD325)</x:f>
        <x:v>176</x:v>
      </x:c>
      <x:c r="L325" s="18" t="n">
        <x:f>Q325+R325</x:f>
        <x:v>185</x:v>
      </x:c>
      <x:c r="M325" s="19" t="n">
        <x:f>IFERROR(K325/J325,0)</x:f>
        <x:v>0.4731182795698925</x:v>
      </x:c>
      <x:c r="N325" s="19" t="n">
        <x:f>IFERROR(L325/J325,0)</x:f>
        <x:v>0.49731182795698925</x:v>
      </x:c>
      <x:c r="O325" s="17" t="str">
        <x:f>IF(K325&gt;MAX(L325,S325),"קואליציית ההקמה 2022",IF(L325&gt;MAX(K325,S325),"אופוזיציה רחבה 2022","רשימות אחרות"))</x:f>
        <x:v>אופוזיציה רחבה 2022</x:v>
      </x:c>
      <x:c r="P325" s="17" t="str">
        <x:f>IF(AND(H325&lt;50%,N325&gt;50%),"כן","לא")</x:f>
        <x:v>לא</x:v>
      </x:c>
      <x:c r="Q325" s="18" t="n">
        <x:f>SUM(AV325,AJ325,AL325,T325,AN325)</x:f>
        <x:v>185</x:v>
      </x:c>
      <x:c r="R325" s="18" t="n">
        <x:f>SUM(Y325,AU325,X325)</x:f>
        <x:v>0</x:v>
      </x:c>
      <x:c r="S325" s="18" t="n">
        <x:f>J325-K325-L325</x:f>
        <x:v>11</x:v>
      </x:c>
      <x:c r="T325" s="18" t="n">
        <x:v>21</x:v>
      </x:c>
      <x:c r="U325" s="18" t="n">
        <x:v>1</x:v>
      </x:c>
      <x:c r="V325" s="18" t="n">
        <x:v>6</x:v>
      </x:c>
      <x:c r="W325" s="18" t="n">
        <x:v>55</x:v>
      </x:c>
      <x:c r="X325" s="18" t="n">
        <x:v>0</x:v>
      </x:c>
      <x:c r="Y325" s="18" t="n">
        <x:v>0</x:v>
      </x:c>
      <x:c r="Z325" s="18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46</x:v>
      </x:c>
      <x:c r="AE325" s="18" t="n">
        <x:v>0</x:v>
      </x:c>
      <x:c r="AF325" s="18" t="n">
        <x:v>0</x:v>
      </x:c>
      <x:c r="AG325" s="18" t="n">
        <x:v>0</x:v>
      </x:c>
      <x:c r="AH325" s="18" t="n">
        <x:v>0</x:v>
      </x:c>
      <x:c r="AI325" s="18" t="n">
        <x:v>0</x:v>
      </x:c>
      <x:c r="AJ325" s="18" t="n">
        <x:v>35</x:v>
      </x:c>
      <x:c r="AK325" s="18" t="n">
        <x:v>0</x:v>
      </x:c>
      <x:c r="AL325" s="18" t="n">
        <x:v>21</x:v>
      </x:c>
      <x:c r="AM325" s="18" t="n">
        <x:v>54</x:v>
      </x:c>
      <x:c r="AN325" s="18" t="n">
        <x:v>15</x:v>
      </x:c>
      <x:c r="AO325" s="18" t="n">
        <x:v>0</x:v>
      </x:c>
      <x:c r="AP325" s="18" t="n">
        <x:v>0</x:v>
      </x:c>
      <x:c r="AQ325" s="18" t="n">
        <x:v>0</x:v>
      </x:c>
      <x:c r="AR325" s="18" t="n">
        <x:v>0</x:v>
      </x:c>
      <x:c r="AS325" s="18" t="n">
        <x:v>0</x:v>
      </x:c>
      <x:c r="AT325" s="18" t="n">
        <x:v>0</x:v>
      </x:c>
      <x:c r="AU325" s="18" t="n">
        <x:v>0</x:v>
      </x:c>
      <x:c r="AV325" s="18" t="n">
        <x:v>93</x:v>
      </x:c>
      <x:c r="AW325" s="18" t="n">
        <x:v>0</x:v>
      </x:c>
      <x:c r="AX325" s="18" t="n">
        <x:v>0</x:v>
      </x:c>
      <x:c r="AY325" s="18" t="n">
        <x:v>0</x:v>
      </x:c>
      <x:c r="AZ325" s="18" t="n">
        <x:v>1</x:v>
      </x:c>
      <x:c r="BA325" s="18" t="n">
        <x:v>0</x:v>
      </x:c>
      <x:c r="BB325" s="18" t="n">
        <x:v>0</x:v>
      </x:c>
      <x:c r="BC325" s="18" t="n">
        <x:v>1</x:v>
      </x:c>
      <x:c r="BD325" s="18" t="n">
        <x:v>2</x:v>
      </x:c>
      <x:c r="BE325" s="18" t="n">
        <x:v>0</x:v>
      </x:c>
      <x:c r="BF325" s="18" t="n">
        <x:v>21</x:v>
      </x:c>
      <x:c r="BG325" s="18" t="n">
        <x:v>0</x:v>
      </x:c>
    </x:row>
    <x:row r="326">
      <x:c r="A326" s="29" t="str">
        <x:v>403</x:v>
      </x:c>
      <x:c r="B326" s="17" t="n">
        <x:v>3150</x:v>
      </x:c>
      <x:c r="C326" s="17" t="str">
        <x:v>בי"ס תיכון עירוני ג</x:v>
      </x:c>
      <x:c r="D326" s="17" t="str">
        <x:v>גדליהו 22</x:v>
      </x:c>
      <x:c r="E326" s="17" t="str">
        <x:v>גבוה</x:v>
      </x:c>
      <x:c r="F326" s="18" t="n">
        <x:v>454</x:v>
      </x:c>
      <x:c r="G326" s="18" t="n">
        <x:v>237</x:v>
      </x:c>
      <x:c r="H326" s="19" t="n">
        <x:f>IFERROR(G326/F326,0)</x:f>
        <x:v>0.5220264317180616</x:v>
      </x:c>
      <x:c r="I326" s="18" t="n">
        <x:v>2</x:v>
      </x:c>
      <x:c r="J326" s="18" t="n">
        <x:v>235</x:v>
      </x:c>
      <x:c r="K326" s="18" t="n">
        <x:f>SUM(AM326,BF326,W326,AD326)</x:f>
        <x:v>72</x:v>
      </x:c>
      <x:c r="L326" s="18" t="n">
        <x:f>Q326+R326</x:f>
        <x:v>160</x:v>
      </x:c>
      <x:c r="M326" s="19" t="n">
        <x:f>IFERROR(K326/J326,0)</x:f>
        <x:v>0.30638297872340425</x:v>
      </x:c>
      <x:c r="N326" s="19" t="n">
        <x:f>IFERROR(L326/J326,0)</x:f>
        <x:v>0.6808510638297872</x:v>
      </x:c>
      <x:c r="O326" s="17" t="str">
        <x:f>IF(K326&gt;MAX(L326,S326),"קואליציית ההקמה 2022",IF(L326&gt;MAX(K326,S326),"אופוזיציה רחבה 2022","רשימות אחרות"))</x:f>
        <x:v>אופוזיציה רחבה 2022</x:v>
      </x:c>
      <x:c r="P326" s="17" t="str">
        <x:f>IF(AND(H326&lt;50%,N326&gt;50%),"כן","לא")</x:f>
        <x:v>לא</x:v>
      </x:c>
      <x:c r="Q326" s="18" t="n">
        <x:f>SUM(AV326,AJ326,AL326,T326,AN326)</x:f>
        <x:v>154</x:v>
      </x:c>
      <x:c r="R326" s="18" t="n">
        <x:f>SUM(Y326,AU326,X326)</x:f>
        <x:v>6</x:v>
      </x:c>
      <x:c r="S326" s="18" t="n">
        <x:f>J326-K326-L326</x:f>
        <x:v>3</x:v>
      </x:c>
      <x:c r="T326" s="18" t="n">
        <x:v>20</x:v>
      </x:c>
      <x:c r="U326" s="18" t="n">
        <x:v>0</x:v>
      </x:c>
      <x:c r="V326" s="18" t="n">
        <x:v>3</x:v>
      </x:c>
      <x:c r="W326" s="18" t="n">
        <x:v>15</x:v>
      </x:c>
      <x:c r="X326" s="18" t="n">
        <x:v>1</x:v>
      </x:c>
      <x:c r="Y326" s="18" t="n">
        <x:v>5</x:v>
      </x:c>
      <x:c r="Z326" s="18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20</x:v>
      </x:c>
      <x:c r="AE326" s="18" t="n">
        <x:v>0</x:v>
      </x:c>
      <x:c r="AF326" s="18" t="n">
        <x:v>0</x:v>
      </x:c>
      <x:c r="AG326" s="18" t="n">
        <x:v>0</x:v>
      </x:c>
      <x:c r="AH326" s="18" t="n">
        <x:v>0</x:v>
      </x:c>
      <x:c r="AI326" s="18" t="n">
        <x:v>0</x:v>
      </x:c>
      <x:c r="AJ326" s="18" t="n">
        <x:v>35</x:v>
      </x:c>
      <x:c r="AK326" s="18" t="n">
        <x:v>0</x:v>
      </x:c>
      <x:c r="AL326" s="18" t="n">
        <x:v>12</x:v>
      </x:c>
      <x:c r="AM326" s="18" t="n">
        <x:v>31</x:v>
      </x:c>
      <x:c r="AN326" s="18" t="n">
        <x:v>19</x:v>
      </x:c>
      <x:c r="AO326" s="18" t="n">
        <x:v>0</x:v>
      </x:c>
      <x:c r="AP326" s="18" t="n">
        <x:v>0</x:v>
      </x:c>
      <x:c r="AQ326" s="18" t="n">
        <x:v>0</x:v>
      </x:c>
      <x:c r="AR326" s="18" t="n">
        <x:v>0</x:v>
      </x:c>
      <x:c r="AS326" s="18" t="n">
        <x:v>0</x:v>
      </x:c>
      <x:c r="AT326" s="18" t="n">
        <x:v>0</x:v>
      </x:c>
      <x:c r="AU326" s="18" t="n">
        <x:v>0</x:v>
      </x:c>
      <x:c r="AV326" s="18" t="n">
        <x:v>68</x:v>
      </x:c>
      <x:c r="AW326" s="18" t="n">
        <x:v>0</x:v>
      </x:c>
      <x:c r="AX326" s="18" t="n">
        <x:v>0</x:v>
      </x:c>
      <x:c r="AY326" s="18" t="n">
        <x:v>0</x:v>
      </x:c>
      <x:c r="AZ326" s="18" t="n">
        <x:v>0</x:v>
      </x:c>
      <x:c r="BA326" s="18" t="n">
        <x:v>0</x:v>
      </x:c>
      <x:c r="BB326" s="18" t="n">
        <x:v>0</x:v>
      </x:c>
      <x:c r="BC326" s="18" t="n">
        <x:v>0</x:v>
      </x:c>
      <x:c r="BD326" s="18" t="n">
        <x:v>0</x:v>
      </x:c>
      <x:c r="BE326" s="18" t="n">
        <x:v>0</x:v>
      </x:c>
      <x:c r="BF326" s="18" t="n">
        <x:v>6</x:v>
      </x:c>
      <x:c r="BG326" s="18" t="n">
        <x:v>0</x:v>
      </x:c>
    </x:row>
    <x:row r="327">
      <x:c r="A327" s="29" t="str">
        <x:v>405.1</x:v>
      </x:c>
      <x:c r="B327" s="17" t="n">
        <x:v>3173</x:v>
      </x:c>
      <x:c r="C327" s="17" t="str">
        <x:v>בי"ס בארי</x:v>
      </x:c>
      <x:c r="D327" s="17" t="str">
        <x:v>ברל כצנלסון 48</x:v>
      </x:c>
      <x:c r="E327" s="17" t="str">
        <x:v>גבוה מאוד</x:v>
      </x:c>
      <x:c r="F327" s="18" t="n">
        <x:v>467</x:v>
      </x:c>
      <x:c r="G327" s="18" t="n">
        <x:v>309</x:v>
      </x:c>
      <x:c r="H327" s="19" t="n">
        <x:f>IFERROR(G327/F327,0)</x:f>
        <x:v>0.6616702355460385</x:v>
      </x:c>
      <x:c r="I327" s="18" t="n">
        <x:v>0</x:v>
      </x:c>
      <x:c r="J327" s="18" t="n">
        <x:v>309</x:v>
      </x:c>
      <x:c r="K327" s="18" t="n">
        <x:f>SUM(AM327,BF327,W327,AD327)</x:f>
        <x:v>147</x:v>
      </x:c>
      <x:c r="L327" s="18" t="n">
        <x:f>Q327+R327</x:f>
        <x:v>156</x:v>
      </x:c>
      <x:c r="M327" s="19" t="n">
        <x:f>IFERROR(K327/J327,0)</x:f>
        <x:v>0.47572815533980584</x:v>
      </x:c>
      <x:c r="N327" s="19" t="n">
        <x:f>IFERROR(L327/J327,0)</x:f>
        <x:v>0.5048543689320388</x:v>
      </x:c>
      <x:c r="O327" s="17" t="str">
        <x:f>IF(K327&gt;MAX(L327,S327),"קואליציית ההקמה 2022",IF(L327&gt;MAX(K327,S327),"אופוזיציה רחבה 2022","רשימות אחרות"))</x:f>
        <x:v>אופוזיציה רחבה 2022</x:v>
      </x:c>
      <x:c r="P327" s="17" t="str">
        <x:f>IF(AND(H327&lt;50%,N327&gt;50%),"כן","לא")</x:f>
        <x:v>לא</x:v>
      </x:c>
      <x:c r="Q327" s="18" t="n">
        <x:f>SUM(AV327,AJ327,AL327,T327,AN327)</x:f>
        <x:v>156</x:v>
      </x:c>
      <x:c r="R327" s="18" t="n">
        <x:f>SUM(Y327,AU327,X327)</x:f>
        <x:v>0</x:v>
      </x:c>
      <x:c r="S327" s="18" t="n">
        <x:f>J327-K327-L327</x:f>
        <x:v>6</x:v>
      </x:c>
      <x:c r="T327" s="18" t="n">
        <x:v>15</x:v>
      </x:c>
      <x:c r="U327" s="18" t="n">
        <x:v>0</x:v>
      </x:c>
      <x:c r="V327" s="18" t="n">
        <x:v>3</x:v>
      </x:c>
      <x:c r="W327" s="18" t="n">
        <x:v>34</x:v>
      </x:c>
      <x:c r="X327" s="18" t="n">
        <x:v>0</x:v>
      </x:c>
      <x:c r="Y327" s="18" t="n">
        <x:v>0</x:v>
      </x:c>
      <x:c r="Z327" s="18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48</x:v>
      </x:c>
      <x:c r="AE327" s="18" t="n">
        <x:v>0</x:v>
      </x:c>
      <x:c r="AF327" s="18" t="n">
        <x:v>1</x:v>
      </x:c>
      <x:c r="AG327" s="18" t="n">
        <x:v>0</x:v>
      </x:c>
      <x:c r="AH327" s="18" t="n">
        <x:v>0</x:v>
      </x:c>
      <x:c r="AI327" s="18" t="n">
        <x:v>0</x:v>
      </x:c>
      <x:c r="AJ327" s="18" t="n">
        <x:v>34</x:v>
      </x:c>
      <x:c r="AK327" s="18" t="n">
        <x:v>0</x:v>
      </x:c>
      <x:c r="AL327" s="18" t="n">
        <x:v>26</x:v>
      </x:c>
      <x:c r="AM327" s="18" t="n">
        <x:v>54</x:v>
      </x:c>
      <x:c r="AN327" s="18" t="n">
        <x:v>16</x:v>
      </x:c>
      <x:c r="AO327" s="18" t="n">
        <x:v>0</x:v>
      </x:c>
      <x:c r="AP327" s="18" t="n">
        <x:v>0</x:v>
      </x:c>
      <x:c r="AQ327" s="18" t="n">
        <x:v>0</x:v>
      </x:c>
      <x:c r="AR327" s="18" t="n">
        <x:v>0</x:v>
      </x:c>
      <x:c r="AS327" s="18" t="n">
        <x:v>0</x:v>
      </x:c>
      <x:c r="AT327" s="18" t="n">
        <x:v>0</x:v>
      </x:c>
      <x:c r="AU327" s="18" t="n">
        <x:v>0</x:v>
      </x:c>
      <x:c r="AV327" s="18" t="n">
        <x:v>65</x:v>
      </x:c>
      <x:c r="AW327" s="18" t="n">
        <x:v>1</x:v>
      </x:c>
      <x:c r="AX327" s="18" t="n">
        <x:v>0</x:v>
      </x:c>
      <x:c r="AY327" s="18" t="n">
        <x:v>0</x:v>
      </x:c>
      <x:c r="AZ327" s="18" t="n">
        <x:v>0</x:v>
      </x:c>
      <x:c r="BA327" s="18" t="n">
        <x:v>0</x:v>
      </x:c>
      <x:c r="BB327" s="18" t="n">
        <x:v>0</x:v>
      </x:c>
      <x:c r="BC327" s="18" t="n">
        <x:v>0</x:v>
      </x:c>
      <x:c r="BD327" s="18" t="n">
        <x:v>1</x:v>
      </x:c>
      <x:c r="BE327" s="18" t="n">
        <x:v>0</x:v>
      </x:c>
      <x:c r="BF327" s="18" t="n">
        <x:v>11</x:v>
      </x:c>
      <x:c r="BG327" s="18" t="n">
        <x:v>0</x:v>
      </x:c>
    </x:row>
    <x:row r="328">
      <x:c r="A328" s="29" t="str">
        <x:v>405.2</x:v>
      </x:c>
      <x:c r="B328" s="17" t="n">
        <x:v>3174</x:v>
      </x:c>
      <x:c r="C328" s="17" t="str">
        <x:v>בי"ס בארי</x:v>
      </x:c>
      <x:c r="D328" s="17" t="str">
        <x:v>ברל כצנלסון 48</x:v>
      </x:c>
      <x:c r="E328" s="17" t="str">
        <x:v>גבוה מאוד</x:v>
      </x:c>
      <x:c r="F328" s="18" t="n">
        <x:v>467</x:v>
      </x:c>
      <x:c r="G328" s="18" t="n">
        <x:v>318</x:v>
      </x:c>
      <x:c r="H328" s="19" t="n">
        <x:f>IFERROR(G328/F328,0)</x:f>
        <x:v>0.6809421841541756</x:v>
      </x:c>
      <x:c r="I328" s="18" t="n">
        <x:v>3</x:v>
      </x:c>
      <x:c r="J328" s="18" t="n">
        <x:v>315</x:v>
      </x:c>
      <x:c r="K328" s="18" t="n">
        <x:f>SUM(AM328,BF328,W328,AD328)</x:f>
        <x:v>145</x:v>
      </x:c>
      <x:c r="L328" s="18" t="n">
        <x:f>Q328+R328</x:f>
        <x:v>160</x:v>
      </x:c>
      <x:c r="M328" s="19" t="n">
        <x:f>IFERROR(K328/J328,0)</x:f>
        <x:v>0.4603174603174603</x:v>
      </x:c>
      <x:c r="N328" s="19" t="n">
        <x:f>IFERROR(L328/J328,0)</x:f>
        <x:v>0.5079365079365079</x:v>
      </x:c>
      <x:c r="O328" s="17" t="str">
        <x:f>IF(K328&gt;MAX(L328,S328),"קואליציית ההקמה 2022",IF(L328&gt;MAX(K328,S328),"אופוזיציה רחבה 2022","רשימות אחרות"))</x:f>
        <x:v>אופוזיציה רחבה 2022</x:v>
      </x:c>
      <x:c r="P328" s="17" t="str">
        <x:f>IF(AND(H328&lt;50%,N328&gt;50%),"כן","לא")</x:f>
        <x:v>לא</x:v>
      </x:c>
      <x:c r="Q328" s="18" t="n">
        <x:f>SUM(AV328,AJ328,AL328,T328,AN328)</x:f>
        <x:v>157</x:v>
      </x:c>
      <x:c r="R328" s="18" t="n">
        <x:f>SUM(Y328,AU328,X328)</x:f>
        <x:v>3</x:v>
      </x:c>
      <x:c r="S328" s="18" t="n">
        <x:f>J328-K328-L328</x:f>
        <x:v>10</x:v>
      </x:c>
      <x:c r="T328" s="18" t="n">
        <x:v>15</x:v>
      </x:c>
      <x:c r="U328" s="18" t="n">
        <x:v>2</x:v>
      </x:c>
      <x:c r="V328" s="18" t="n">
        <x:v>5</x:v>
      </x:c>
      <x:c r="W328" s="18" t="n">
        <x:v>48</x:v>
      </x:c>
      <x:c r="X328" s="18" t="n">
        <x:v>0</x:v>
      </x:c>
      <x:c r="Y328" s="18" t="n">
        <x:v>1</x:v>
      </x:c>
      <x:c r="Z328" s="18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34</x:v>
      </x:c>
      <x:c r="AE328" s="18" t="n">
        <x:v>0</x:v>
      </x:c>
      <x:c r="AF328" s="18" t="n">
        <x:v>0</x:v>
      </x:c>
      <x:c r="AG328" s="18" t="n">
        <x:v>0</x:v>
      </x:c>
      <x:c r="AH328" s="18" t="n">
        <x:v>0</x:v>
      </x:c>
      <x:c r="AI328" s="18" t="n">
        <x:v>0</x:v>
      </x:c>
      <x:c r="AJ328" s="18" t="n">
        <x:v>33</x:v>
      </x:c>
      <x:c r="AK328" s="18" t="n">
        <x:v>0</x:v>
      </x:c>
      <x:c r="AL328" s="18" t="n">
        <x:v>23</x:v>
      </x:c>
      <x:c r="AM328" s="18" t="n">
        <x:v>49</x:v>
      </x:c>
      <x:c r="AN328" s="18" t="n">
        <x:v>10</x:v>
      </x:c>
      <x:c r="AO328" s="18" t="n">
        <x:v>0</x:v>
      </x:c>
      <x:c r="AP328" s="18" t="n">
        <x:v>0</x:v>
      </x:c>
      <x:c r="AQ328" s="18" t="n">
        <x:v>0</x:v>
      </x:c>
      <x:c r="AR328" s="18" t="n">
        <x:v>0</x:v>
      </x:c>
      <x:c r="AS328" s="18" t="n">
        <x:v>0</x:v>
      </x:c>
      <x:c r="AT328" s="18" t="n">
        <x:v>0</x:v>
      </x:c>
      <x:c r="AU328" s="18" t="n">
        <x:v>2</x:v>
      </x:c>
      <x:c r="AV328" s="18" t="n">
        <x:v>76</x:v>
      </x:c>
      <x:c r="AW328" s="18" t="n">
        <x:v>0</x:v>
      </x:c>
      <x:c r="AX328" s="18" t="n">
        <x:v>0</x:v>
      </x:c>
      <x:c r="AY328" s="18" t="n">
        <x:v>0</x:v>
      </x:c>
      <x:c r="AZ328" s="18" t="n">
        <x:v>1</x:v>
      </x:c>
      <x:c r="BA328" s="18" t="n">
        <x:v>0</x:v>
      </x:c>
      <x:c r="BB328" s="18" t="n">
        <x:v>0</x:v>
      </x:c>
      <x:c r="BC328" s="18" t="n">
        <x:v>0</x:v>
      </x:c>
      <x:c r="BD328" s="18" t="n">
        <x:v>2</x:v>
      </x:c>
      <x:c r="BE328" s="18" t="n">
        <x:v>0</x:v>
      </x:c>
      <x:c r="BF328" s="18" t="n">
        <x:v>14</x:v>
      </x:c>
      <x:c r="BG328" s="18" t="n">
        <x:v>0</x:v>
      </x:c>
    </x:row>
    <x:row r="329">
      <x:c r="A329" s="29" t="str">
        <x:v>405.3</x:v>
      </x:c>
      <x:c r="B329" s="17" t="n">
        <x:v>3175</x:v>
      </x:c>
      <x:c r="C329" s="17" t="str">
        <x:v>בי"ס בארי</x:v>
      </x:c>
      <x:c r="D329" s="17" t="str">
        <x:v>ברל כצנלסון 48</x:v>
      </x:c>
      <x:c r="E329" s="17" t="str">
        <x:v>גבוה מאוד</x:v>
      </x:c>
      <x:c r="F329" s="18" t="n">
        <x:v>467</x:v>
      </x:c>
      <x:c r="G329" s="18" t="n">
        <x:v>303</x:v>
      </x:c>
      <x:c r="H329" s="19" t="n">
        <x:f>IFERROR(G329/F329,0)</x:f>
        <x:v>0.6488222698072805</x:v>
      </x:c>
      <x:c r="I329" s="18" t="n">
        <x:v>0</x:v>
      </x:c>
      <x:c r="J329" s="18" t="n">
        <x:v>303</x:v>
      </x:c>
      <x:c r="K329" s="18" t="n">
        <x:f>SUM(AM329,BF329,W329,AD329)</x:f>
        <x:v>146</x:v>
      </x:c>
      <x:c r="L329" s="18" t="n">
        <x:f>Q329+R329</x:f>
        <x:v>147</x:v>
      </x:c>
      <x:c r="M329" s="19" t="n">
        <x:f>IFERROR(K329/J329,0)</x:f>
        <x:v>0.48184818481848185</x:v>
      </x:c>
      <x:c r="N329" s="19" t="n">
        <x:f>IFERROR(L329/J329,0)</x:f>
        <x:v>0.48514851485148514</x:v>
      </x:c>
      <x:c r="O329" s="17" t="str">
        <x:f>IF(K329&gt;MAX(L329,S329),"קואליציית ההקמה 2022",IF(L329&gt;MAX(K329,S329),"אופוזיציה רחבה 2022","רשימות אחרות"))</x:f>
        <x:v>אופוזיציה רחבה 2022</x:v>
      </x:c>
      <x:c r="P329" s="17" t="str">
        <x:f>IF(AND(H329&lt;50%,N329&gt;50%),"כן","לא")</x:f>
        <x:v>לא</x:v>
      </x:c>
      <x:c r="Q329" s="18" t="n">
        <x:f>SUM(AV329,AJ329,AL329,T329,AN329)</x:f>
        <x:v>147</x:v>
      </x:c>
      <x:c r="R329" s="18" t="n">
        <x:f>SUM(Y329,AU329,X329)</x:f>
        <x:v>0</x:v>
      </x:c>
      <x:c r="S329" s="18" t="n">
        <x:f>J329-K329-L329</x:f>
        <x:v>10</x:v>
      </x:c>
      <x:c r="T329" s="18" t="n">
        <x:v>16</x:v>
      </x:c>
      <x:c r="U329" s="18" t="n">
        <x:v>1</x:v>
      </x:c>
      <x:c r="V329" s="18" t="n">
        <x:v>6</x:v>
      </x:c>
      <x:c r="W329" s="18" t="n">
        <x:v>54</x:v>
      </x:c>
      <x:c r="X329" s="18" t="n">
        <x:v>0</x:v>
      </x:c>
      <x:c r="Y329" s="18" t="n">
        <x:v>0</x:v>
      </x:c>
      <x:c r="Z329" s="18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25</x:v>
      </x:c>
      <x:c r="AE329" s="18" t="n">
        <x:v>0</x:v>
      </x:c>
      <x:c r="AF329" s="18" t="n">
        <x:v>0</x:v>
      </x:c>
      <x:c r="AG329" s="18" t="n">
        <x:v>0</x:v>
      </x:c>
      <x:c r="AH329" s="18" t="n">
        <x:v>0</x:v>
      </x:c>
      <x:c r="AI329" s="18" t="n">
        <x:v>0</x:v>
      </x:c>
      <x:c r="AJ329" s="18" t="n">
        <x:v>26</x:v>
      </x:c>
      <x:c r="AK329" s="18" t="n">
        <x:v>0</x:v>
      </x:c>
      <x:c r="AL329" s="18" t="n">
        <x:v>18</x:v>
      </x:c>
      <x:c r="AM329" s="18" t="n">
        <x:v>57</x:v>
      </x:c>
      <x:c r="AN329" s="18" t="n">
        <x:v>9</x:v>
      </x:c>
      <x:c r="AO329" s="18" t="n">
        <x:v>0</x:v>
      </x:c>
      <x:c r="AP329" s="18" t="n">
        <x:v>0</x:v>
      </x:c>
      <x:c r="AQ329" s="18" t="n">
        <x:v>0</x:v>
      </x:c>
      <x:c r="AR329" s="18" t="n">
        <x:v>0</x:v>
      </x:c>
      <x:c r="AS329" s="18" t="n">
        <x:v>3</x:v>
      </x:c>
      <x:c r="AT329" s="18" t="n">
        <x:v>0</x:v>
      </x:c>
      <x:c r="AU329" s="18" t="n">
        <x:v>0</x:v>
      </x:c>
      <x:c r="AV329" s="18" t="n">
        <x:v>78</x:v>
      </x:c>
      <x:c r="AW329" s="18" t="n">
        <x:v>0</x:v>
      </x:c>
      <x:c r="AX329" s="18" t="n">
        <x:v>0</x:v>
      </x:c>
      <x:c r="AY329" s="18" t="n">
        <x:v>0</x:v>
      </x:c>
      <x:c r="AZ329" s="18" t="n">
        <x:v>0</x:v>
      </x:c>
      <x:c r="BA329" s="18" t="n">
        <x:v>0</x:v>
      </x:c>
      <x:c r="BB329" s="18" t="n">
        <x:v>0</x:v>
      </x:c>
      <x:c r="BC329" s="18" t="n">
        <x:v>0</x:v>
      </x:c>
      <x:c r="BD329" s="18" t="n">
        <x:v>0</x:v>
      </x:c>
      <x:c r="BE329" s="18" t="n">
        <x:v>0</x:v>
      </x:c>
      <x:c r="BF329" s="18" t="n">
        <x:v>10</x:v>
      </x:c>
      <x:c r="BG329" s="18" t="n">
        <x:v>0</x:v>
      </x:c>
    </x:row>
    <x:row r="330">
      <x:c r="A330" s="29" t="str">
        <x:v>409</x:v>
      </x:c>
      <x:c r="B330" s="17" t="n">
        <x:v>3120</x:v>
      </x:c>
      <x:c r="C330" s="17" t="str">
        <x:v>בי"ס הבונים</x:v>
      </x:c>
      <x:c r="D330" s="17" t="str">
        <x:v>חביבה רייך 16</x:v>
      </x:c>
      <x:c r="E330" s="17" t="str">
        <x:v>גבוה מאוד</x:v>
      </x:c>
      <x:c r="F330" s="18" t="n">
        <x:v>608</x:v>
      </x:c>
      <x:c r="G330" s="18" t="n">
        <x:v>388</x:v>
      </x:c>
      <x:c r="H330" s="19" t="n">
        <x:f>IFERROR(G330/F330,0)</x:f>
        <x:v>0.6381578947368421</x:v>
      </x:c>
      <x:c r="I330" s="18" t="n">
        <x:v>2</x:v>
      </x:c>
      <x:c r="J330" s="18" t="n">
        <x:v>386</x:v>
      </x:c>
      <x:c r="K330" s="18" t="n">
        <x:f>SUM(AM330,BF330,W330,AD330)</x:f>
        <x:v>117</x:v>
      </x:c>
      <x:c r="L330" s="18" t="n">
        <x:f>Q330+R330</x:f>
        <x:v>259</x:v>
      </x:c>
      <x:c r="M330" s="19" t="n">
        <x:f>IFERROR(K330/J330,0)</x:f>
        <x:v>0.30310880829015546</x:v>
      </x:c>
      <x:c r="N330" s="19" t="n">
        <x:f>IFERROR(L330/J330,0)</x:f>
        <x:v>0.6709844559585493</x:v>
      </x:c>
      <x:c r="O330" s="17" t="str">
        <x:f>IF(K330&gt;MAX(L330,S330),"קואליציית ההקמה 2022",IF(L330&gt;MAX(K330,S330),"אופוזיציה רחבה 2022","רשימות אחרות"))</x:f>
        <x:v>אופוזיציה רחבה 2022</x:v>
      </x:c>
      <x:c r="P330" s="17" t="str">
        <x:f>IF(AND(H330&lt;50%,N330&gt;50%),"כן","לא")</x:f>
        <x:v>לא</x:v>
      </x:c>
      <x:c r="Q330" s="18" t="n">
        <x:f>SUM(AV330,AJ330,AL330,T330,AN330)</x:f>
        <x:v>258</x:v>
      </x:c>
      <x:c r="R330" s="18" t="n">
        <x:f>SUM(Y330,AU330,X330)</x:f>
        <x:v>1</x:v>
      </x:c>
      <x:c r="S330" s="18" t="n">
        <x:f>J330-K330-L330</x:f>
        <x:v>10</x:v>
      </x:c>
      <x:c r="T330" s="18" t="n">
        <x:v>28</x:v>
      </x:c>
      <x:c r="U330" s="18" t="n">
        <x:v>6</x:v>
      </x:c>
      <x:c r="V330" s="18" t="n">
        <x:v>1</x:v>
      </x:c>
      <x:c r="W330" s="18" t="n">
        <x:v>15</x:v>
      </x:c>
      <x:c r="X330" s="18" t="n">
        <x:v>0</x:v>
      </x:c>
      <x:c r="Y330" s="18" t="n">
        <x:v>0</x:v>
      </x:c>
      <x:c r="Z330" s="18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33</x:v>
      </x:c>
      <x:c r="AE330" s="18" t="n">
        <x:v>0</x:v>
      </x:c>
      <x:c r="AF330" s="18" t="n">
        <x:v>2</x:v>
      </x:c>
      <x:c r="AG330" s="18" t="n">
        <x:v>0</x:v>
      </x:c>
      <x:c r="AH330" s="18" t="n">
        <x:v>0</x:v>
      </x:c>
      <x:c r="AI330" s="18" t="n">
        <x:v>0</x:v>
      </x:c>
      <x:c r="AJ330" s="18" t="n">
        <x:v>52</x:v>
      </x:c>
      <x:c r="AK330" s="18" t="n">
        <x:v>0</x:v>
      </x:c>
      <x:c r="AL330" s="18" t="n">
        <x:v>17</x:v>
      </x:c>
      <x:c r="AM330" s="18" t="n">
        <x:v>60</x:v>
      </x:c>
      <x:c r="AN330" s="18" t="n">
        <x:v>25</x:v>
      </x:c>
      <x:c r="AO330" s="18" t="n">
        <x:v>0</x:v>
      </x:c>
      <x:c r="AP330" s="18" t="n">
        <x:v>0</x:v>
      </x:c>
      <x:c r="AQ330" s="18" t="n">
        <x:v>0</x:v>
      </x:c>
      <x:c r="AR330" s="18" t="n">
        <x:v>0</x:v>
      </x:c>
      <x:c r="AS330" s="18" t="n">
        <x:v>0</x:v>
      </x:c>
      <x:c r="AT330" s="18" t="n">
        <x:v>0</x:v>
      </x:c>
      <x:c r="AU330" s="18" t="n">
        <x:v>1</x:v>
      </x:c>
      <x:c r="AV330" s="18" t="n">
        <x:v>136</x:v>
      </x:c>
      <x:c r="AW330" s="18" t="n">
        <x:v>0</x:v>
      </x:c>
      <x:c r="AX330" s="18" t="n">
        <x:v>0</x:v>
      </x:c>
      <x:c r="AY330" s="18" t="n">
        <x:v>0</x:v>
      </x:c>
      <x:c r="AZ330" s="18" t="n">
        <x:v>0</x:v>
      </x:c>
      <x:c r="BA330" s="18" t="n">
        <x:v>0</x:v>
      </x:c>
      <x:c r="BB330" s="18" t="n">
        <x:v>0</x:v>
      </x:c>
      <x:c r="BC330" s="18" t="n">
        <x:v>0</x:v>
      </x:c>
      <x:c r="BD330" s="18" t="n">
        <x:v>1</x:v>
      </x:c>
      <x:c r="BE330" s="18" t="n">
        <x:v>0</x:v>
      </x:c>
      <x:c r="BF330" s="18" t="n">
        <x:v>9</x:v>
      </x:c>
      <x:c r="BG330" s="18" t="n">
        <x:v>0</x:v>
      </x:c>
    </x:row>
    <x:row r="331">
      <x:c r="A331" s="29" t="str">
        <x:v>410</x:v>
      </x:c>
      <x:c r="B331" s="17" t="n">
        <x:v>3121</x:v>
      </x:c>
      <x:c r="C331" s="17" t="str">
        <x:v>בי"ס הבונים</x:v>
      </x:c>
      <x:c r="D331" s="17" t="str">
        <x:v>חביבה רייך 16</x:v>
      </x:c>
      <x:c r="E331" s="17" t="str">
        <x:v>גבוה מאוד</x:v>
      </x:c>
      <x:c r="F331" s="18" t="n">
        <x:v>449</x:v>
      </x:c>
      <x:c r="G331" s="18" t="n">
        <x:v>287</x:v>
      </x:c>
      <x:c r="H331" s="19" t="n">
        <x:f>IFERROR(G331/F331,0)</x:f>
        <x:v>0.6391982182628062</x:v>
      </x:c>
      <x:c r="I331" s="18" t="n">
        <x:v>1</x:v>
      </x:c>
      <x:c r="J331" s="18" t="n">
        <x:v>286</x:v>
      </x:c>
      <x:c r="K331" s="18" t="n">
        <x:f>SUM(AM331,BF331,W331,AD331)</x:f>
        <x:v>35</x:v>
      </x:c>
      <x:c r="L331" s="18" t="n">
        <x:f>Q331+R331</x:f>
        <x:v>245</x:v>
      </x:c>
      <x:c r="M331" s="19" t="n">
        <x:f>IFERROR(K331/J331,0)</x:f>
        <x:v>0.12237762237762238</x:v>
      </x:c>
      <x:c r="N331" s="19" t="n">
        <x:f>IFERROR(L331/J331,0)</x:f>
        <x:v>0.8566433566433567</x:v>
      </x:c>
      <x:c r="O331" s="17" t="str">
        <x:f>IF(K331&gt;MAX(L331,S331),"קואליציית ההקמה 2022",IF(L331&gt;MAX(K331,S331),"אופוזיציה רחבה 2022","רשימות אחרות"))</x:f>
        <x:v>אופוזיציה רחבה 2022</x:v>
      </x:c>
      <x:c r="P331" s="17" t="str">
        <x:f>IF(AND(H331&lt;50%,N331&gt;50%),"כן","לא")</x:f>
        <x:v>לא</x:v>
      </x:c>
      <x:c r="Q331" s="18" t="n">
        <x:f>SUM(AV331,AJ331,AL331,T331,AN331)</x:f>
        <x:v>237</x:v>
      </x:c>
      <x:c r="R331" s="18" t="n">
        <x:f>SUM(Y331,AU331,X331)</x:f>
        <x:v>8</x:v>
      </x:c>
      <x:c r="S331" s="18" t="n">
        <x:f>J331-K331-L331</x:f>
        <x:v>6</x:v>
      </x:c>
      <x:c r="T331" s="18" t="n">
        <x:v>35</x:v>
      </x:c>
      <x:c r="U331" s="18" t="n">
        <x:v>1</x:v>
      </x:c>
      <x:c r="V331" s="18" t="n">
        <x:v>0</x:v>
      </x:c>
      <x:c r="W331" s="18" t="n">
        <x:v>0</x:v>
      </x:c>
      <x:c r="X331" s="18" t="n">
        <x:v>2</x:v>
      </x:c>
      <x:c r="Y331" s="18" t="n">
        <x:v>3</x:v>
      </x:c>
      <x:c r="Z331" s="18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4</x:v>
      </x:c>
      <x:c r="AE331" s="18" t="n">
        <x:v>0</x:v>
      </x:c>
      <x:c r="AF331" s="18" t="n">
        <x:v>1</x:v>
      </x:c>
      <x:c r="AG331" s="18" t="n">
        <x:v>0</x:v>
      </x:c>
      <x:c r="AH331" s="18" t="n">
        <x:v>0</x:v>
      </x:c>
      <x:c r="AI331" s="18" t="n">
        <x:v>0</x:v>
      </x:c>
      <x:c r="AJ331" s="18" t="n">
        <x:v>30</x:v>
      </x:c>
      <x:c r="AK331" s="18" t="n">
        <x:v>0</x:v>
      </x:c>
      <x:c r="AL331" s="18" t="n">
        <x:v>15</x:v>
      </x:c>
      <x:c r="AM331" s="18" t="n">
        <x:v>28</x:v>
      </x:c>
      <x:c r="AN331" s="18" t="n">
        <x:v>29</x:v>
      </x:c>
      <x:c r="AO331" s="18" t="n">
        <x:v>0</x:v>
      </x:c>
      <x:c r="AP331" s="18" t="n">
        <x:v>0</x:v>
      </x:c>
      <x:c r="AQ331" s="18" t="n">
        <x:v>0</x:v>
      </x:c>
      <x:c r="AR331" s="18" t="n">
        <x:v>0</x:v>
      </x:c>
      <x:c r="AS331" s="18" t="n">
        <x:v>0</x:v>
      </x:c>
      <x:c r="AT331" s="18" t="n">
        <x:v>0</x:v>
      </x:c>
      <x:c r="AU331" s="18" t="n">
        <x:v>3</x:v>
      </x:c>
      <x:c r="AV331" s="18" t="n">
        <x:v>128</x:v>
      </x:c>
      <x:c r="AW331" s="18" t="n">
        <x:v>0</x:v>
      </x:c>
      <x:c r="AX331" s="18" t="n">
        <x:v>0</x:v>
      </x:c>
      <x:c r="AY331" s="18" t="n">
        <x:v>0</x:v>
      </x:c>
      <x:c r="AZ331" s="18" t="n">
        <x:v>0</x:v>
      </x:c>
      <x:c r="BA331" s="18" t="n">
        <x:v>0</x:v>
      </x:c>
      <x:c r="BB331" s="18" t="n">
        <x:v>0</x:v>
      </x:c>
      <x:c r="BC331" s="18" t="n">
        <x:v>0</x:v>
      </x:c>
      <x:c r="BD331" s="18" t="n">
        <x:v>4</x:v>
      </x:c>
      <x:c r="BE331" s="18" t="n">
        <x:v>0</x:v>
      </x:c>
      <x:c r="BF331" s="18" t="n">
        <x:v>3</x:v>
      </x:c>
      <x:c r="BG331" s="18" t="n">
        <x:v>0</x:v>
      </x:c>
    </x:row>
    <x:row r="332">
      <x:c r="A332" s="29" t="str">
        <x:v>411</x:v>
      </x:c>
      <x:c r="B332" s="17" t="n">
        <x:v>3151</x:v>
      </x:c>
      <x:c r="C332" s="17" t="str">
        <x:v>בי"ס תיכון עירוני ג</x:v>
      </x:c>
      <x:c r="D332" s="17" t="str">
        <x:v>גדליהו 22</x:v>
      </x:c>
      <x:c r="E332" s="17" t="str">
        <x:v>גבוה</x:v>
      </x:c>
      <x:c r="F332" s="18" t="n">
        <x:v>449</x:v>
      </x:c>
      <x:c r="G332" s="18" t="n">
        <x:v>126</x:v>
      </x:c>
      <x:c r="H332" s="19" t="n">
        <x:f>IFERROR(G332/F332,0)</x:f>
        <x:v>0.2806236080178174</x:v>
      </x:c>
      <x:c r="I332" s="18" t="n">
        <x:v>1</x:v>
      </x:c>
      <x:c r="J332" s="18" t="n">
        <x:v>125</x:v>
      </x:c>
      <x:c r="K332" s="18" t="n">
        <x:f>SUM(AM332,BF332,W332,AD332)</x:f>
        <x:v>38</x:v>
      </x:c>
      <x:c r="L332" s="18" t="n">
        <x:f>Q332+R332</x:f>
        <x:v>85</x:v>
      </x:c>
      <x:c r="M332" s="19" t="n">
        <x:f>IFERROR(K332/J332,0)</x:f>
        <x:v>0.304</x:v>
      </x:c>
      <x:c r="N332" s="19" t="n">
        <x:f>IFERROR(L332/J332,0)</x:f>
        <x:v>0.68</x:v>
      </x:c>
      <x:c r="O332" s="17" t="str">
        <x:f>IF(K332&gt;MAX(L332,S332),"קואליציית ההקמה 2022",IF(L332&gt;MAX(K332,S332),"אופוזיציה רחבה 2022","רשימות אחרות"))</x:f>
        <x:v>אופוזיציה רחבה 2022</x:v>
      </x:c>
      <x:c r="P332" s="17" t="str">
        <x:f>IF(AND(H332&lt;50%,N332&gt;50%),"כן","לא")</x:f>
        <x:v>כן</x:v>
      </x:c>
      <x:c r="Q332" s="18" t="n">
        <x:f>SUM(AV332,AJ332,AL332,T332,AN332)</x:f>
        <x:v>84</x:v>
      </x:c>
      <x:c r="R332" s="18" t="n">
        <x:f>SUM(Y332,AU332,X332)</x:f>
        <x:v>1</x:v>
      </x:c>
      <x:c r="S332" s="18" t="n">
        <x:f>J332-K332-L332</x:f>
        <x:v>2</x:v>
      </x:c>
      <x:c r="T332" s="18" t="n">
        <x:v>9</x:v>
      </x:c>
      <x:c r="U332" s="18" t="n">
        <x:v>0</x:v>
      </x:c>
      <x:c r="V332" s="18" t="n">
        <x:v>0</x:v>
      </x:c>
      <x:c r="W332" s="18" t="n">
        <x:v>0</x:v>
      </x:c>
      <x:c r="X332" s="18" t="n">
        <x:v>0</x:v>
      </x:c>
      <x:c r="Y332" s="18" t="n">
        <x:v>0</x:v>
      </x:c>
      <x:c r="Z332" s="18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10</x:v>
      </x:c>
      <x:c r="AE332" s="18" t="n">
        <x:v>0</x:v>
      </x:c>
      <x:c r="AF332" s="18" t="n">
        <x:v>0</x:v>
      </x:c>
      <x:c r="AG332" s="18" t="n">
        <x:v>0</x:v>
      </x:c>
      <x:c r="AH332" s="18" t="n">
        <x:v>0</x:v>
      </x:c>
      <x:c r="AI332" s="18" t="n">
        <x:v>0</x:v>
      </x:c>
      <x:c r="AJ332" s="18" t="n">
        <x:v>9</x:v>
      </x:c>
      <x:c r="AK332" s="18" t="n">
        <x:v>0</x:v>
      </x:c>
      <x:c r="AL332" s="18" t="n">
        <x:v>21</x:v>
      </x:c>
      <x:c r="AM332" s="18" t="n">
        <x:v>27</x:v>
      </x:c>
      <x:c r="AN332" s="18" t="n">
        <x:v>4</x:v>
      </x:c>
      <x:c r="AO332" s="18" t="n">
        <x:v>0</x:v>
      </x:c>
      <x:c r="AP332" s="18" t="n">
        <x:v>0</x:v>
      </x:c>
      <x:c r="AQ332" s="18" t="n">
        <x:v>0</x:v>
      </x:c>
      <x:c r="AR332" s="18" t="n">
        <x:v>0</x:v>
      </x:c>
      <x:c r="AS332" s="18" t="n">
        <x:v>0</x:v>
      </x:c>
      <x:c r="AT332" s="18" t="n">
        <x:v>0</x:v>
      </x:c>
      <x:c r="AU332" s="18" t="n">
        <x:v>1</x:v>
      </x:c>
      <x:c r="AV332" s="18" t="n">
        <x:v>41</x:v>
      </x:c>
      <x:c r="AW332" s="18" t="n">
        <x:v>0</x:v>
      </x:c>
      <x:c r="AX332" s="18" t="n">
        <x:v>0</x:v>
      </x:c>
      <x:c r="AY332" s="18" t="n">
        <x:v>0</x:v>
      </x:c>
      <x:c r="AZ332" s="18" t="n">
        <x:v>0</x:v>
      </x:c>
      <x:c r="BA332" s="18" t="n">
        <x:v>0</x:v>
      </x:c>
      <x:c r="BB332" s="18" t="n">
        <x:v>1</x:v>
      </x:c>
      <x:c r="BC332" s="18" t="n">
        <x:v>0</x:v>
      </x:c>
      <x:c r="BD332" s="18" t="n">
        <x:v>1</x:v>
      </x:c>
      <x:c r="BE332" s="18" t="n">
        <x:v>0</x:v>
      </x:c>
      <x:c r="BF332" s="18" t="n">
        <x:v>1</x:v>
      </x:c>
      <x:c r="BG332" s="18" t="n">
        <x:v>0</x:v>
      </x:c>
    </x:row>
    <x:row r="333">
      <x:c r="A333" s="29" t="str">
        <x:v>412</x:v>
      </x:c>
      <x:c r="B333" s="17" t="n">
        <x:v>3176</x:v>
      </x:c>
      <x:c r="C333" s="17" t="str">
        <x:v>גן פריאל</x:v>
      </x:c>
      <x:c r="D333" s="17" t="str">
        <x:v>צ'רניאבסקי אהרון 14</x:v>
      </x:c>
      <x:c r="E333" s="17" t="str">
        <x:v>גבוה מאוד</x:v>
      </x:c>
      <x:c r="F333" s="18" t="n">
        <x:v>606</x:v>
      </x:c>
      <x:c r="G333" s="18" t="n">
        <x:v>299</x:v>
      </x:c>
      <x:c r="H333" s="19" t="n">
        <x:f>IFERROR(G333/F333,0)</x:f>
        <x:v>0.4933993399339934</x:v>
      </x:c>
      <x:c r="I333" s="18" t="n">
        <x:v>6</x:v>
      </x:c>
      <x:c r="J333" s="18" t="n">
        <x:v>293</x:v>
      </x:c>
      <x:c r="K333" s="18" t="n">
        <x:f>SUM(AM333,BF333,W333,AD333)</x:f>
        <x:v>125</x:v>
      </x:c>
      <x:c r="L333" s="18" t="n">
        <x:f>Q333+R333</x:f>
        <x:v>144</x:v>
      </x:c>
      <x:c r="M333" s="19" t="n">
        <x:f>IFERROR(K333/J333,0)</x:f>
        <x:v>0.42662116040955633</x:v>
      </x:c>
      <x:c r="N333" s="19" t="n">
        <x:f>IFERROR(L333/J333,0)</x:f>
        <x:v>0.49146757679180886</x:v>
      </x:c>
      <x:c r="O333" s="17" t="str">
        <x:f>IF(K333&gt;MAX(L333,S333),"קואליציית ההקמה 2022",IF(L333&gt;MAX(K333,S333),"אופוזיציה רחבה 2022","רשימות אחרות"))</x:f>
        <x:v>אופוזיציה רחבה 2022</x:v>
      </x:c>
      <x:c r="P333" s="17" t="str">
        <x:f>IF(AND(H333&lt;50%,N333&gt;50%),"כן","לא")</x:f>
        <x:v>לא</x:v>
      </x:c>
      <x:c r="Q333" s="18" t="n">
        <x:f>SUM(AV333,AJ333,AL333,T333,AN333)</x:f>
        <x:v>143</x:v>
      </x:c>
      <x:c r="R333" s="18" t="n">
        <x:f>SUM(Y333,AU333,X333)</x:f>
        <x:v>1</x:v>
      </x:c>
      <x:c r="S333" s="18" t="n">
        <x:f>J333-K333-L333</x:f>
        <x:v>24</x:v>
      </x:c>
      <x:c r="T333" s="18" t="n">
        <x:v>11</x:v>
      </x:c>
      <x:c r="U333" s="18" t="n">
        <x:v>2</x:v>
      </x:c>
      <x:c r="V333" s="18" t="n">
        <x:v>3</x:v>
      </x:c>
      <x:c r="W333" s="18" t="n">
        <x:v>3</x:v>
      </x:c>
      <x:c r="X333" s="18" t="n">
        <x:v>0</x:v>
      </x:c>
      <x:c r="Y333" s="18" t="n">
        <x:v>1</x:v>
      </x:c>
      <x:c r="Z333" s="18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32</x:v>
      </x:c>
      <x:c r="AE333" s="18" t="n">
        <x:v>0</x:v>
      </x:c>
      <x:c r="AF333" s="18" t="n">
        <x:v>1</x:v>
      </x:c>
      <x:c r="AG333" s="18" t="n">
        <x:v>0</x:v>
      </x:c>
      <x:c r="AH333" s="18" t="n">
        <x:v>0</x:v>
      </x:c>
      <x:c r="AI333" s="18" t="n">
        <x:v>1</x:v>
      </x:c>
      <x:c r="AJ333" s="18" t="n">
        <x:v>19</x:v>
      </x:c>
      <x:c r="AK333" s="18" t="n">
        <x:v>0</x:v>
      </x:c>
      <x:c r="AL333" s="18" t="n">
        <x:v>60</x:v>
      </x:c>
      <x:c r="AM333" s="18" t="n">
        <x:v>80</x:v>
      </x:c>
      <x:c r="AN333" s="18" t="n">
        <x:v>5</x:v>
      </x:c>
      <x:c r="AO333" s="18" t="n">
        <x:v>4</x:v>
      </x:c>
      <x:c r="AP333" s="18" t="n">
        <x:v>0</x:v>
      </x:c>
      <x:c r="AQ333" s="18" t="n">
        <x:v>0</x:v>
      </x:c>
      <x:c r="AR333" s="18" t="n">
        <x:v>4</x:v>
      </x:c>
      <x:c r="AS333" s="18" t="n">
        <x:v>0</x:v>
      </x:c>
      <x:c r="AT333" s="18" t="n">
        <x:v>1</x:v>
      </x:c>
      <x:c r="AU333" s="18" t="n">
        <x:v>0</x:v>
      </x:c>
      <x:c r="AV333" s="18" t="n">
        <x:v>48</x:v>
      </x:c>
      <x:c r="AW333" s="18" t="n">
        <x:v>2</x:v>
      </x:c>
      <x:c r="AX333" s="18" t="n">
        <x:v>0</x:v>
      </x:c>
      <x:c r="AY333" s="18" t="n">
        <x:v>1</x:v>
      </x:c>
      <x:c r="AZ333" s="18" t="n">
        <x:v>0</x:v>
      </x:c>
      <x:c r="BA333" s="18" t="n">
        <x:v>0</x:v>
      </x:c>
      <x:c r="BB333" s="18" t="n">
        <x:v>0</x:v>
      </x:c>
      <x:c r="BC333" s="18" t="n">
        <x:v>1</x:v>
      </x:c>
      <x:c r="BD333" s="18" t="n">
        <x:v>3</x:v>
      </x:c>
      <x:c r="BE333" s="18" t="n">
        <x:v>1</x:v>
      </x:c>
      <x:c r="BF333" s="18" t="n">
        <x:v>10</x:v>
      </x:c>
      <x:c r="BG333" s="18" t="n">
        <x:v>0</x:v>
      </x:c>
    </x:row>
    <x:row r="334">
      <x:c r="A334" s="29" t="str">
        <x:v>418</x:v>
      </x:c>
      <x:c r="B334" s="17" t="n">
        <x:v>3177</x:v>
      </x:c>
      <x:c r="C334" s="17" t="str">
        <x:v>בית אבא חושי</x:v>
      </x:c>
      <x:c r="D334" s="17" t="str">
        <x:v>סילבר אבא הלל 71</x:v>
      </x:c>
      <x:c r="E334" s="17" t="str">
        <x:v>גבוה מאוד</x:v>
      </x:c>
      <x:c r="F334" s="18" t="n">
        <x:v>596</x:v>
      </x:c>
      <x:c r="G334" s="18" t="n">
        <x:v>316</x:v>
      </x:c>
      <x:c r="H334" s="19" t="n">
        <x:f>IFERROR(G334/F334,0)</x:f>
        <x:v>0.5302013422818792</x:v>
      </x:c>
      <x:c r="I334" s="18" t="n">
        <x:v>1</x:v>
      </x:c>
      <x:c r="J334" s="18" t="n">
        <x:v>315</x:v>
      </x:c>
      <x:c r="K334" s="18" t="n">
        <x:f>SUM(AM334,BF334,W334,AD334)</x:f>
        <x:v>144</x:v>
      </x:c>
      <x:c r="L334" s="18" t="n">
        <x:f>Q334+R334</x:f>
        <x:v>151</x:v>
      </x:c>
      <x:c r="M334" s="19" t="n">
        <x:f>IFERROR(K334/J334,0)</x:f>
        <x:v>0.45714285714285713</x:v>
      </x:c>
      <x:c r="N334" s="19" t="n">
        <x:f>IFERROR(L334/J334,0)</x:f>
        <x:v>0.4793650793650794</x:v>
      </x:c>
      <x:c r="O334" s="17" t="str">
        <x:f>IF(K334&gt;MAX(L334,S334),"קואליציית ההקמה 2022",IF(L334&gt;MAX(K334,S334),"אופוזיציה רחבה 2022","רשימות אחרות"))</x:f>
        <x:v>אופוזיציה רחבה 2022</x:v>
      </x:c>
      <x:c r="P334" s="17" t="str">
        <x:f>IF(AND(H334&lt;50%,N334&gt;50%),"כן","לא")</x:f>
        <x:v>לא</x:v>
      </x:c>
      <x:c r="Q334" s="18" t="n">
        <x:f>SUM(AV334,AJ334,AL334,T334,AN334)</x:f>
        <x:v>148</x:v>
      </x:c>
      <x:c r="R334" s="18" t="n">
        <x:f>SUM(Y334,AU334,X334)</x:f>
        <x:v>3</x:v>
      </x:c>
      <x:c r="S334" s="18" t="n">
        <x:f>J334-K334-L334</x:f>
        <x:v>20</x:v>
      </x:c>
      <x:c r="T334" s="18" t="n">
        <x:v>14</x:v>
      </x:c>
      <x:c r="U334" s="18" t="n">
        <x:v>2</x:v>
      </x:c>
      <x:c r="V334" s="18" t="n">
        <x:v>16</x:v>
      </x:c>
      <x:c r="W334" s="18" t="n">
        <x:v>7</x:v>
      </x:c>
      <x:c r="X334" s="18" t="n">
        <x:v>0</x:v>
      </x:c>
      <x:c r="Y334" s="18" t="n">
        <x:v>0</x:v>
      </x:c>
      <x:c r="Z334" s="18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56</x:v>
      </x:c>
      <x:c r="AE334" s="18" t="n">
        <x:v>0</x:v>
      </x:c>
      <x:c r="AF334" s="18" t="n">
        <x:v>0</x:v>
      </x:c>
      <x:c r="AG334" s="18" t="n">
        <x:v>0</x:v>
      </x:c>
      <x:c r="AH334" s="18" t="n">
        <x:v>0</x:v>
      </x:c>
      <x:c r="AI334" s="18" t="n">
        <x:v>0</x:v>
      </x:c>
      <x:c r="AJ334" s="18" t="n">
        <x:v>28</x:v>
      </x:c>
      <x:c r="AK334" s="18" t="n">
        <x:v>0</x:v>
      </x:c>
      <x:c r="AL334" s="18" t="n">
        <x:v>27</x:v>
      </x:c>
      <x:c r="AM334" s="18" t="n">
        <x:v>70</x:v>
      </x:c>
      <x:c r="AN334" s="18" t="n">
        <x:v>12</x:v>
      </x:c>
      <x:c r="AO334" s="18" t="n">
        <x:v>0</x:v>
      </x:c>
      <x:c r="AP334" s="18" t="n">
        <x:v>1</x:v>
      </x:c>
      <x:c r="AQ334" s="18" t="n">
        <x:v>0</x:v>
      </x:c>
      <x:c r="AR334" s="18" t="n">
        <x:v>0</x:v>
      </x:c>
      <x:c r="AS334" s="18" t="n">
        <x:v>0</x:v>
      </x:c>
      <x:c r="AT334" s="18" t="n">
        <x:v>0</x:v>
      </x:c>
      <x:c r="AU334" s="18" t="n">
        <x:v>3</x:v>
      </x:c>
      <x:c r="AV334" s="18" t="n">
        <x:v>67</x:v>
      </x:c>
      <x:c r="AW334" s="18" t="n">
        <x:v>0</x:v>
      </x:c>
      <x:c r="AX334" s="18" t="n">
        <x:v>0</x:v>
      </x:c>
      <x:c r="AY334" s="18" t="n">
        <x:v>0</x:v>
      </x:c>
      <x:c r="AZ334" s="18" t="n">
        <x:v>0</x:v>
      </x:c>
      <x:c r="BA334" s="18" t="n">
        <x:v>0</x:v>
      </x:c>
      <x:c r="BB334" s="18" t="n">
        <x:v>0</x:v>
      </x:c>
      <x:c r="BC334" s="18" t="n">
        <x:v>0</x:v>
      </x:c>
      <x:c r="BD334" s="18" t="n">
        <x:v>1</x:v>
      </x:c>
      <x:c r="BE334" s="18" t="n">
        <x:v>0</x:v>
      </x:c>
      <x:c r="BF334" s="18" t="n">
        <x:v>11</x:v>
      </x:c>
      <x:c r="BG334" s="18" t="n">
        <x:v>0</x:v>
      </x:c>
    </x:row>
    <x:row r="335">
      <x:c r="A335" s="29" t="str">
        <x:v>419</x:v>
      </x:c>
      <x:c r="B335" s="17" t="n">
        <x:v>3178</x:v>
      </x:c>
      <x:c r="C335" s="17" t="str">
        <x:v>בית אבא חושי</x:v>
      </x:c>
      <x:c r="D335" s="17" t="str">
        <x:v>סילבר אבא הלל 71</x:v>
      </x:c>
      <x:c r="E335" s="17" t="str">
        <x:v>גבוה מאוד</x:v>
      </x:c>
      <x:c r="F335" s="18" t="n">
        <x:v>510</x:v>
      </x:c>
      <x:c r="G335" s="18" t="n">
        <x:v>241</x:v>
      </x:c>
      <x:c r="H335" s="19" t="n">
        <x:f>IFERROR(G335/F335,0)</x:f>
        <x:v>0.4725490196078431</x:v>
      </x:c>
      <x:c r="I335" s="18" t="n">
        <x:v>1</x:v>
      </x:c>
      <x:c r="J335" s="18" t="n">
        <x:v>240</x:v>
      </x:c>
      <x:c r="K335" s="18" t="n">
        <x:f>SUM(AM335,BF335,W335,AD335)</x:f>
        <x:v>70</x:v>
      </x:c>
      <x:c r="L335" s="18" t="n">
        <x:f>Q335+R335</x:f>
        <x:v>160</x:v>
      </x:c>
      <x:c r="M335" s="19" t="n">
        <x:f>IFERROR(K335/J335,0)</x:f>
        <x:v>0.2916666666666667</x:v>
      </x:c>
      <x:c r="N335" s="19" t="n">
        <x:f>IFERROR(L335/J335,0)</x:f>
        <x:v>0.6666666666666666</x:v>
      </x:c>
      <x:c r="O335" s="17" t="str">
        <x:f>IF(K335&gt;MAX(L335,S335),"קואליציית ההקמה 2022",IF(L335&gt;MAX(K335,S335),"אופוזיציה רחבה 2022","רשימות אחרות"))</x:f>
        <x:v>אופוזיציה רחבה 2022</x:v>
      </x:c>
      <x:c r="P335" s="17" t="str">
        <x:f>IF(AND(H335&lt;50%,N335&gt;50%),"כן","לא")</x:f>
        <x:v>כן</x:v>
      </x:c>
      <x:c r="Q335" s="18" t="n">
        <x:f>SUM(AV335,AJ335,AL335,T335,AN335)</x:f>
        <x:v>157</x:v>
      </x:c>
      <x:c r="R335" s="18" t="n">
        <x:f>SUM(Y335,AU335,X335)</x:f>
        <x:v>3</x:v>
      </x:c>
      <x:c r="S335" s="18" t="n">
        <x:f>J335-K335-L335</x:f>
        <x:v>10</x:v>
      </x:c>
      <x:c r="T335" s="18" t="n">
        <x:v>6</x:v>
      </x:c>
      <x:c r="U335" s="18" t="n">
        <x:v>2</x:v>
      </x:c>
      <x:c r="V335" s="18" t="n">
        <x:v>2</x:v>
      </x:c>
      <x:c r="W335" s="18" t="n">
        <x:v>8</x:v>
      </x:c>
      <x:c r="X335" s="18" t="n">
        <x:v>1</x:v>
      </x:c>
      <x:c r="Y335" s="18" t="n">
        <x:v>2</x:v>
      </x:c>
      <x:c r="Z335" s="18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6</x:v>
      </x:c>
      <x:c r="AE335" s="18" t="n">
        <x:v>0</x:v>
      </x:c>
      <x:c r="AF335" s="18" t="n">
        <x:v>0</x:v>
      </x:c>
      <x:c r="AG335" s="18" t="n">
        <x:v>0</x:v>
      </x:c>
      <x:c r="AH335" s="18" t="n">
        <x:v>0</x:v>
      </x:c>
      <x:c r="AI335" s="18" t="n">
        <x:v>0</x:v>
      </x:c>
      <x:c r="AJ335" s="18" t="n">
        <x:v>12</x:v>
      </x:c>
      <x:c r="AK335" s="18" t="n">
        <x:v>1</x:v>
      </x:c>
      <x:c r="AL335" s="18" t="n">
        <x:v>62</x:v>
      </x:c>
      <x:c r="AM335" s="18" t="n">
        <x:v>54</x:v>
      </x:c>
      <x:c r="AN335" s="18" t="n">
        <x:v>9</x:v>
      </x:c>
      <x:c r="AO335" s="18" t="n">
        <x:v>0</x:v>
      </x:c>
      <x:c r="AP335" s="18" t="n">
        <x:v>0</x:v>
      </x:c>
      <x:c r="AQ335" s="18" t="n">
        <x:v>0</x:v>
      </x:c>
      <x:c r="AR335" s="18" t="n">
        <x:v>0</x:v>
      </x:c>
      <x:c r="AS335" s="18" t="n">
        <x:v>0</x:v>
      </x:c>
      <x:c r="AT335" s="18" t="n">
        <x:v>0</x:v>
      </x:c>
      <x:c r="AU335" s="18" t="n">
        <x:v>0</x:v>
      </x:c>
      <x:c r="AV335" s="18" t="n">
        <x:v>68</x:v>
      </x:c>
      <x:c r="AW335" s="18" t="n">
        <x:v>0</x:v>
      </x:c>
      <x:c r="AX335" s="18" t="n">
        <x:v>1</x:v>
      </x:c>
      <x:c r="AY335" s="18" t="n">
        <x:v>0</x:v>
      </x:c>
      <x:c r="AZ335" s="18" t="n">
        <x:v>0</x:v>
      </x:c>
      <x:c r="BA335" s="18" t="n">
        <x:v>0</x:v>
      </x:c>
      <x:c r="BB335" s="18" t="n">
        <x:v>1</x:v>
      </x:c>
      <x:c r="BC335" s="18" t="n">
        <x:v>0</x:v>
      </x:c>
      <x:c r="BD335" s="18" t="n">
        <x:v>3</x:v>
      </x:c>
      <x:c r="BE335" s="18" t="n">
        <x:v>0</x:v>
      </x:c>
      <x:c r="BF335" s="18" t="n">
        <x:v>2</x:v>
      </x:c>
      <x:c r="BG335" s="18" t="n">
        <x:v>0</x:v>
      </x:c>
    </x:row>
    <x:row r="336">
      <x:c r="A336" s="29" t="str">
        <x:v>420</x:v>
      </x:c>
      <x:c r="B336" s="17" t="n">
        <x:v>3122</x:v>
      </x:c>
      <x:c r="C336" s="17" t="str">
        <x:v>בי"ס יגאל אלון</x:v>
      </x:c>
      <x:c r="D336" s="17" t="str">
        <x:v>יגאל אלון 8</x:v>
      </x:c>
      <x:c r="E336" s="17" t="str">
        <x:v>גבוה מאוד</x:v>
      </x:c>
      <x:c r="F336" s="18" t="n">
        <x:v>507</x:v>
      </x:c>
      <x:c r="G336" s="18" t="n">
        <x:v>190</x:v>
      </x:c>
      <x:c r="H336" s="19" t="n">
        <x:f>IFERROR(G336/F336,0)</x:f>
        <x:v>0.3747534516765286</x:v>
      </x:c>
      <x:c r="I336" s="18" t="n">
        <x:v>3</x:v>
      </x:c>
      <x:c r="J336" s="18" t="n">
        <x:v>187</x:v>
      </x:c>
      <x:c r="K336" s="18" t="n">
        <x:f>SUM(AM336,BF336,W336,AD336)</x:f>
        <x:v>42</x:v>
      </x:c>
      <x:c r="L336" s="18" t="n">
        <x:f>Q336+R336</x:f>
        <x:v>140</x:v>
      </x:c>
      <x:c r="M336" s="19" t="n">
        <x:f>IFERROR(K336/J336,0)</x:f>
        <x:v>0.22459893048128343</x:v>
      </x:c>
      <x:c r="N336" s="19" t="n">
        <x:f>IFERROR(L336/J336,0)</x:f>
        <x:v>0.7486631016042781</x:v>
      </x:c>
      <x:c r="O336" s="17" t="str">
        <x:f>IF(K336&gt;MAX(L336,S336),"קואליציית ההקמה 2022",IF(L336&gt;MAX(K336,S336),"אופוזיציה רחבה 2022","רשימות אחרות"))</x:f>
        <x:v>אופוזיציה רחבה 2022</x:v>
      </x:c>
      <x:c r="P336" s="17" t="str">
        <x:f>IF(AND(H336&lt;50%,N336&gt;50%),"כן","לא")</x:f>
        <x:v>כן</x:v>
      </x:c>
      <x:c r="Q336" s="18" t="n">
        <x:f>SUM(AV336,AJ336,AL336,T336,AN336)</x:f>
        <x:v>137</x:v>
      </x:c>
      <x:c r="R336" s="18" t="n">
        <x:f>SUM(Y336,AU336,X336)</x:f>
        <x:v>3</x:v>
      </x:c>
      <x:c r="S336" s="18" t="n">
        <x:f>J336-K336-L336</x:f>
        <x:v>5</x:v>
      </x:c>
      <x:c r="T336" s="18" t="n">
        <x:v>15</x:v>
      </x:c>
      <x:c r="U336" s="18" t="n">
        <x:v>3</x:v>
      </x:c>
      <x:c r="V336" s="18" t="n">
        <x:v>1</x:v>
      </x:c>
      <x:c r="W336" s="18" t="n">
        <x:v>0</x:v>
      </x:c>
      <x:c r="X336" s="18" t="n">
        <x:v>2</x:v>
      </x:c>
      <x:c r="Y336" s="18" t="n">
        <x:v>1</x:v>
      </x:c>
      <x:c r="Z336" s="18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6</x:v>
      </x:c>
      <x:c r="AE336" s="18" t="n">
        <x:v>0</x:v>
      </x:c>
      <x:c r="AF336" s="18" t="n">
        <x:v>0</x:v>
      </x:c>
      <x:c r="AG336" s="18" t="n">
        <x:v>0</x:v>
      </x:c>
      <x:c r="AH336" s="18" t="n">
        <x:v>0</x:v>
      </x:c>
      <x:c r="AI336" s="18" t="n">
        <x:v>0</x:v>
      </x:c>
      <x:c r="AJ336" s="18" t="n">
        <x:v>17</x:v>
      </x:c>
      <x:c r="AK336" s="18" t="n">
        <x:v>0</x:v>
      </x:c>
      <x:c r="AL336" s="18" t="n">
        <x:v>24</x:v>
      </x:c>
      <x:c r="AM336" s="18" t="n">
        <x:v>34</x:v>
      </x:c>
      <x:c r="AN336" s="18" t="n">
        <x:v>14</x:v>
      </x:c>
      <x:c r="AO336" s="18" t="n">
        <x:v>0</x:v>
      </x:c>
      <x:c r="AP336" s="18" t="n">
        <x:v>0</x:v>
      </x:c>
      <x:c r="AQ336" s="18" t="n">
        <x:v>0</x:v>
      </x:c>
      <x:c r="AR336" s="18" t="n">
        <x:v>0</x:v>
      </x:c>
      <x:c r="AS336" s="18" t="n">
        <x:v>0</x:v>
      </x:c>
      <x:c r="AT336" s="18" t="n">
        <x:v>0</x:v>
      </x:c>
      <x:c r="AU336" s="18" t="n">
        <x:v>0</x:v>
      </x:c>
      <x:c r="AV336" s="18" t="n">
        <x:v>67</x:v>
      </x:c>
      <x:c r="AW336" s="18" t="n">
        <x:v>0</x:v>
      </x:c>
      <x:c r="AX336" s="18" t="n">
        <x:v>0</x:v>
      </x:c>
      <x:c r="AY336" s="18" t="n">
        <x:v>0</x:v>
      </x:c>
      <x:c r="AZ336" s="18" t="n">
        <x:v>1</x:v>
      </x:c>
      <x:c r="BA336" s="18" t="n">
        <x:v>0</x:v>
      </x:c>
      <x:c r="BB336" s="18" t="n">
        <x:v>0</x:v>
      </x:c>
      <x:c r="BC336" s="18" t="n">
        <x:v>0</x:v>
      </x:c>
      <x:c r="BD336" s="18" t="n">
        <x:v>0</x:v>
      </x:c>
      <x:c r="BE336" s="18" t="n">
        <x:v>0</x:v>
      </x:c>
      <x:c r="BF336" s="18" t="n">
        <x:v>2</x:v>
      </x:c>
      <x:c r="BG336" s="18" t="n">
        <x:v>0</x:v>
      </x:c>
    </x:row>
    <x:row r="337">
      <x:c r="A337" s="29" t="str">
        <x:v>423</x:v>
      </x:c>
      <x:c r="B337" s="17" t="n">
        <x:v>3179</x:v>
      </x:c>
      <x:c r="C337" s="17" t="str">
        <x:v>בית אבא חושי</x:v>
      </x:c>
      <x:c r="D337" s="17" t="str">
        <x:v>סילבר אבא הלל 71</x:v>
      </x:c>
      <x:c r="E337" s="17" t="str">
        <x:v>גבוה מאוד</x:v>
      </x:c>
      <x:c r="F337" s="18" t="n">
        <x:v>466</x:v>
      </x:c>
      <x:c r="G337" s="18" t="n">
        <x:v>178</x:v>
      </x:c>
      <x:c r="H337" s="19" t="n">
        <x:f>IFERROR(G337/F337,0)</x:f>
        <x:v>0.38197424892703863</x:v>
      </x:c>
      <x:c r="I337" s="18" t="n">
        <x:v>0</x:v>
      </x:c>
      <x:c r="J337" s="18" t="n">
        <x:v>178</x:v>
      </x:c>
      <x:c r="K337" s="18" t="n">
        <x:f>SUM(AM337,BF337,W337,AD337)</x:f>
        <x:v>51</x:v>
      </x:c>
      <x:c r="L337" s="18" t="n">
        <x:f>Q337+R337</x:f>
        <x:v>122</x:v>
      </x:c>
      <x:c r="M337" s="19" t="n">
        <x:f>IFERROR(K337/J337,0)</x:f>
        <x:v>0.28651685393258425</x:v>
      </x:c>
      <x:c r="N337" s="19" t="n">
        <x:f>IFERROR(L337/J337,0)</x:f>
        <x:v>0.6853932584269663</x:v>
      </x:c>
      <x:c r="O337" s="17" t="str">
        <x:f>IF(K337&gt;MAX(L337,S337),"קואליציית ההקמה 2022",IF(L337&gt;MAX(K337,S337),"אופוזיציה רחבה 2022","רשימות אחרות"))</x:f>
        <x:v>אופוזיציה רחבה 2022</x:v>
      </x:c>
      <x:c r="P337" s="17" t="str">
        <x:f>IF(AND(H337&lt;50%,N337&gt;50%),"כן","לא")</x:f>
        <x:v>כן</x:v>
      </x:c>
      <x:c r="Q337" s="18" t="n">
        <x:f>SUM(AV337,AJ337,AL337,T337,AN337)</x:f>
        <x:v>122</x:v>
      </x:c>
      <x:c r="R337" s="18" t="n">
        <x:f>SUM(Y337,AU337,X337)</x:f>
        <x:v>0</x:v>
      </x:c>
      <x:c r="S337" s="18" t="n">
        <x:f>J337-K337-L337</x:f>
        <x:v>5</x:v>
      </x:c>
      <x:c r="T337" s="18" t="n">
        <x:v>6</x:v>
      </x:c>
      <x:c r="U337" s="18" t="n">
        <x:v>0</x:v>
      </x:c>
      <x:c r="V337" s="18" t="n">
        <x:v>1</x:v>
      </x:c>
      <x:c r="W337" s="18" t="n">
        <x:v>1</x:v>
      </x:c>
      <x:c r="X337" s="18" t="n">
        <x:v>0</x:v>
      </x:c>
      <x:c r="Y337" s="18" t="n">
        <x:v>0</x:v>
      </x:c>
      <x:c r="Z337" s="18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15</x:v>
      </x:c>
      <x:c r="AE337" s="18" t="n">
        <x:v>0</x:v>
      </x:c>
      <x:c r="AF337" s="18" t="n">
        <x:v>1</x:v>
      </x:c>
      <x:c r="AG337" s="18" t="n">
        <x:v>0</x:v>
      </x:c>
      <x:c r="AH337" s="18" t="n">
        <x:v>0</x:v>
      </x:c>
      <x:c r="AI337" s="18" t="n">
        <x:v>0</x:v>
      </x:c>
      <x:c r="AJ337" s="18" t="n">
        <x:v>18</x:v>
      </x:c>
      <x:c r="AK337" s="18" t="n">
        <x:v>0</x:v>
      </x:c>
      <x:c r="AL337" s="18" t="n">
        <x:v>39</x:v>
      </x:c>
      <x:c r="AM337" s="18" t="n">
        <x:v>35</x:v>
      </x:c>
      <x:c r="AN337" s="18" t="n">
        <x:v>4</x:v>
      </x:c>
      <x:c r="AO337" s="18" t="n">
        <x:v>0</x:v>
      </x:c>
      <x:c r="AP337" s="18" t="n">
        <x:v>0</x:v>
      </x:c>
      <x:c r="AQ337" s="18" t="n">
        <x:v>0</x:v>
      </x:c>
      <x:c r="AR337" s="18" t="n">
        <x:v>0</x:v>
      </x:c>
      <x:c r="AS337" s="18" t="n">
        <x:v>0</x:v>
      </x:c>
      <x:c r="AT337" s="18" t="n">
        <x:v>0</x:v>
      </x:c>
      <x:c r="AU337" s="18" t="n">
        <x:v>0</x:v>
      </x:c>
      <x:c r="AV337" s="18" t="n">
        <x:v>55</x:v>
      </x:c>
      <x:c r="AW337" s="18" t="n">
        <x:v>2</x:v>
      </x:c>
      <x:c r="AX337" s="18" t="n">
        <x:v>1</x:v>
      </x:c>
      <x:c r="AY337" s="18" t="n">
        <x:v>0</x:v>
      </x:c>
      <x:c r="AZ337" s="18" t="n">
        <x:v>0</x:v>
      </x:c>
      <x:c r="BA337" s="18" t="n">
        <x:v>0</x:v>
      </x:c>
      <x:c r="BB337" s="18" t="n">
        <x:v>0</x:v>
      </x:c>
      <x:c r="BC337" s="18" t="n">
        <x:v>0</x:v>
      </x:c>
      <x:c r="BD337" s="18" t="n">
        <x:v>0</x:v>
      </x:c>
      <x:c r="BE337" s="18" t="n">
        <x:v>0</x:v>
      </x:c>
      <x:c r="BF337" s="18" t="n">
        <x:v>0</x:v>
      </x:c>
      <x:c r="BG337" s="18" t="n">
        <x:v>0</x:v>
      </x:c>
    </x:row>
    <x:row r="338">
      <x:c r="A338" s="29" t="str">
        <x:v>425</x:v>
      </x:c>
      <x:c r="B338" s="17" t="n">
        <x:v>3061</x:v>
      </x:c>
      <x:c r="C338" s="17" t="str">
        <x:v>גן שושן</x:v>
      </x:c>
      <x:c r="D338" s="17" t="str">
        <x:v>ורדיה 15</x:v>
      </x:c>
      <x:c r="E338" s="17" t="str">
        <x:v>גבוה מאוד</x:v>
      </x:c>
      <x:c r="F338" s="18" t="n">
        <x:v>606</x:v>
      </x:c>
      <x:c r="G338" s="18" t="n">
        <x:v>438</x:v>
      </x:c>
      <x:c r="H338" s="19" t="n">
        <x:f>IFERROR(G338/F338,0)</x:f>
        <x:v>0.7227722772277227</x:v>
      </x:c>
      <x:c r="I338" s="18" t="n">
        <x:v>1</x:v>
      </x:c>
      <x:c r="J338" s="18" t="n">
        <x:v>437</x:v>
      </x:c>
      <x:c r="K338" s="18" t="n">
        <x:f>SUM(AM338,BF338,W338,AD338)</x:f>
        <x:v>126</x:v>
      </x:c>
      <x:c r="L338" s="18" t="n">
        <x:f>Q338+R338</x:f>
        <x:v>305</x:v>
      </x:c>
      <x:c r="M338" s="19" t="n">
        <x:f>IFERROR(K338/J338,0)</x:f>
        <x:v>0.28832951945080093</x:v>
      </x:c>
      <x:c r="N338" s="19" t="n">
        <x:f>IFERROR(L338/J338,0)</x:f>
        <x:v>0.6979405034324943</x:v>
      </x:c>
      <x:c r="O338" s="17" t="str">
        <x:f>IF(K338&gt;MAX(L338,S338),"קואליציית ההקמה 2022",IF(L338&gt;MAX(K338,S338),"אופוזיציה רחבה 2022","רשימות אחרות"))</x:f>
        <x:v>אופוזיציה רחבה 2022</x:v>
      </x:c>
      <x:c r="P338" s="17" t="str">
        <x:f>IF(AND(H338&lt;50%,N338&gt;50%),"כן","לא")</x:f>
        <x:v>לא</x:v>
      </x:c>
      <x:c r="Q338" s="18" t="n">
        <x:f>SUM(AV338,AJ338,AL338,T338,AN338)</x:f>
        <x:v>300</x:v>
      </x:c>
      <x:c r="R338" s="18" t="n">
        <x:f>SUM(Y338,AU338,X338)</x:f>
        <x:v>5</x:v>
      </x:c>
      <x:c r="S338" s="18" t="n">
        <x:f>J338-K338-L338</x:f>
        <x:v>6</x:v>
      </x:c>
      <x:c r="T338" s="18" t="n">
        <x:v>32</x:v>
      </x:c>
      <x:c r="U338" s="18" t="n">
        <x:v>1</x:v>
      </x:c>
      <x:c r="V338" s="18" t="n">
        <x:v>3</x:v>
      </x:c>
      <x:c r="W338" s="18" t="n">
        <x:v>0</x:v>
      </x:c>
      <x:c r="X338" s="18" t="n">
        <x:v>1</x:v>
      </x:c>
      <x:c r="Y338" s="18" t="n">
        <x:v>4</x:v>
      </x:c>
      <x:c r="Z338" s="18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18</x:v>
      </x:c>
      <x:c r="AE338" s="18" t="n">
        <x:v>0</x:v>
      </x:c>
      <x:c r="AF338" s="18" t="n">
        <x:v>1</x:v>
      </x:c>
      <x:c r="AG338" s="18" t="n">
        <x:v>0</x:v>
      </x:c>
      <x:c r="AH338" s="18" t="n">
        <x:v>0</x:v>
      </x:c>
      <x:c r="AI338" s="18" t="n">
        <x:v>0</x:v>
      </x:c>
      <x:c r="AJ338" s="18" t="n">
        <x:v>85</x:v>
      </x:c>
      <x:c r="AK338" s="18" t="n">
        <x:v>0</x:v>
      </x:c>
      <x:c r="AL338" s="18" t="n">
        <x:v>12</x:v>
      </x:c>
      <x:c r="AM338" s="18" t="n">
        <x:v>103</x:v>
      </x:c>
      <x:c r="AN338" s="18" t="n">
        <x:v>17</x:v>
      </x:c>
      <x:c r="AO338" s="18" t="n">
        <x:v>0</x:v>
      </x:c>
      <x:c r="AP338" s="18" t="n">
        <x:v>0</x:v>
      </x:c>
      <x:c r="AQ338" s="18" t="n">
        <x:v>0</x:v>
      </x:c>
      <x:c r="AR338" s="18" t="n">
        <x:v>0</x:v>
      </x:c>
      <x:c r="AS338" s="18" t="n">
        <x:v>0</x:v>
      </x:c>
      <x:c r="AT338" s="18" t="n">
        <x:v>0</x:v>
      </x:c>
      <x:c r="AU338" s="18" t="n">
        <x:v>0</x:v>
      </x:c>
      <x:c r="AV338" s="18" t="n">
        <x:v>154</x:v>
      </x:c>
      <x:c r="AW338" s="18" t="n">
        <x:v>0</x:v>
      </x:c>
      <x:c r="AX338" s="18" t="n">
        <x:v>1</x:v>
      </x:c>
      <x:c r="AY338" s="18" t="n">
        <x:v>0</x:v>
      </x:c>
      <x:c r="AZ338" s="18" t="n">
        <x:v>0</x:v>
      </x:c>
      <x:c r="BA338" s="18" t="n">
        <x:v>0</x:v>
      </x:c>
      <x:c r="BB338" s="18" t="n">
        <x:v>0</x:v>
      </x:c>
      <x:c r="BC338" s="18" t="n">
        <x:v>0</x:v>
      </x:c>
      <x:c r="BD338" s="18" t="n">
        <x:v>0</x:v>
      </x:c>
      <x:c r="BE338" s="18" t="n">
        <x:v>0</x:v>
      </x:c>
      <x:c r="BF338" s="18" t="n">
        <x:v>5</x:v>
      </x:c>
      <x:c r="BG338" s="18" t="n">
        <x:v>0</x:v>
      </x:c>
    </x:row>
    <x:row r="339">
      <x:c r="A339" s="29" t="str">
        <x:v>426</x:v>
      </x:c>
      <x:c r="B339" s="17" t="n">
        <x:v>2974</x:v>
      </x:c>
      <x:c r="C339" s="17" t="str">
        <x:v>מכללת גורדון</x:v>
      </x:c>
      <x:c r="D339" s="17" t="str">
        <x:v>טשרניחובסקי 73</x:v>
      </x:c>
      <x:c r="E339" s="17" t="str">
        <x:v>גבוה מאוד</x:v>
      </x:c>
      <x:c r="F339" s="18" t="n">
        <x:v>605</x:v>
      </x:c>
      <x:c r="G339" s="18" t="n">
        <x:v>405</x:v>
      </x:c>
      <x:c r="H339" s="19" t="n">
        <x:f>IFERROR(G339/F339,0)</x:f>
        <x:v>0.6694214876033058</x:v>
      </x:c>
      <x:c r="I339" s="18" t="n">
        <x:v>1</x:v>
      </x:c>
      <x:c r="J339" s="18" t="n">
        <x:v>404</x:v>
      </x:c>
      <x:c r="K339" s="18" t="n">
        <x:f>SUM(AM339,BF339,W339,AD339)</x:f>
        <x:v>126</x:v>
      </x:c>
      <x:c r="L339" s="18" t="n">
        <x:f>Q339+R339</x:f>
        <x:v>269</x:v>
      </x:c>
      <x:c r="M339" s="19" t="n">
        <x:f>IFERROR(K339/J339,0)</x:f>
        <x:v>0.3118811881188119</x:v>
      </x:c>
      <x:c r="N339" s="19" t="n">
        <x:f>IFERROR(L339/J339,0)</x:f>
        <x:v>0.6658415841584159</x:v>
      </x:c>
      <x:c r="O339" s="17" t="str">
        <x:f>IF(K339&gt;MAX(L339,S339),"קואליציית ההקמה 2022",IF(L339&gt;MAX(K339,S339),"אופוזיציה רחבה 2022","רשימות אחרות"))</x:f>
        <x:v>אופוזיציה רחבה 2022</x:v>
      </x:c>
      <x:c r="P339" s="17" t="str">
        <x:f>IF(AND(H339&lt;50%,N339&gt;50%),"כן","לא")</x:f>
        <x:v>לא</x:v>
      </x:c>
      <x:c r="Q339" s="18" t="n">
        <x:f>SUM(AV339,AJ339,AL339,T339,AN339)</x:f>
        <x:v>216</x:v>
      </x:c>
      <x:c r="R339" s="18" t="n">
        <x:f>SUM(Y339,AU339,X339)</x:f>
        <x:v>53</x:v>
      </x:c>
      <x:c r="S339" s="18" t="n">
        <x:f>J339-K339-L339</x:f>
        <x:v>9</x:v>
      </x:c>
      <x:c r="T339" s="18" t="n">
        <x:v>15</x:v>
      </x:c>
      <x:c r="U339" s="18" t="n">
        <x:v>3</x:v>
      </x:c>
      <x:c r="V339" s="18" t="n">
        <x:v>5</x:v>
      </x:c>
      <x:c r="W339" s="18" t="n">
        <x:v>1</x:v>
      </x:c>
      <x:c r="X339" s="18" t="n">
        <x:v>20</x:v>
      </x:c>
      <x:c r="Y339" s="18" t="n">
        <x:v>29</x:v>
      </x:c>
      <x:c r="Z339" s="18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29</x:v>
      </x:c>
      <x:c r="AE339" s="18" t="n">
        <x:v>0</x:v>
      </x:c>
      <x:c r="AF339" s="18" t="n">
        <x:v>1</x:v>
      </x:c>
      <x:c r="AG339" s="18" t="n">
        <x:v>0</x:v>
      </x:c>
      <x:c r="AH339" s="18" t="n">
        <x:v>0</x:v>
      </x:c>
      <x:c r="AI339" s="18" t="n">
        <x:v>0</x:v>
      </x:c>
      <x:c r="AJ339" s="18" t="n">
        <x:v>71</x:v>
      </x:c>
      <x:c r="AK339" s="18" t="n">
        <x:v>0</x:v>
      </x:c>
      <x:c r="AL339" s="18" t="n">
        <x:v>22</x:v>
      </x:c>
      <x:c r="AM339" s="18" t="n">
        <x:v>89</x:v>
      </x:c>
      <x:c r="AN339" s="18" t="n">
        <x:v>16</x:v>
      </x:c>
      <x:c r="AO339" s="18" t="n">
        <x:v>0</x:v>
      </x:c>
      <x:c r="AP339" s="18" t="n">
        <x:v>0</x:v>
      </x:c>
      <x:c r="AQ339" s="18" t="n">
        <x:v>0</x:v>
      </x:c>
      <x:c r="AR339" s="18" t="n">
        <x:v>0</x:v>
      </x:c>
      <x:c r="AS339" s="18" t="n">
        <x:v>0</x:v>
      </x:c>
      <x:c r="AT339" s="18" t="n">
        <x:v>0</x:v>
      </x:c>
      <x:c r="AU339" s="18" t="n">
        <x:v>4</x:v>
      </x:c>
      <x:c r="AV339" s="18" t="n">
        <x:v>92</x:v>
      </x:c>
      <x:c r="AW339" s="18" t="n">
        <x:v>0</x:v>
      </x:c>
      <x:c r="AX339" s="18" t="n">
        <x:v>0</x:v>
      </x:c>
      <x:c r="AY339" s="18" t="n">
        <x:v>0</x:v>
      </x:c>
      <x:c r="AZ339" s="18" t="n">
        <x:v>0</x:v>
      </x:c>
      <x:c r="BA339" s="18" t="n">
        <x:v>0</x:v>
      </x:c>
      <x:c r="BB339" s="18" t="n">
        <x:v>0</x:v>
      </x:c>
      <x:c r="BC339" s="18" t="n">
        <x:v>0</x:v>
      </x:c>
      <x:c r="BD339" s="18" t="n">
        <x:v>0</x:v>
      </x:c>
      <x:c r="BE339" s="18" t="n">
        <x:v>0</x:v>
      </x:c>
      <x:c r="BF339" s="18" t="n">
        <x:v>7</x:v>
      </x:c>
      <x:c r="BG339" s="18" t="n">
        <x:v>0</x:v>
      </x:c>
    </x:row>
    <x:row r="340">
      <x:c r="A340" s="29" t="str">
        <x:v>428</x:v>
      </x:c>
      <x:c r="B340" s="17" t="n">
        <x:v>3062</x:v>
      </x:c>
      <x:c r="C340" s="17" t="str">
        <x:v>גן שושן</x:v>
      </x:c>
      <x:c r="D340" s="17" t="str">
        <x:v>ורדיה 15</x:v>
      </x:c>
      <x:c r="E340" s="17" t="str">
        <x:v>גבוה מאוד</x:v>
      </x:c>
      <x:c r="F340" s="18" t="n">
        <x:v>675</x:v>
      </x:c>
      <x:c r="G340" s="18" t="n">
        <x:v>515</x:v>
      </x:c>
      <x:c r="H340" s="19" t="n">
        <x:f>IFERROR(G340/F340,0)</x:f>
        <x:v>0.762962962962963</x:v>
      </x:c>
      <x:c r="I340" s="18" t="n">
        <x:v>0</x:v>
      </x:c>
      <x:c r="J340" s="18" t="n">
        <x:v>515</x:v>
      </x:c>
      <x:c r="K340" s="18" t="n">
        <x:f>SUM(AM340,BF340,W340,AD340)</x:f>
        <x:v>166</x:v>
      </x:c>
      <x:c r="L340" s="18" t="n">
        <x:f>Q340+R340</x:f>
        <x:v>342</x:v>
      </x:c>
      <x:c r="M340" s="19" t="n">
        <x:f>IFERROR(K340/J340,0)</x:f>
        <x:v>0.32233009708737864</x:v>
      </x:c>
      <x:c r="N340" s="19" t="n">
        <x:f>IFERROR(L340/J340,0)</x:f>
        <x:v>0.6640776699029126</x:v>
      </x:c>
      <x:c r="O340" s="17" t="str">
        <x:f>IF(K340&gt;MAX(L340,S340),"קואליציית ההקמה 2022",IF(L340&gt;MAX(K340,S340),"אופוזיציה רחבה 2022","רשימות אחרות"))</x:f>
        <x:v>אופוזיציה רחבה 2022</x:v>
      </x:c>
      <x:c r="P340" s="17" t="str">
        <x:f>IF(AND(H340&lt;50%,N340&gt;50%),"כן","לא")</x:f>
        <x:v>לא</x:v>
      </x:c>
      <x:c r="Q340" s="18" t="n">
        <x:f>SUM(AV340,AJ340,AL340,T340,AN340)</x:f>
        <x:v>338</x:v>
      </x:c>
      <x:c r="R340" s="18" t="n">
        <x:f>SUM(Y340,AU340,X340)</x:f>
        <x:v>4</x:v>
      </x:c>
      <x:c r="S340" s="18" t="n">
        <x:f>J340-K340-L340</x:f>
        <x:v>7</x:v>
      </x:c>
      <x:c r="T340" s="18" t="n">
        <x:v>21</x:v>
      </x:c>
      <x:c r="U340" s="18" t="n">
        <x:v>2</x:v>
      </x:c>
      <x:c r="V340" s="18" t="n">
        <x:v>2</x:v>
      </x:c>
      <x:c r="W340" s="18" t="n">
        <x:v>1</x:v>
      </x:c>
      <x:c r="X340" s="18" t="n">
        <x:v>1</x:v>
      </x:c>
      <x:c r="Y340" s="18" t="n">
        <x:v>2</x:v>
      </x:c>
      <x:c r="Z340" s="18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24</x:v>
      </x:c>
      <x:c r="AE340" s="18" t="n">
        <x:v>0</x:v>
      </x:c>
      <x:c r="AF340" s="18" t="n">
        <x:v>1</x:v>
      </x:c>
      <x:c r="AG340" s="18" t="n">
        <x:v>0</x:v>
      </x:c>
      <x:c r="AH340" s="18" t="n">
        <x:v>0</x:v>
      </x:c>
      <x:c r="AI340" s="18" t="n">
        <x:v>0</x:v>
      </x:c>
      <x:c r="AJ340" s="18" t="n">
        <x:v>76</x:v>
      </x:c>
      <x:c r="AK340" s="18" t="n">
        <x:v>0</x:v>
      </x:c>
      <x:c r="AL340" s="18" t="n">
        <x:v>14</x:v>
      </x:c>
      <x:c r="AM340" s="18" t="n">
        <x:v>134</x:v>
      </x:c>
      <x:c r="AN340" s="18" t="n">
        <x:v>20</x:v>
      </x:c>
      <x:c r="AO340" s="18" t="n">
        <x:v>0</x:v>
      </x:c>
      <x:c r="AP340" s="18" t="n">
        <x:v>0</x:v>
      </x:c>
      <x:c r="AQ340" s="18" t="n">
        <x:v>0</x:v>
      </x:c>
      <x:c r="AR340" s="18" t="n">
        <x:v>0</x:v>
      </x:c>
      <x:c r="AS340" s="18" t="n">
        <x:v>0</x:v>
      </x:c>
      <x:c r="AT340" s="18" t="n">
        <x:v>0</x:v>
      </x:c>
      <x:c r="AU340" s="18" t="n">
        <x:v>1</x:v>
      </x:c>
      <x:c r="AV340" s="18" t="n">
        <x:v>207</x:v>
      </x:c>
      <x:c r="AW340" s="18" t="n">
        <x:v>0</x:v>
      </x:c>
      <x:c r="AX340" s="18" t="n">
        <x:v>0</x:v>
      </x:c>
      <x:c r="AY340" s="18" t="n">
        <x:v>0</x:v>
      </x:c>
      <x:c r="AZ340" s="18" t="n">
        <x:v>0</x:v>
      </x:c>
      <x:c r="BA340" s="18" t="n">
        <x:v>0</x:v>
      </x:c>
      <x:c r="BB340" s="18" t="n">
        <x:v>0</x:v>
      </x:c>
      <x:c r="BC340" s="18" t="n">
        <x:v>0</x:v>
      </x:c>
      <x:c r="BD340" s="18" t="n">
        <x:v>2</x:v>
      </x:c>
      <x:c r="BE340" s="18" t="n">
        <x:v>0</x:v>
      </x:c>
      <x:c r="BF340" s="18" t="n">
        <x:v>7</x:v>
      </x:c>
      <x:c r="BG340" s="18" t="n">
        <x:v>0</x:v>
      </x:c>
    </x:row>
    <x:row r="341">
      <x:c r="A341" s="29" t="str">
        <x:v>429</x:v>
      </x:c>
      <x:c r="B341" s="17" t="n">
        <x:v>3063</x:v>
      </x:c>
      <x:c r="C341" s="17" t="str">
        <x:v>גן ילדים נחל</x:v>
      </x:c>
      <x:c r="D341" s="17" t="str">
        <x:v>צבעוני 17</x:v>
      </x:c>
      <x:c r="E341" s="17" t="str">
        <x:v>גבוה מאוד</x:v>
      </x:c>
      <x:c r="F341" s="18" t="n">
        <x:v>545</x:v>
      </x:c>
      <x:c r="G341" s="18" t="n">
        <x:v>407</x:v>
      </x:c>
      <x:c r="H341" s="19" t="n">
        <x:f>IFERROR(G341/F341,0)</x:f>
        <x:v>0.7467889908256881</x:v>
      </x:c>
      <x:c r="I341" s="18" t="n">
        <x:v>0</x:v>
      </x:c>
      <x:c r="J341" s="18" t="n">
        <x:v>407</x:v>
      </x:c>
      <x:c r="K341" s="18" t="n">
        <x:f>SUM(AM341,BF341,W341,AD341)</x:f>
        <x:v>100</x:v>
      </x:c>
      <x:c r="L341" s="18" t="n">
        <x:f>Q341+R341</x:f>
        <x:v>300</x:v>
      </x:c>
      <x:c r="M341" s="19" t="n">
        <x:f>IFERROR(K341/J341,0)</x:f>
        <x:v>0.2457002457002457</x:v>
      </x:c>
      <x:c r="N341" s="19" t="n">
        <x:f>IFERROR(L341/J341,0)</x:f>
        <x:v>0.7371007371007371</x:v>
      </x:c>
      <x:c r="O341" s="17" t="str">
        <x:f>IF(K341&gt;MAX(L341,S341),"קואליציית ההקמה 2022",IF(L341&gt;MAX(K341,S341),"אופוזיציה רחבה 2022","רשימות אחרות"))</x:f>
        <x:v>אופוזיציה רחבה 2022</x:v>
      </x:c>
      <x:c r="P341" s="17" t="str">
        <x:f>IF(AND(H341&lt;50%,N341&gt;50%),"כן","לא")</x:f>
        <x:v>לא</x:v>
      </x:c>
      <x:c r="Q341" s="18" t="n">
        <x:f>SUM(AV341,AJ341,AL341,T341,AN341)</x:f>
        <x:v>298</x:v>
      </x:c>
      <x:c r="R341" s="18" t="n">
        <x:f>SUM(Y341,AU341,X341)</x:f>
        <x:v>2</x:v>
      </x:c>
      <x:c r="S341" s="18" t="n">
        <x:f>J341-K341-L341</x:f>
        <x:v>7</x:v>
      </x:c>
      <x:c r="T341" s="18" t="n">
        <x:v>17</x:v>
      </x:c>
      <x:c r="U341" s="18" t="n">
        <x:v>3</x:v>
      </x:c>
      <x:c r="V341" s="18" t="n">
        <x:v>3</x:v>
      </x:c>
      <x:c r="W341" s="18" t="n">
        <x:v>0</x:v>
      </x:c>
      <x:c r="X341" s="18" t="n">
        <x:v>2</x:v>
      </x:c>
      <x:c r="Y341" s="18" t="n">
        <x:v>0</x:v>
      </x:c>
      <x:c r="Z341" s="18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14</x:v>
      </x:c>
      <x:c r="AE341" s="18" t="n">
        <x:v>0</x:v>
      </x:c>
      <x:c r="AF341" s="18" t="n">
        <x:v>1</x:v>
      </x:c>
      <x:c r="AG341" s="18" t="n">
        <x:v>0</x:v>
      </x:c>
      <x:c r="AH341" s="18" t="n">
        <x:v>0</x:v>
      </x:c>
      <x:c r="AI341" s="18" t="n">
        <x:v>0</x:v>
      </x:c>
      <x:c r="AJ341" s="18" t="n">
        <x:v>68</x:v>
      </x:c>
      <x:c r="AK341" s="18" t="n">
        <x:v>0</x:v>
      </x:c>
      <x:c r="AL341" s="18" t="n">
        <x:v>14</x:v>
      </x:c>
      <x:c r="AM341" s="18" t="n">
        <x:v>82</x:v>
      </x:c>
      <x:c r="AN341" s="18" t="n">
        <x:v>20</x:v>
      </x:c>
      <x:c r="AO341" s="18" t="n">
        <x:v>0</x:v>
      </x:c>
      <x:c r="AP341" s="18" t="n">
        <x:v>0</x:v>
      </x:c>
      <x:c r="AQ341" s="18" t="n">
        <x:v>0</x:v>
      </x:c>
      <x:c r="AR341" s="18" t="n">
        <x:v>0</x:v>
      </x:c>
      <x:c r="AS341" s="18" t="n">
        <x:v>0</x:v>
      </x:c>
      <x:c r="AT341" s="18" t="n">
        <x:v>0</x:v>
      </x:c>
      <x:c r="AU341" s="18" t="n">
        <x:v>0</x:v>
      </x:c>
      <x:c r="AV341" s="18" t="n">
        <x:v>179</x:v>
      </x:c>
      <x:c r="AW341" s="18" t="n">
        <x:v>0</x:v>
      </x:c>
      <x:c r="AX341" s="18" t="n">
        <x:v>0</x:v>
      </x:c>
      <x:c r="AY341" s="18" t="n">
        <x:v>0</x:v>
      </x:c>
      <x:c r="AZ341" s="18" t="n">
        <x:v>0</x:v>
      </x:c>
      <x:c r="BA341" s="18" t="n">
        <x:v>0</x:v>
      </x:c>
      <x:c r="BB341" s="18" t="n">
        <x:v>0</x:v>
      </x:c>
      <x:c r="BC341" s="18" t="n">
        <x:v>0</x:v>
      </x:c>
      <x:c r="BD341" s="18" t="n">
        <x:v>0</x:v>
      </x:c>
      <x:c r="BE341" s="18" t="n">
        <x:v>0</x:v>
      </x:c>
      <x:c r="BF341" s="18" t="n">
        <x:v>4</x:v>
      </x:c>
      <x:c r="BG341" s="18" t="n">
        <x:v>0</x:v>
      </x:c>
    </x:row>
    <x:row r="342">
      <x:c r="A342" s="29" t="str">
        <x:v>430</x:v>
      </x:c>
      <x:c r="B342" s="17" t="n">
        <x:v>2855</x:v>
      </x:c>
      <x:c r="C342" s="17" t="str">
        <x:v>בי"ס עבד אל רחמן אלחאג'</x:v>
      </x:c>
      <x:c r="D342" s="17" t="str">
        <x:v>גוש עציון 24</x:v>
      </x:c>
      <x:c r="E342" s="17" t="str">
        <x:v>גבוה מאוד</x:v>
      </x:c>
      <x:c r="F342" s="18" t="n">
        <x:v>509</x:v>
      </x:c>
      <x:c r="G342" s="18" t="n">
        <x:v>205</x:v>
      </x:c>
      <x:c r="H342" s="19" t="n">
        <x:f>IFERROR(G342/F342,0)</x:f>
        <x:v>0.4027504911591356</x:v>
      </x:c>
      <x:c r="I342" s="18" t="n">
        <x:v>0</x:v>
      </x:c>
      <x:c r="J342" s="18" t="n">
        <x:v>205</x:v>
      </x:c>
      <x:c r="K342" s="18" t="n">
        <x:f>SUM(AM342,BF342,W342,AD342)</x:f>
        <x:v>21</x:v>
      </x:c>
      <x:c r="L342" s="18" t="n">
        <x:f>Q342+R342</x:f>
        <x:v>179</x:v>
      </x:c>
      <x:c r="M342" s="19" t="n">
        <x:f>IFERROR(K342/J342,0)</x:f>
        <x:v>0.1024390243902439</x:v>
      </x:c>
      <x:c r="N342" s="19" t="n">
        <x:f>IFERROR(L342/J342,0)</x:f>
        <x:v>0.8731707317073171</x:v>
      </x:c>
      <x:c r="O342" s="17" t="str">
        <x:f>IF(K342&gt;MAX(L342,S342),"קואליציית ההקמה 2022",IF(L342&gt;MAX(K342,S342),"אופוזיציה רחבה 2022","רשימות אחרות"))</x:f>
        <x:v>אופוזיציה רחבה 2022</x:v>
      </x:c>
      <x:c r="P342" s="17" t="str">
        <x:f>IF(AND(H342&lt;50%,N342&gt;50%),"כן","לא")</x:f>
        <x:v>כן</x:v>
      </x:c>
      <x:c r="Q342" s="18" t="n">
        <x:f>SUM(AV342,AJ342,AL342,T342,AN342)</x:f>
        <x:v>27</x:v>
      </x:c>
      <x:c r="R342" s="18" t="n">
        <x:f>SUM(Y342,AU342,X342)</x:f>
        <x:v>152</x:v>
      </x:c>
      <x:c r="S342" s="18" t="n">
        <x:f>J342-K342-L342</x:f>
        <x:v>5</x:v>
      </x:c>
      <x:c r="T342" s="18" t="n">
        <x:v>0</x:v>
      </x:c>
      <x:c r="U342" s="18" t="n">
        <x:v>0</x:v>
      </x:c>
      <x:c r="V342" s="18" t="n">
        <x:v>0</x:v>
      </x:c>
      <x:c r="W342" s="18" t="n">
        <x:v>1</x:v>
      </x:c>
      <x:c r="X342" s="18" t="n">
        <x:v>44</x:v>
      </x:c>
      <x:c r="Y342" s="18" t="n">
        <x:v>97</x:v>
      </x:c>
      <x:c r="Z342" s="18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4</x:v>
      </x:c>
      <x:c r="AE342" s="18" t="n">
        <x:v>0</x:v>
      </x:c>
      <x:c r="AF342" s="18" t="n">
        <x:v>0</x:v>
      </x:c>
      <x:c r="AG342" s="18" t="n">
        <x:v>0</x:v>
      </x:c>
      <x:c r="AH342" s="18" t="n">
        <x:v>0</x:v>
      </x:c>
      <x:c r="AI342" s="18" t="n">
        <x:v>0</x:v>
      </x:c>
      <x:c r="AJ342" s="18" t="n">
        <x:v>3</x:v>
      </x:c>
      <x:c r="AK342" s="18" t="n">
        <x:v>0</x:v>
      </x:c>
      <x:c r="AL342" s="18" t="n">
        <x:v>11</x:v>
      </x:c>
      <x:c r="AM342" s="18" t="n">
        <x:v>15</x:v>
      </x:c>
      <x:c r="AN342" s="18" t="n">
        <x:v>2</x:v>
      </x:c>
      <x:c r="AO342" s="18" t="n">
        <x:v>0</x:v>
      </x:c>
      <x:c r="AP342" s="18" t="n">
        <x:v>1</x:v>
      </x:c>
      <x:c r="AQ342" s="18" t="n">
        <x:v>0</x:v>
      </x:c>
      <x:c r="AR342" s="18" t="n">
        <x:v>0</x:v>
      </x:c>
      <x:c r="AS342" s="18" t="n">
        <x:v>0</x:v>
      </x:c>
      <x:c r="AT342" s="18" t="n">
        <x:v>0</x:v>
      </x:c>
      <x:c r="AU342" s="18" t="n">
        <x:v>11</x:v>
      </x:c>
      <x:c r="AV342" s="18" t="n">
        <x:v>11</x:v>
      </x:c>
      <x:c r="AW342" s="18" t="n">
        <x:v>0</x:v>
      </x:c>
      <x:c r="AX342" s="18" t="n">
        <x:v>1</x:v>
      </x:c>
      <x:c r="AY342" s="18" t="n">
        <x:v>1</x:v>
      </x:c>
      <x:c r="AZ342" s="18" t="n">
        <x:v>0</x:v>
      </x:c>
      <x:c r="BA342" s="18" t="n">
        <x:v>0</x:v>
      </x:c>
      <x:c r="BB342" s="18" t="n">
        <x:v>0</x:v>
      </x:c>
      <x:c r="BC342" s="18" t="n">
        <x:v>0</x:v>
      </x:c>
      <x:c r="BD342" s="18" t="n">
        <x:v>0</x:v>
      </x:c>
      <x:c r="BE342" s="18" t="n">
        <x:v>0</x:v>
      </x:c>
      <x:c r="BF342" s="18" t="n">
        <x:v>1</x:v>
      </x:c>
      <x:c r="BG342" s="18" t="n">
        <x:v>2</x:v>
      </x:c>
    </x:row>
    <x:row r="343">
      <x:c r="A343" s="29" t="str">
        <x:v>432.1</x:v>
      </x:c>
      <x:c r="B343" s="17" t="n">
        <x:v>3180</x:v>
      </x:c>
      <x:c r="C343" s="17" t="str">
        <x:v>בי"ס דינור</x:v>
      </x:c>
      <x:c r="D343" s="17" t="str">
        <x:v>קליבנוב 20</x:v>
      </x:c>
      <x:c r="E343" s="17" t="str">
        <x:v>גבוה מאוד</x:v>
      </x:c>
      <x:c r="F343" s="18" t="n">
        <x:v>571</x:v>
      </x:c>
      <x:c r="G343" s="18" t="n">
        <x:v>323</x:v>
      </x:c>
      <x:c r="H343" s="19" t="n">
        <x:f>IFERROR(G343/F343,0)</x:f>
        <x:v>0.5656742556917689</x:v>
      </x:c>
      <x:c r="I343" s="18" t="n">
        <x:v>1</x:v>
      </x:c>
      <x:c r="J343" s="18" t="n">
        <x:v>322</x:v>
      </x:c>
      <x:c r="K343" s="18" t="n">
        <x:f>SUM(AM343,BF343,W343,AD343)</x:f>
        <x:v>186</x:v>
      </x:c>
      <x:c r="L343" s="18" t="n">
        <x:f>Q343+R343</x:f>
        <x:v>127</x:v>
      </x:c>
      <x:c r="M343" s="19" t="n">
        <x:f>IFERROR(K343/J343,0)</x:f>
        <x:v>0.577639751552795</x:v>
      </x:c>
      <x:c r="N343" s="19" t="n">
        <x:f>IFERROR(L343/J343,0)</x:f>
        <x:v>0.3944099378881988</x:v>
      </x:c>
      <x:c r="O343" s="17" t="str">
        <x:f>IF(K343&gt;MAX(L343,S343),"קואליציית ההקמה 2022",IF(L343&gt;MAX(K343,S343),"אופוזיציה רחבה 2022","רשימות אחרות"))</x:f>
        <x:v>קואליציית ההקמה 2022</x:v>
      </x:c>
      <x:c r="P343" s="17" t="str">
        <x:f>IF(AND(H343&lt;50%,N343&gt;50%),"כן","לא")</x:f>
        <x:v>לא</x:v>
      </x:c>
      <x:c r="Q343" s="18" t="n">
        <x:f>SUM(AV343,AJ343,AL343,T343,AN343)</x:f>
        <x:v>126</x:v>
      </x:c>
      <x:c r="R343" s="18" t="n">
        <x:f>SUM(Y343,AU343,X343)</x:f>
        <x:v>1</x:v>
      </x:c>
      <x:c r="S343" s="18" t="n">
        <x:f>J343-K343-L343</x:f>
        <x:v>9</x:v>
      </x:c>
      <x:c r="T343" s="18" t="n">
        <x:v>6</x:v>
      </x:c>
      <x:c r="U343" s="18" t="n">
        <x:v>2</x:v>
      </x:c>
      <x:c r="V343" s="18" t="n">
        <x:v>2</x:v>
      </x:c>
      <x:c r="W343" s="18" t="n">
        <x:v>8</x:v>
      </x:c>
      <x:c r="X343" s="18" t="n">
        <x:v>0</x:v>
      </x:c>
      <x:c r="Y343" s="18" t="n">
        <x:v>0</x:v>
      </x:c>
      <x:c r="Z343" s="18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50</x:v>
      </x:c>
      <x:c r="AE343" s="18" t="n">
        <x:v>0</x:v>
      </x:c>
      <x:c r="AF343" s="18" t="n">
        <x:v>0</x:v>
      </x:c>
      <x:c r="AG343" s="18" t="n">
        <x:v>0</x:v>
      </x:c>
      <x:c r="AH343" s="18" t="n">
        <x:v>0</x:v>
      </x:c>
      <x:c r="AI343" s="18" t="n">
        <x:v>0</x:v>
      </x:c>
      <x:c r="AJ343" s="18" t="n">
        <x:v>21</x:v>
      </x:c>
      <x:c r="AK343" s="18" t="n">
        <x:v>0</x:v>
      </x:c>
      <x:c r="AL343" s="18" t="n">
        <x:v>19</x:v>
      </x:c>
      <x:c r="AM343" s="18" t="n">
        <x:v>108</x:v>
      </x:c>
      <x:c r="AN343" s="18" t="n">
        <x:v>3</x:v>
      </x:c>
      <x:c r="AO343" s="18" t="n">
        <x:v>0</x:v>
      </x:c>
      <x:c r="AP343" s="18" t="n">
        <x:v>0</x:v>
      </x:c>
      <x:c r="AQ343" s="18" t="n">
        <x:v>0</x:v>
      </x:c>
      <x:c r="AR343" s="18" t="n">
        <x:v>0</x:v>
      </x:c>
      <x:c r="AS343" s="18" t="n">
        <x:v>0</x:v>
      </x:c>
      <x:c r="AT343" s="18" t="n">
        <x:v>0</x:v>
      </x:c>
      <x:c r="AU343" s="18" t="n">
        <x:v>1</x:v>
      </x:c>
      <x:c r="AV343" s="18" t="n">
        <x:v>77</x:v>
      </x:c>
      <x:c r="AW343" s="18" t="n">
        <x:v>1</x:v>
      </x:c>
      <x:c r="AX343" s="18" t="n">
        <x:v>1</x:v>
      </x:c>
      <x:c r="AY343" s="18" t="n">
        <x:v>0</x:v>
      </x:c>
      <x:c r="AZ343" s="18" t="n">
        <x:v>0</x:v>
      </x:c>
      <x:c r="BA343" s="18" t="n">
        <x:v>1</x:v>
      </x:c>
      <x:c r="BB343" s="18" t="n">
        <x:v>0</x:v>
      </x:c>
      <x:c r="BC343" s="18" t="n">
        <x:v>0</x:v>
      </x:c>
      <x:c r="BD343" s="18" t="n">
        <x:v>2</x:v>
      </x:c>
      <x:c r="BE343" s="18" t="n">
        <x:v>0</x:v>
      </x:c>
      <x:c r="BF343" s="18" t="n">
        <x:v>20</x:v>
      </x:c>
      <x:c r="BG343" s="18" t="n">
        <x:v>0</x:v>
      </x:c>
    </x:row>
    <x:row r="344">
      <x:c r="A344" s="29" t="str">
        <x:v>432.2</x:v>
      </x:c>
      <x:c r="B344" s="17" t="n">
        <x:v>3181</x:v>
      </x:c>
      <x:c r="C344" s="17" t="str">
        <x:v>בי"ס דינור</x:v>
      </x:c>
      <x:c r="D344" s="17" t="str">
        <x:v>קליבנוב 20</x:v>
      </x:c>
      <x:c r="E344" s="17" t="str">
        <x:v>גבוה מאוד</x:v>
      </x:c>
      <x:c r="F344" s="18" t="n">
        <x:v>571</x:v>
      </x:c>
      <x:c r="G344" s="18" t="n">
        <x:v>354</x:v>
      </x:c>
      <x:c r="H344" s="19" t="n">
        <x:f>IFERROR(G344/F344,0)</x:f>
        <x:v>0.6199649737302977</x:v>
      </x:c>
      <x:c r="I344" s="18" t="n">
        <x:v>3</x:v>
      </x:c>
      <x:c r="J344" s="18" t="n">
        <x:v>351</x:v>
      </x:c>
      <x:c r="K344" s="18" t="n">
        <x:f>SUM(AM344,BF344,W344,AD344)</x:f>
        <x:v>141</x:v>
      </x:c>
      <x:c r="L344" s="18" t="n">
        <x:f>Q344+R344</x:f>
        <x:v>195</x:v>
      </x:c>
      <x:c r="M344" s="19" t="n">
        <x:f>IFERROR(K344/J344,0)</x:f>
        <x:v>0.4017094017094017</x:v>
      </x:c>
      <x:c r="N344" s="19" t="n">
        <x:f>IFERROR(L344/J344,0)</x:f>
        <x:v>0.5555555555555556</x:v>
      </x:c>
      <x:c r="O344" s="17" t="str">
        <x:f>IF(K344&gt;MAX(L344,S344),"קואליציית ההקמה 2022",IF(L344&gt;MAX(K344,S344),"אופוזיציה רחבה 2022","רשימות אחרות"))</x:f>
        <x:v>אופוזיציה רחבה 2022</x:v>
      </x:c>
      <x:c r="P344" s="17" t="str">
        <x:f>IF(AND(H344&lt;50%,N344&gt;50%),"כן","לא")</x:f>
        <x:v>לא</x:v>
      </x:c>
      <x:c r="Q344" s="18" t="n">
        <x:f>SUM(AV344,AJ344,AL344,T344,AN344)</x:f>
        <x:v>194</x:v>
      </x:c>
      <x:c r="R344" s="18" t="n">
        <x:f>SUM(Y344,AU344,X344)</x:f>
        <x:v>1</x:v>
      </x:c>
      <x:c r="S344" s="18" t="n">
        <x:f>J344-K344-L344</x:f>
        <x:v>15</x:v>
      </x:c>
      <x:c r="T344" s="18" t="n">
        <x:v>21</x:v>
      </x:c>
      <x:c r="U344" s="18" t="n">
        <x:v>2</x:v>
      </x:c>
      <x:c r="V344" s="18" t="n">
        <x:v>10</x:v>
      </x:c>
      <x:c r="W344" s="18" t="n">
        <x:v>4</x:v>
      </x:c>
      <x:c r="X344" s="18" t="n">
        <x:v>0</x:v>
      </x:c>
      <x:c r="Y344" s="18" t="n">
        <x:v>1</x:v>
      </x:c>
      <x:c r="Z344" s="18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33</x:v>
      </x:c>
      <x:c r="AE344" s="18" t="n">
        <x:v>0</x:v>
      </x:c>
      <x:c r="AF344" s="18" t="n">
        <x:v>2</x:v>
      </x:c>
      <x:c r="AG344" s="18" t="n">
        <x:v>0</x:v>
      </x:c>
      <x:c r="AH344" s="18" t="n">
        <x:v>0</x:v>
      </x:c>
      <x:c r="AI344" s="18" t="n">
        <x:v>0</x:v>
      </x:c>
      <x:c r="AJ344" s="18" t="n">
        <x:v>29</x:v>
      </x:c>
      <x:c r="AK344" s="18" t="n">
        <x:v>0</x:v>
      </x:c>
      <x:c r="AL344" s="18" t="n">
        <x:v>44</x:v>
      </x:c>
      <x:c r="AM344" s="18" t="n">
        <x:v>97</x:v>
      </x:c>
      <x:c r="AN344" s="18" t="n">
        <x:v>7</x:v>
      </x:c>
      <x:c r="AO344" s="18" t="n">
        <x:v>0</x:v>
      </x:c>
      <x:c r="AP344" s="18" t="n">
        <x:v>0</x:v>
      </x:c>
      <x:c r="AQ344" s="18" t="n">
        <x:v>0</x:v>
      </x:c>
      <x:c r="AR344" s="18" t="n">
        <x:v>0</x:v>
      </x:c>
      <x:c r="AS344" s="18" t="n">
        <x:v>0</x:v>
      </x:c>
      <x:c r="AT344" s="18" t="n">
        <x:v>0</x:v>
      </x:c>
      <x:c r="AU344" s="18" t="n">
        <x:v>0</x:v>
      </x:c>
      <x:c r="AV344" s="18" t="n">
        <x:v>93</x:v>
      </x:c>
      <x:c r="AW344" s="18" t="n">
        <x:v>1</x:v>
      </x:c>
      <x:c r="AX344" s="18" t="n">
        <x:v>0</x:v>
      </x:c>
      <x:c r="AY344" s="18" t="n">
        <x:v>0</x:v>
      </x:c>
      <x:c r="AZ344" s="18" t="n">
        <x:v>0</x:v>
      </x:c>
      <x:c r="BA344" s="18" t="n">
        <x:v>0</x:v>
      </x:c>
      <x:c r="BB344" s="18" t="n">
        <x:v>0</x:v>
      </x:c>
      <x:c r="BC344" s="18" t="n">
        <x:v>0</x:v>
      </x:c>
      <x:c r="BD344" s="18" t="n">
        <x:v>0</x:v>
      </x:c>
      <x:c r="BE344" s="18" t="n">
        <x:v>0</x:v>
      </x:c>
      <x:c r="BF344" s="18" t="n">
        <x:v>7</x:v>
      </x:c>
      <x:c r="BG344" s="18" t="n">
        <x:v>0</x:v>
      </x:c>
    </x:row>
    <x:row r="345">
      <x:c r="A345" s="29" t="str">
        <x:v>432.3</x:v>
      </x:c>
      <x:c r="B345" s="17" t="n">
        <x:v>3182</x:v>
      </x:c>
      <x:c r="C345" s="17" t="str">
        <x:v>בי"ס דינור</x:v>
      </x:c>
      <x:c r="D345" s="17" t="str">
        <x:v>קליבנוב 20</x:v>
      </x:c>
      <x:c r="E345" s="17" t="str">
        <x:v>גבוה מאוד</x:v>
      </x:c>
      <x:c r="F345" s="18" t="n">
        <x:v>571</x:v>
      </x:c>
      <x:c r="G345" s="18" t="n">
        <x:v>309</x:v>
      </x:c>
      <x:c r="H345" s="19" t="n">
        <x:f>IFERROR(G345/F345,0)</x:f>
        <x:v>0.5411558669001751</x:v>
      </x:c>
      <x:c r="I345" s="18" t="n">
        <x:v>0</x:v>
      </x:c>
      <x:c r="J345" s="18" t="n">
        <x:v>309</x:v>
      </x:c>
      <x:c r="K345" s="18" t="n">
        <x:f>SUM(AM345,BF345,W345,AD345)</x:f>
        <x:v>131</x:v>
      </x:c>
      <x:c r="L345" s="18" t="n">
        <x:f>Q345+R345</x:f>
        <x:v>166</x:v>
      </x:c>
      <x:c r="M345" s="19" t="n">
        <x:f>IFERROR(K345/J345,0)</x:f>
        <x:v>0.42394822006472493</x:v>
      </x:c>
      <x:c r="N345" s="19" t="n">
        <x:f>IFERROR(L345/J345,0)</x:f>
        <x:v>0.5372168284789643</x:v>
      </x:c>
      <x:c r="O345" s="17" t="str">
        <x:f>IF(K345&gt;MAX(L345,S345),"קואליציית ההקמה 2022",IF(L345&gt;MAX(K345,S345),"אופוזיציה רחבה 2022","רשימות אחרות"))</x:f>
        <x:v>אופוזיציה רחבה 2022</x:v>
      </x:c>
      <x:c r="P345" s="17" t="str">
        <x:f>IF(AND(H345&lt;50%,N345&gt;50%),"כן","לא")</x:f>
        <x:v>לא</x:v>
      </x:c>
      <x:c r="Q345" s="18" t="n">
        <x:f>SUM(AV345,AJ345,AL345,T345,AN345)</x:f>
        <x:v>166</x:v>
      </x:c>
      <x:c r="R345" s="18" t="n">
        <x:f>SUM(Y345,AU345,X345)</x:f>
        <x:v>0</x:v>
      </x:c>
      <x:c r="S345" s="18" t="n">
        <x:f>J345-K345-L345</x:f>
        <x:v>12</x:v>
      </x:c>
      <x:c r="T345" s="18" t="n">
        <x:v>9</x:v>
      </x:c>
      <x:c r="U345" s="18" t="n">
        <x:v>0</x:v>
      </x:c>
      <x:c r="V345" s="18" t="n">
        <x:v>4</x:v>
      </x:c>
      <x:c r="W345" s="18" t="n">
        <x:v>1</x:v>
      </x:c>
      <x:c r="X345" s="18" t="n">
        <x:v>0</x:v>
      </x:c>
      <x:c r="Y345" s="18" t="n">
        <x:v>0</x:v>
      </x:c>
      <x:c r="Z345" s="18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24</x:v>
      </x:c>
      <x:c r="AE345" s="18" t="n">
        <x:v>1</x:v>
      </x:c>
      <x:c r="AF345" s="18" t="n">
        <x:v>0</x:v>
      </x:c>
      <x:c r="AG345" s="18" t="n">
        <x:v>0</x:v>
      </x:c>
      <x:c r="AH345" s="18" t="n">
        <x:v>0</x:v>
      </x:c>
      <x:c r="AI345" s="18" t="n">
        <x:v>0</x:v>
      </x:c>
      <x:c r="AJ345" s="18" t="n">
        <x:v>34</x:v>
      </x:c>
      <x:c r="AK345" s="18" t="n">
        <x:v>0</x:v>
      </x:c>
      <x:c r="AL345" s="18" t="n">
        <x:v>28</x:v>
      </x:c>
      <x:c r="AM345" s="18" t="n">
        <x:v>86</x:v>
      </x:c>
      <x:c r="AN345" s="18" t="n">
        <x:v>8</x:v>
      </x:c>
      <x:c r="AO345" s="18" t="n">
        <x:v>1</x:v>
      </x:c>
      <x:c r="AP345" s="18" t="n">
        <x:v>0</x:v>
      </x:c>
      <x:c r="AQ345" s="18" t="n">
        <x:v>0</x:v>
      </x:c>
      <x:c r="AR345" s="18" t="n">
        <x:v>0</x:v>
      </x:c>
      <x:c r="AS345" s="18" t="n">
        <x:v>0</x:v>
      </x:c>
      <x:c r="AT345" s="18" t="n">
        <x:v>0</x:v>
      </x:c>
      <x:c r="AU345" s="18" t="n">
        <x:v>0</x:v>
      </x:c>
      <x:c r="AV345" s="18" t="n">
        <x:v>87</x:v>
      </x:c>
      <x:c r="AW345" s="18" t="n">
        <x:v>1</x:v>
      </x:c>
      <x:c r="AX345" s="18" t="n">
        <x:v>2</x:v>
      </x:c>
      <x:c r="AY345" s="18" t="n">
        <x:v>0</x:v>
      </x:c>
      <x:c r="AZ345" s="18" t="n">
        <x:v>0</x:v>
      </x:c>
      <x:c r="BA345" s="18" t="n">
        <x:v>0</x:v>
      </x:c>
      <x:c r="BB345" s="18" t="n">
        <x:v>0</x:v>
      </x:c>
      <x:c r="BC345" s="18" t="n">
        <x:v>1</x:v>
      </x:c>
      <x:c r="BD345" s="18" t="n">
        <x:v>2</x:v>
      </x:c>
      <x:c r="BE345" s="18" t="n">
        <x:v>0</x:v>
      </x:c>
      <x:c r="BF345" s="18" t="n">
        <x:v>20</x:v>
      </x:c>
      <x:c r="BG345" s="18" t="n">
        <x:v>0</x:v>
      </x:c>
    </x:row>
    <x:row r="346">
      <x:c r="A346" s="29" t="str">
        <x:v>432.4</x:v>
      </x:c>
      <x:c r="B346" s="17" t="n">
        <x:v>3183</x:v>
      </x:c>
      <x:c r="C346" s="17" t="str">
        <x:v>בי"ס דינור</x:v>
      </x:c>
      <x:c r="D346" s="17" t="str">
        <x:v>קליבנוב 20</x:v>
      </x:c>
      <x:c r="E346" s="17" t="str">
        <x:v>גבוה מאוד</x:v>
      </x:c>
      <x:c r="F346" s="18" t="n">
        <x:v>571</x:v>
      </x:c>
      <x:c r="G346" s="18" t="n">
        <x:v>339</x:v>
      </x:c>
      <x:c r="H346" s="19" t="n">
        <x:f>IFERROR(G346/F346,0)</x:f>
        <x:v>0.5936952714535902</x:v>
      </x:c>
      <x:c r="I346" s="18" t="n">
        <x:v>1</x:v>
      </x:c>
      <x:c r="J346" s="18" t="n">
        <x:v>338</x:v>
      </x:c>
      <x:c r="K346" s="18" t="n">
        <x:f>SUM(AM346,BF346,W346,AD346)</x:f>
        <x:v>133</x:v>
      </x:c>
      <x:c r="L346" s="18" t="n">
        <x:f>Q346+R346</x:f>
        <x:v>196</x:v>
      </x:c>
      <x:c r="M346" s="19" t="n">
        <x:f>IFERROR(K346/J346,0)</x:f>
        <x:v>0.39349112426035504</x:v>
      </x:c>
      <x:c r="N346" s="19" t="n">
        <x:f>IFERROR(L346/J346,0)</x:f>
        <x:v>0.5798816568047337</x:v>
      </x:c>
      <x:c r="O346" s="17" t="str">
        <x:f>IF(K346&gt;MAX(L346,S346),"קואליציית ההקמה 2022",IF(L346&gt;MAX(K346,S346),"אופוזיציה רחבה 2022","רשימות אחרות"))</x:f>
        <x:v>אופוזיציה רחבה 2022</x:v>
      </x:c>
      <x:c r="P346" s="17" t="str">
        <x:f>IF(AND(H346&lt;50%,N346&gt;50%),"כן","לא")</x:f>
        <x:v>לא</x:v>
      </x:c>
      <x:c r="Q346" s="18" t="n">
        <x:f>SUM(AV346,AJ346,AL346,T346,AN346)</x:f>
        <x:v>194</x:v>
      </x:c>
      <x:c r="R346" s="18" t="n">
        <x:f>SUM(Y346,AU346,X346)</x:f>
        <x:v>2</x:v>
      </x:c>
      <x:c r="S346" s="18" t="n">
        <x:f>J346-K346-L346</x:f>
        <x:v>9</x:v>
      </x:c>
      <x:c r="T346" s="18" t="n">
        <x:v>13</x:v>
      </x:c>
      <x:c r="U346" s="18" t="n">
        <x:v>2</x:v>
      </x:c>
      <x:c r="V346" s="18" t="n">
        <x:v>6</x:v>
      </x:c>
      <x:c r="W346" s="18" t="n">
        <x:v>6</x:v>
      </x:c>
      <x:c r="X346" s="18" t="n">
        <x:v>0</x:v>
      </x:c>
      <x:c r="Y346" s="18" t="n">
        <x:v>1</x:v>
      </x:c>
      <x:c r="Z346" s="18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22</x:v>
      </x:c>
      <x:c r="AE346" s="18" t="n">
        <x:v>0</x:v>
      </x:c>
      <x:c r="AF346" s="18" t="n">
        <x:v>1</x:v>
      </x:c>
      <x:c r="AG346" s="18" t="n">
        <x:v>0</x:v>
      </x:c>
      <x:c r="AH346" s="18" t="n">
        <x:v>0</x:v>
      </x:c>
      <x:c r="AI346" s="18" t="n">
        <x:v>0</x:v>
      </x:c>
      <x:c r="AJ346" s="18" t="n">
        <x:v>39</x:v>
      </x:c>
      <x:c r="AK346" s="18" t="n">
        <x:v>0</x:v>
      </x:c>
      <x:c r="AL346" s="18" t="n">
        <x:v>48</x:v>
      </x:c>
      <x:c r="AM346" s="18" t="n">
        <x:v>96</x:v>
      </x:c>
      <x:c r="AN346" s="18" t="n">
        <x:v>6</x:v>
      </x:c>
      <x:c r="AO346" s="18" t="n">
        <x:v>0</x:v>
      </x:c>
      <x:c r="AP346" s="18" t="n">
        <x:v>0</x:v>
      </x:c>
      <x:c r="AQ346" s="18" t="n">
        <x:v>0</x:v>
      </x:c>
      <x:c r="AR346" s="18" t="n">
        <x:v>0</x:v>
      </x:c>
      <x:c r="AS346" s="18" t="n">
        <x:v>0</x:v>
      </x:c>
      <x:c r="AT346" s="18" t="n">
        <x:v>0</x:v>
      </x:c>
      <x:c r="AU346" s="18" t="n">
        <x:v>1</x:v>
      </x:c>
      <x:c r="AV346" s="18" t="n">
        <x:v>88</x:v>
      </x:c>
      <x:c r="AW346" s="18" t="n">
        <x:v>0</x:v>
      </x:c>
      <x:c r="AX346" s="18" t="n">
        <x:v>0</x:v>
      </x:c>
      <x:c r="AY346" s="18" t="n">
        <x:v>0</x:v>
      </x:c>
      <x:c r="AZ346" s="18" t="n">
        <x:v>0</x:v>
      </x:c>
      <x:c r="BA346" s="18" t="n">
        <x:v>0</x:v>
      </x:c>
      <x:c r="BB346" s="18" t="n">
        <x:v>0</x:v>
      </x:c>
      <x:c r="BC346" s="18" t="n">
        <x:v>0</x:v>
      </x:c>
      <x:c r="BD346" s="18" t="n">
        <x:v>0</x:v>
      </x:c>
      <x:c r="BE346" s="18" t="n">
        <x:v>0</x:v>
      </x:c>
      <x:c r="BF346" s="18" t="n">
        <x:v>9</x:v>
      </x:c>
      <x:c r="BG346" s="18" t="n">
        <x:v>0</x:v>
      </x:c>
    </x:row>
    <x:row r="347">
      <x:c r="A347" s="29" t="str">
        <x:v>432.5</x:v>
      </x:c>
      <x:c r="B347" s="17" t="n">
        <x:v>3184</x:v>
      </x:c>
      <x:c r="C347" s="17" t="str">
        <x:v>בי"ס דינור</x:v>
      </x:c>
      <x:c r="D347" s="17" t="str">
        <x:v>קליבנוב 20</x:v>
      </x:c>
      <x:c r="E347" s="17" t="str">
        <x:v>גבוה מאוד</x:v>
      </x:c>
      <x:c r="F347" s="18" t="n">
        <x:v>570</x:v>
      </x:c>
      <x:c r="G347" s="18" t="n">
        <x:v>319</x:v>
      </x:c>
      <x:c r="H347" s="19" t="n">
        <x:f>IFERROR(G347/F347,0)</x:f>
        <x:v>0.5596491228070175</x:v>
      </x:c>
      <x:c r="I347" s="18" t="n">
        <x:v>2</x:v>
      </x:c>
      <x:c r="J347" s="18" t="n">
        <x:v>317</x:v>
      </x:c>
      <x:c r="K347" s="18" t="n">
        <x:f>SUM(AM347,BF347,W347,AD347)</x:f>
        <x:v>101</x:v>
      </x:c>
      <x:c r="L347" s="18" t="n">
        <x:f>Q347+R347</x:f>
        <x:v>204</x:v>
      </x:c>
      <x:c r="M347" s="19" t="n">
        <x:f>IFERROR(K347/J347,0)</x:f>
        <x:v>0.3186119873817035</x:v>
      </x:c>
      <x:c r="N347" s="19" t="n">
        <x:f>IFERROR(L347/J347,0)</x:f>
        <x:v>0.6435331230283912</x:v>
      </x:c>
      <x:c r="O347" s="17" t="str">
        <x:f>IF(K347&gt;MAX(L347,S347),"קואליציית ההקמה 2022",IF(L347&gt;MAX(K347,S347),"אופוזיציה רחבה 2022","רשימות אחרות"))</x:f>
        <x:v>אופוזיציה רחבה 2022</x:v>
      </x:c>
      <x:c r="P347" s="17" t="str">
        <x:f>IF(AND(H347&lt;50%,N347&gt;50%),"כן","לא")</x:f>
        <x:v>לא</x:v>
      </x:c>
      <x:c r="Q347" s="18" t="n">
        <x:f>SUM(AV347,AJ347,AL347,T347,AN347)</x:f>
        <x:v>204</x:v>
      </x:c>
      <x:c r="R347" s="18" t="n">
        <x:f>SUM(Y347,AU347,X347)</x:f>
        <x:v>0</x:v>
      </x:c>
      <x:c r="S347" s="18" t="n">
        <x:f>J347-K347-L347</x:f>
        <x:v>12</x:v>
      </x:c>
      <x:c r="T347" s="18" t="n">
        <x:v>16</x:v>
      </x:c>
      <x:c r="U347" s="18" t="n">
        <x:v>1</x:v>
      </x:c>
      <x:c r="V347" s="18" t="n">
        <x:v>7</x:v>
      </x:c>
      <x:c r="W347" s="18" t="n">
        <x:v>1</x:v>
      </x:c>
      <x:c r="X347" s="18" t="n">
        <x:v>0</x:v>
      </x:c>
      <x:c r="Y347" s="18" t="n">
        <x:v>0</x:v>
      </x:c>
      <x:c r="Z347" s="18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21</x:v>
      </x:c>
      <x:c r="AE347" s="18" t="n">
        <x:v>0</x:v>
      </x:c>
      <x:c r="AF347" s="18" t="n">
        <x:v>3</x:v>
      </x:c>
      <x:c r="AG347" s="18" t="n">
        <x:v>0</x:v>
      </x:c>
      <x:c r="AH347" s="18" t="n">
        <x:v>0</x:v>
      </x:c>
      <x:c r="AI347" s="18" t="n">
        <x:v>0</x:v>
      </x:c>
      <x:c r="AJ347" s="18" t="n">
        <x:v>32</x:v>
      </x:c>
      <x:c r="AK347" s="18" t="n">
        <x:v>0</x:v>
      </x:c>
      <x:c r="AL347" s="18" t="n">
        <x:v>60</x:v>
      </x:c>
      <x:c r="AM347" s="18" t="n">
        <x:v>73</x:v>
      </x:c>
      <x:c r="AN347" s="18" t="n">
        <x:v>8</x:v>
      </x:c>
      <x:c r="AO347" s="18" t="n">
        <x:v>0</x:v>
      </x:c>
      <x:c r="AP347" s="18" t="n">
        <x:v>0</x:v>
      </x:c>
      <x:c r="AQ347" s="18" t="n">
        <x:v>0</x:v>
      </x:c>
      <x:c r="AR347" s="18" t="n">
        <x:v>0</x:v>
      </x:c>
      <x:c r="AS347" s="18" t="n">
        <x:v>0</x:v>
      </x:c>
      <x:c r="AT347" s="18" t="n">
        <x:v>0</x:v>
      </x:c>
      <x:c r="AU347" s="18" t="n">
        <x:v>0</x:v>
      </x:c>
      <x:c r="AV347" s="18" t="n">
        <x:v>88</x:v>
      </x:c>
      <x:c r="AW347" s="18" t="n">
        <x:v>0</x:v>
      </x:c>
      <x:c r="AX347" s="18" t="n">
        <x:v>0</x:v>
      </x:c>
      <x:c r="AY347" s="18" t="n">
        <x:v>0</x:v>
      </x:c>
      <x:c r="AZ347" s="18" t="n">
        <x:v>0</x:v>
      </x:c>
      <x:c r="BA347" s="18" t="n">
        <x:v>0</x:v>
      </x:c>
      <x:c r="BB347" s="18" t="n">
        <x:v>1</x:v>
      </x:c>
      <x:c r="BC347" s="18" t="n">
        <x:v>0</x:v>
      </x:c>
      <x:c r="BD347" s="18" t="n">
        <x:v>0</x:v>
      </x:c>
      <x:c r="BE347" s="18" t="n">
        <x:v>0</x:v>
      </x:c>
      <x:c r="BF347" s="18" t="n">
        <x:v>6</x:v>
      </x:c>
      <x:c r="BG347" s="18" t="n">
        <x:v>0</x:v>
      </x:c>
    </x:row>
    <x:row r="348">
      <x:c r="A348" s="29" t="str">
        <x:v>433</x:v>
      </x:c>
      <x:c r="B348" s="17" t="n">
        <x:v>3185</x:v>
      </x:c>
      <x:c r="C348" s="17" t="str">
        <x:v>בית אבא חושי</x:v>
      </x:c>
      <x:c r="D348" s="17" t="str">
        <x:v>סילבר אבא הלל 71</x:v>
      </x:c>
      <x:c r="E348" s="17" t="str">
        <x:v>גבוה מאוד</x:v>
      </x:c>
      <x:c r="F348" s="18" t="n">
        <x:v>478</x:v>
      </x:c>
      <x:c r="G348" s="18" t="n">
        <x:v>218</x:v>
      </x:c>
      <x:c r="H348" s="19" t="n">
        <x:f>IFERROR(G348/F348,0)</x:f>
        <x:v>0.4560669456066946</x:v>
      </x:c>
      <x:c r="I348" s="18" t="n">
        <x:v>2</x:v>
      </x:c>
      <x:c r="J348" s="18" t="n">
        <x:v>216</x:v>
      </x:c>
      <x:c r="K348" s="18" t="n">
        <x:f>SUM(AM348,BF348,W348,AD348)</x:f>
        <x:v>73</x:v>
      </x:c>
      <x:c r="L348" s="18" t="n">
        <x:f>Q348+R348</x:f>
        <x:v>138</x:v>
      </x:c>
      <x:c r="M348" s="19" t="n">
        <x:f>IFERROR(K348/J348,0)</x:f>
        <x:v>0.33796296296296297</x:v>
      </x:c>
      <x:c r="N348" s="19" t="n">
        <x:f>IFERROR(L348/J348,0)</x:f>
        <x:v>0.6388888888888888</x:v>
      </x:c>
      <x:c r="O348" s="17" t="str">
        <x:f>IF(K348&gt;MAX(L348,S348),"קואליציית ההקמה 2022",IF(L348&gt;MAX(K348,S348),"אופוזיציה רחבה 2022","רשימות אחרות"))</x:f>
        <x:v>אופוזיציה רחבה 2022</x:v>
      </x:c>
      <x:c r="P348" s="17" t="str">
        <x:f>IF(AND(H348&lt;50%,N348&gt;50%),"כן","לא")</x:f>
        <x:v>כן</x:v>
      </x:c>
      <x:c r="Q348" s="18" t="n">
        <x:f>SUM(AV348,AJ348,AL348,T348,AN348)</x:f>
        <x:v>131</x:v>
      </x:c>
      <x:c r="R348" s="18" t="n">
        <x:f>SUM(Y348,AU348,X348)</x:f>
        <x:v>7</x:v>
      </x:c>
      <x:c r="S348" s="18" t="n">
        <x:f>J348-K348-L348</x:f>
        <x:v>5</x:v>
      </x:c>
      <x:c r="T348" s="18" t="n">
        <x:v>11</x:v>
      </x:c>
      <x:c r="U348" s="18" t="n">
        <x:v>2</x:v>
      </x:c>
      <x:c r="V348" s="18" t="n">
        <x:v>0</x:v>
      </x:c>
      <x:c r="W348" s="18" t="n">
        <x:v>2</x:v>
      </x:c>
      <x:c r="X348" s="18" t="n">
        <x:v>1</x:v>
      </x:c>
      <x:c r="Y348" s="18" t="n">
        <x:v>5</x:v>
      </x:c>
      <x:c r="Z348" s="18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15</x:v>
      </x:c>
      <x:c r="AE348" s="18" t="n">
        <x:v>1</x:v>
      </x:c>
      <x:c r="AF348" s="18" t="n">
        <x:v>1</x:v>
      </x:c>
      <x:c r="AG348" s="18" t="n">
        <x:v>0</x:v>
      </x:c>
      <x:c r="AH348" s="18" t="n">
        <x:v>0</x:v>
      </x:c>
      <x:c r="AI348" s="18" t="n">
        <x:v>0</x:v>
      </x:c>
      <x:c r="AJ348" s="18" t="n">
        <x:v>24</x:v>
      </x:c>
      <x:c r="AK348" s="18" t="n">
        <x:v>0</x:v>
      </x:c>
      <x:c r="AL348" s="18" t="n">
        <x:v>32</x:v>
      </x:c>
      <x:c r="AM348" s="18" t="n">
        <x:v>51</x:v>
      </x:c>
      <x:c r="AN348" s="18" t="n">
        <x:v>8</x:v>
      </x:c>
      <x:c r="AO348" s="18" t="n">
        <x:v>0</x:v>
      </x:c>
      <x:c r="AP348" s="18" t="n">
        <x:v>0</x:v>
      </x:c>
      <x:c r="AQ348" s="18" t="n">
        <x:v>0</x:v>
      </x:c>
      <x:c r="AR348" s="18" t="n">
        <x:v>0</x:v>
      </x:c>
      <x:c r="AS348" s="18" t="n">
        <x:v>0</x:v>
      </x:c>
      <x:c r="AT348" s="18" t="n">
        <x:v>0</x:v>
      </x:c>
      <x:c r="AU348" s="18" t="n">
        <x:v>1</x:v>
      </x:c>
      <x:c r="AV348" s="18" t="n">
        <x:v>56</x:v>
      </x:c>
      <x:c r="AW348" s="18" t="n">
        <x:v>0</x:v>
      </x:c>
      <x:c r="AX348" s="18" t="n">
        <x:v>0</x:v>
      </x:c>
      <x:c r="AY348" s="18" t="n">
        <x:v>0</x:v>
      </x:c>
      <x:c r="AZ348" s="18" t="n">
        <x:v>0</x:v>
      </x:c>
      <x:c r="BA348" s="18" t="n">
        <x:v>0</x:v>
      </x:c>
      <x:c r="BB348" s="18" t="n">
        <x:v>0</x:v>
      </x:c>
      <x:c r="BC348" s="18" t="n">
        <x:v>0</x:v>
      </x:c>
      <x:c r="BD348" s="18" t="n">
        <x:v>1</x:v>
      </x:c>
      <x:c r="BE348" s="18" t="n">
        <x:v>0</x:v>
      </x:c>
      <x:c r="BF348" s="18" t="n">
        <x:v>5</x:v>
      </x:c>
      <x:c r="BG348" s="18" t="n">
        <x:v>0</x:v>
      </x:c>
    </x:row>
    <x:row r="349">
      <x:c r="A349" s="29" t="str">
        <x:v>434</x:v>
      </x:c>
      <x:c r="B349" s="17" t="n">
        <x:v>3064</x:v>
      </x:c>
      <x:c r="C349" s="17" t="str">
        <x:v>גן ניצן</x:v>
      </x:c>
      <x:c r="D349" s="17" t="str">
        <x:v>צבעוני 17</x:v>
      </x:c>
      <x:c r="E349" s="17" t="str">
        <x:v>גבוה מאוד</x:v>
      </x:c>
      <x:c r="F349" s="18" t="n">
        <x:v>681</x:v>
      </x:c>
      <x:c r="G349" s="18" t="n">
        <x:v>482</x:v>
      </x:c>
      <x:c r="H349" s="19" t="n">
        <x:f>IFERROR(G349/F349,0)</x:f>
        <x:v>0.7077826725403817</x:v>
      </x:c>
      <x:c r="I349" s="18" t="n">
        <x:v>2</x:v>
      </x:c>
      <x:c r="J349" s="18" t="n">
        <x:v>480</x:v>
      </x:c>
      <x:c r="K349" s="18" t="n">
        <x:f>SUM(AM349,BF349,W349,AD349)</x:f>
        <x:v>136</x:v>
      </x:c>
      <x:c r="L349" s="18" t="n">
        <x:f>Q349+R349</x:f>
        <x:v>329</x:v>
      </x:c>
      <x:c r="M349" s="19" t="n">
        <x:f>IFERROR(K349/J349,0)</x:f>
        <x:v>0.2833333333333333</x:v>
      </x:c>
      <x:c r="N349" s="19" t="n">
        <x:f>IFERROR(L349/J349,0)</x:f>
        <x:v>0.6854166666666667</x:v>
      </x:c>
      <x:c r="O349" s="17" t="str">
        <x:f>IF(K349&gt;MAX(L349,S349),"קואליציית ההקמה 2022",IF(L349&gt;MAX(K349,S349),"אופוזיציה רחבה 2022","רשימות אחרות"))</x:f>
        <x:v>אופוזיציה רחבה 2022</x:v>
      </x:c>
      <x:c r="P349" s="17" t="str">
        <x:f>IF(AND(H349&lt;50%,N349&gt;50%),"כן","לא")</x:f>
        <x:v>לא</x:v>
      </x:c>
      <x:c r="Q349" s="18" t="n">
        <x:f>SUM(AV349,AJ349,AL349,T349,AN349)</x:f>
        <x:v>327</x:v>
      </x:c>
      <x:c r="R349" s="18" t="n">
        <x:f>SUM(Y349,AU349,X349)</x:f>
        <x:v>2</x:v>
      </x:c>
      <x:c r="S349" s="18" t="n">
        <x:f>J349-K349-L349</x:f>
        <x:v>15</x:v>
      </x:c>
      <x:c r="T349" s="18" t="n">
        <x:v>22</x:v>
      </x:c>
      <x:c r="U349" s="18" t="n">
        <x:v>5</x:v>
      </x:c>
      <x:c r="V349" s="18" t="n">
        <x:v>1</x:v>
      </x:c>
      <x:c r="W349" s="18" t="n">
        <x:v>2</x:v>
      </x:c>
      <x:c r="X349" s="18" t="n">
        <x:v>0</x:v>
      </x:c>
      <x:c r="Y349" s="18" t="n">
        <x:v>1</x:v>
      </x:c>
      <x:c r="Z349" s="18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24</x:v>
      </x:c>
      <x:c r="AE349" s="18" t="n">
        <x:v>0</x:v>
      </x:c>
      <x:c r="AF349" s="18" t="n">
        <x:v>2</x:v>
      </x:c>
      <x:c r="AG349" s="18" t="n">
        <x:v>0</x:v>
      </x:c>
      <x:c r="AH349" s="18" t="n">
        <x:v>0</x:v>
      </x:c>
      <x:c r="AI349" s="18" t="n">
        <x:v>0</x:v>
      </x:c>
      <x:c r="AJ349" s="18" t="n">
        <x:v>90</x:v>
      </x:c>
      <x:c r="AK349" s="18" t="n">
        <x:v>0</x:v>
      </x:c>
      <x:c r="AL349" s="18" t="n">
        <x:v>8</x:v>
      </x:c>
      <x:c r="AM349" s="18" t="n">
        <x:v>107</x:v>
      </x:c>
      <x:c r="AN349" s="18" t="n">
        <x:v>16</x:v>
      </x:c>
      <x:c r="AO349" s="18" t="n">
        <x:v>0</x:v>
      </x:c>
      <x:c r="AP349" s="18" t="n">
        <x:v>0</x:v>
      </x:c>
      <x:c r="AQ349" s="18" t="n">
        <x:v>0</x:v>
      </x:c>
      <x:c r="AR349" s="18" t="n">
        <x:v>0</x:v>
      </x:c>
      <x:c r="AS349" s="18" t="n">
        <x:v>0</x:v>
      </x:c>
      <x:c r="AT349" s="18" t="n">
        <x:v>0</x:v>
      </x:c>
      <x:c r="AU349" s="18" t="n">
        <x:v>1</x:v>
      </x:c>
      <x:c r="AV349" s="18" t="n">
        <x:v>191</x:v>
      </x:c>
      <x:c r="AW349" s="18" t="n">
        <x:v>2</x:v>
      </x:c>
      <x:c r="AX349" s="18" t="n">
        <x:v>2</x:v>
      </x:c>
      <x:c r="AY349" s="18" t="n">
        <x:v>0</x:v>
      </x:c>
      <x:c r="AZ349" s="18" t="n">
        <x:v>0</x:v>
      </x:c>
      <x:c r="BA349" s="18" t="n">
        <x:v>0</x:v>
      </x:c>
      <x:c r="BB349" s="18" t="n">
        <x:v>0</x:v>
      </x:c>
      <x:c r="BC349" s="18" t="n">
        <x:v>1</x:v>
      </x:c>
      <x:c r="BD349" s="18" t="n">
        <x:v>2</x:v>
      </x:c>
      <x:c r="BE349" s="18" t="n">
        <x:v>0</x:v>
      </x:c>
      <x:c r="BF349" s="18" t="n">
        <x:v>3</x:v>
      </x:c>
      <x:c r="BG349" s="18" t="n">
        <x:v>0</x:v>
      </x:c>
    </x:row>
    <x:row r="350">
      <x:c r="A350" s="29" t="str">
        <x:v>435</x:v>
      </x:c>
      <x:c r="B350" s="17" t="n">
        <x:v>3152</x:v>
      </x:c>
      <x:c r="C350" s="17" t="str">
        <x:v>בי"ס תיכון עירוני ג</x:v>
      </x:c>
      <x:c r="D350" s="17" t="str">
        <x:v>גדליהו 22</x:v>
      </x:c>
      <x:c r="E350" s="17" t="str">
        <x:v>גבוה מאוד</x:v>
      </x:c>
      <x:c r="F350" s="18" t="n">
        <x:v>547</x:v>
      </x:c>
      <x:c r="G350" s="18" t="n">
        <x:v>232</x:v>
      </x:c>
      <x:c r="H350" s="19" t="n">
        <x:f>IFERROR(G350/F350,0)</x:f>
        <x:v>0.42413162705667273</x:v>
      </x:c>
      <x:c r="I350" s="18" t="n">
        <x:v>4</x:v>
      </x:c>
      <x:c r="J350" s="18" t="n">
        <x:v>228</x:v>
      </x:c>
      <x:c r="K350" s="18" t="n">
        <x:f>SUM(AM350,BF350,W350,AD350)</x:f>
        <x:v>114</x:v>
      </x:c>
      <x:c r="L350" s="18" t="n">
        <x:f>Q350+R350</x:f>
        <x:v>106</x:v>
      </x:c>
      <x:c r="M350" s="19" t="n">
        <x:f>IFERROR(K350/J350,0)</x:f>
        <x:v>0.5</x:v>
      </x:c>
      <x:c r="N350" s="19" t="n">
        <x:f>IFERROR(L350/J350,0)</x:f>
        <x:v>0.4649122807017544</x:v>
      </x:c>
      <x:c r="O350" s="17" t="str">
        <x:f>IF(K350&gt;MAX(L350,S350),"קואליציית ההקמה 2022",IF(L350&gt;MAX(K350,S350),"אופוזיציה רחבה 2022","רשימות אחרות"))</x:f>
        <x:v>קואליציית ההקמה 2022</x:v>
      </x:c>
      <x:c r="P350" s="17" t="str">
        <x:f>IF(AND(H350&lt;50%,N350&gt;50%),"כן","לא")</x:f>
        <x:v>לא</x:v>
      </x:c>
      <x:c r="Q350" s="18" t="n">
        <x:f>SUM(AV350,AJ350,AL350,T350,AN350)</x:f>
        <x:v>106</x:v>
      </x:c>
      <x:c r="R350" s="18" t="n">
        <x:f>SUM(Y350,AU350,X350)</x:f>
        <x:v>0</x:v>
      </x:c>
      <x:c r="S350" s="18" t="n">
        <x:f>J350-K350-L350</x:f>
        <x:v>8</x:v>
      </x:c>
      <x:c r="T350" s="18" t="n">
        <x:v>10</x:v>
      </x:c>
      <x:c r="U350" s="18" t="n">
        <x:v>1</x:v>
      </x:c>
      <x:c r="V350" s="18" t="n">
        <x:v>1</x:v>
      </x:c>
      <x:c r="W350" s="18" t="n">
        <x:v>31</x:v>
      </x:c>
      <x:c r="X350" s="18" t="n">
        <x:v>0</x:v>
      </x:c>
      <x:c r="Y350" s="18" t="n">
        <x:v>0</x:v>
      </x:c>
      <x:c r="Z350" s="18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24</x:v>
      </x:c>
      <x:c r="AE350" s="18" t="n">
        <x:v>0</x:v>
      </x:c>
      <x:c r="AF350" s="18" t="n">
        <x:v>3</x:v>
      </x:c>
      <x:c r="AG350" s="18" t="n">
        <x:v>0</x:v>
      </x:c>
      <x:c r="AH350" s="18" t="n">
        <x:v>0</x:v>
      </x:c>
      <x:c r="AI350" s="18" t="n">
        <x:v>0</x:v>
      </x:c>
      <x:c r="AJ350" s="18" t="n">
        <x:v>16</x:v>
      </x:c>
      <x:c r="AK350" s="18" t="n">
        <x:v>0</x:v>
      </x:c>
      <x:c r="AL350" s="18" t="n">
        <x:v>32</x:v>
      </x:c>
      <x:c r="AM350" s="18" t="n">
        <x:v>46</x:v>
      </x:c>
      <x:c r="AN350" s="18" t="n">
        <x:v>5</x:v>
      </x:c>
      <x:c r="AO350" s="18" t="n">
        <x:v>1</x:v>
      </x:c>
      <x:c r="AP350" s="18" t="n">
        <x:v>0</x:v>
      </x:c>
      <x:c r="AQ350" s="18" t="n">
        <x:v>0</x:v>
      </x:c>
      <x:c r="AR350" s="18" t="n">
        <x:v>0</x:v>
      </x:c>
      <x:c r="AS350" s="18" t="n">
        <x:v>0</x:v>
      </x:c>
      <x:c r="AT350" s="18" t="n">
        <x:v>0</x:v>
      </x:c>
      <x:c r="AU350" s="18" t="n">
        <x:v>0</x:v>
      </x:c>
      <x:c r="AV350" s="18" t="n">
        <x:v>43</x:v>
      </x:c>
      <x:c r="AW350" s="18" t="n">
        <x:v>0</x:v>
      </x:c>
      <x:c r="AX350" s="18" t="n">
        <x:v>0</x:v>
      </x:c>
      <x:c r="AY350" s="18" t="n">
        <x:v>0</x:v>
      </x:c>
      <x:c r="AZ350" s="18" t="n">
        <x:v>0</x:v>
      </x:c>
      <x:c r="BA350" s="18" t="n">
        <x:v>0</x:v>
      </x:c>
      <x:c r="BB350" s="18" t="n">
        <x:v>0</x:v>
      </x:c>
      <x:c r="BC350" s="18" t="n">
        <x:v>0</x:v>
      </x:c>
      <x:c r="BD350" s="18" t="n">
        <x:v>1</x:v>
      </x:c>
      <x:c r="BE350" s="18" t="n">
        <x:v>0</x:v>
      </x:c>
      <x:c r="BF350" s="18" t="n">
        <x:v>13</x:v>
      </x:c>
      <x:c r="BG350" s="18" t="n">
        <x:v>1</x:v>
      </x:c>
    </x:row>
    <x:row r="351">
      <x:c r="A351" s="29" t="str">
        <x:v>438</x:v>
      </x:c>
      <x:c r="B351" s="17" t="n">
        <x:v>3123</x:v>
      </x:c>
      <x:c r="C351" s="17" t="str">
        <x:v>בי"ס עירוני כי"ח</x:v>
      </x:c>
      <x:c r="D351" s="17" t="str">
        <x:v>בירם ד"ר 35</x:v>
      </x:c>
      <x:c r="E351" s="17" t="str">
        <x:v>גבוה מאוד</x:v>
      </x:c>
      <x:c r="F351" s="18" t="n">
        <x:v>684</x:v>
      </x:c>
      <x:c r="G351" s="18" t="n">
        <x:v>503</x:v>
      </x:c>
      <x:c r="H351" s="19" t="n">
        <x:f>IFERROR(G351/F351,0)</x:f>
        <x:v>0.7353801169590644</x:v>
      </x:c>
      <x:c r="I351" s="18" t="n">
        <x:v>0</x:v>
      </x:c>
      <x:c r="J351" s="18" t="n">
        <x:v>503</x:v>
      </x:c>
      <x:c r="K351" s="18" t="n">
        <x:f>SUM(AM351,BF351,W351,AD351)</x:f>
        <x:v>142</x:v>
      </x:c>
      <x:c r="L351" s="18" t="n">
        <x:f>Q351+R351</x:f>
        <x:v>348</x:v>
      </x:c>
      <x:c r="M351" s="19" t="n">
        <x:f>IFERROR(K351/J351,0)</x:f>
        <x:v>0.2823061630218688</x:v>
      </x:c>
      <x:c r="N351" s="19" t="n">
        <x:f>IFERROR(L351/J351,0)</x:f>
        <x:v>0.6918489065606361</x:v>
      </x:c>
      <x:c r="O351" s="17" t="str">
        <x:f>IF(K351&gt;MAX(L351,S351),"קואליציית ההקמה 2022",IF(L351&gt;MAX(K351,S351),"אופוזיציה רחבה 2022","רשימות אחרות"))</x:f>
        <x:v>אופוזיציה רחבה 2022</x:v>
      </x:c>
      <x:c r="P351" s="17" t="str">
        <x:f>IF(AND(H351&lt;50%,N351&gt;50%),"כן","לא")</x:f>
        <x:v>לא</x:v>
      </x:c>
      <x:c r="Q351" s="18" t="n">
        <x:f>SUM(AV351,AJ351,AL351,T351,AN351)</x:f>
        <x:v>348</x:v>
      </x:c>
      <x:c r="R351" s="18" t="n">
        <x:f>SUM(Y351,AU351,X351)</x:f>
        <x:v>0</x:v>
      </x:c>
      <x:c r="S351" s="18" t="n">
        <x:f>J351-K351-L351</x:f>
        <x:v>13</x:v>
      </x:c>
      <x:c r="T351" s="18" t="n">
        <x:v>26</x:v>
      </x:c>
      <x:c r="U351" s="18" t="n">
        <x:v>1</x:v>
      </x:c>
      <x:c r="V351" s="18" t="n">
        <x:v>6</x:v>
      </x:c>
      <x:c r="W351" s="18" t="n">
        <x:v>1</x:v>
      </x:c>
      <x:c r="X351" s="18" t="n">
        <x:v>0</x:v>
      </x:c>
      <x:c r="Y351" s="18" t="n">
        <x:v>0</x:v>
      </x:c>
      <x:c r="Z351" s="18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20</x:v>
      </x:c>
      <x:c r="AE351" s="18" t="n">
        <x:v>0</x:v>
      </x:c>
      <x:c r="AF351" s="18" t="n">
        <x:v>1</x:v>
      </x:c>
      <x:c r="AG351" s="18" t="n">
        <x:v>0</x:v>
      </x:c>
      <x:c r="AH351" s="18" t="n">
        <x:v>0</x:v>
      </x:c>
      <x:c r="AI351" s="18" t="n">
        <x:v>0</x:v>
      </x:c>
      <x:c r="AJ351" s="18" t="n">
        <x:v>91</x:v>
      </x:c>
      <x:c r="AK351" s="18" t="n">
        <x:v>0</x:v>
      </x:c>
      <x:c r="AL351" s="18" t="n">
        <x:v>12</x:v>
      </x:c>
      <x:c r="AM351" s="18" t="n">
        <x:v>112</x:v>
      </x:c>
      <x:c r="AN351" s="18" t="n">
        <x:v>20</x:v>
      </x:c>
      <x:c r="AO351" s="18" t="n">
        <x:v>0</x:v>
      </x:c>
      <x:c r="AP351" s="18" t="n">
        <x:v>0</x:v>
      </x:c>
      <x:c r="AQ351" s="18" t="n">
        <x:v>0</x:v>
      </x:c>
      <x:c r="AR351" s="18" t="n">
        <x:v>0</x:v>
      </x:c>
      <x:c r="AS351" s="18" t="n">
        <x:v>0</x:v>
      </x:c>
      <x:c r="AT351" s="18" t="n">
        <x:v>0</x:v>
      </x:c>
      <x:c r="AU351" s="18" t="n">
        <x:v>0</x:v>
      </x:c>
      <x:c r="AV351" s="18" t="n">
        <x:v>199</x:v>
      </x:c>
      <x:c r="AW351" s="18" t="n">
        <x:v>0</x:v>
      </x:c>
      <x:c r="AX351" s="18" t="n">
        <x:v>0</x:v>
      </x:c>
      <x:c r="AY351" s="18" t="n">
        <x:v>0</x:v>
      </x:c>
      <x:c r="AZ351" s="18" t="n">
        <x:v>0</x:v>
      </x:c>
      <x:c r="BA351" s="18" t="n">
        <x:v>0</x:v>
      </x:c>
      <x:c r="BB351" s="18" t="n">
        <x:v>0</x:v>
      </x:c>
      <x:c r="BC351" s="18" t="n">
        <x:v>0</x:v>
      </x:c>
      <x:c r="BD351" s="18" t="n">
        <x:v>5</x:v>
      </x:c>
      <x:c r="BE351" s="18" t="n">
        <x:v>0</x:v>
      </x:c>
      <x:c r="BF351" s="18" t="n">
        <x:v>9</x:v>
      </x:c>
      <x:c r="BG351" s="18" t="n">
        <x:v>0</x:v>
      </x:c>
    </x:row>
    <x:row r="352">
      <x:c r="A352" s="29" t="str">
        <x:v>439</x:v>
      </x:c>
      <x:c r="B352" s="17" t="n">
        <x:v>3003</x:v>
      </x:c>
      <x:c r="C352" s="17" t="str">
        <x:v>בי"ס נאות פרס</x:v>
      </x:c>
      <x:c r="D352" s="17" t="str">
        <x:v>כיכר ואצלב האוול</x:v>
      </x:c>
      <x:c r="E352" s="17" t="str">
        <x:v>גבוה מאוד</x:v>
      </x:c>
      <x:c r="F352" s="18" t="n">
        <x:v>654</x:v>
      </x:c>
      <x:c r="G352" s="18" t="n">
        <x:v>509</x:v>
      </x:c>
      <x:c r="H352" s="19" t="n">
        <x:f>IFERROR(G352/F352,0)</x:f>
        <x:v>0.7782874617737003</x:v>
      </x:c>
      <x:c r="I352" s="18" t="n">
        <x:v>5</x:v>
      </x:c>
      <x:c r="J352" s="18" t="n">
        <x:v>504</x:v>
      </x:c>
      <x:c r="K352" s="18" t="n">
        <x:f>SUM(AM352,BF352,W352,AD352)</x:f>
        <x:v>166</x:v>
      </x:c>
      <x:c r="L352" s="18" t="n">
        <x:f>Q352+R352</x:f>
        <x:v>328</x:v>
      </x:c>
      <x:c r="M352" s="19" t="n">
        <x:f>IFERROR(K352/J352,0)</x:f>
        <x:v>0.32936507936507936</x:v>
      </x:c>
      <x:c r="N352" s="19" t="n">
        <x:f>IFERROR(L352/J352,0)</x:f>
        <x:v>0.6507936507936508</x:v>
      </x:c>
      <x:c r="O352" s="17" t="str">
        <x:f>IF(K352&gt;MAX(L352,S352),"קואליציית ההקמה 2022",IF(L352&gt;MAX(K352,S352),"אופוזיציה רחבה 2022","רשימות אחרות"))</x:f>
        <x:v>אופוזיציה רחבה 2022</x:v>
      </x:c>
      <x:c r="P352" s="17" t="str">
        <x:f>IF(AND(H352&lt;50%,N352&gt;50%),"כן","לא")</x:f>
        <x:v>לא</x:v>
      </x:c>
      <x:c r="Q352" s="18" t="n">
        <x:f>SUM(AV352,AJ352,AL352,T352,AN352)</x:f>
        <x:v>301</x:v>
      </x:c>
      <x:c r="R352" s="18" t="n">
        <x:f>SUM(Y352,AU352,X352)</x:f>
        <x:v>27</x:v>
      </x:c>
      <x:c r="S352" s="18" t="n">
        <x:f>J352-K352-L352</x:f>
        <x:v>10</x:v>
      </x:c>
      <x:c r="T352" s="18" t="n">
        <x:v>27</x:v>
      </x:c>
      <x:c r="U352" s="18" t="n">
        <x:v>3</x:v>
      </x:c>
      <x:c r="V352" s="18" t="n">
        <x:v>2</x:v>
      </x:c>
      <x:c r="W352" s="18" t="n">
        <x:v>0</x:v>
      </x:c>
      <x:c r="X352" s="18" t="n">
        <x:v>6</x:v>
      </x:c>
      <x:c r="Y352" s="18" t="n">
        <x:v>16</x:v>
      </x:c>
      <x:c r="Z352" s="18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30</x:v>
      </x:c>
      <x:c r="AE352" s="18" t="n">
        <x:v>0</x:v>
      </x:c>
      <x:c r="AF352" s="18" t="n">
        <x:v>3</x:v>
      </x:c>
      <x:c r="AG352" s="18" t="n">
        <x:v>0</x:v>
      </x:c>
      <x:c r="AH352" s="18" t="n">
        <x:v>0</x:v>
      </x:c>
      <x:c r="AI352" s="18" t="n">
        <x:v>0</x:v>
      </x:c>
      <x:c r="AJ352" s="18" t="n">
        <x:v>71</x:v>
      </x:c>
      <x:c r="AK352" s="18" t="n">
        <x:v>0</x:v>
      </x:c>
      <x:c r="AL352" s="18" t="n">
        <x:v>26</x:v>
      </x:c>
      <x:c r="AM352" s="18" t="n">
        <x:v>129</x:v>
      </x:c>
      <x:c r="AN352" s="18" t="n">
        <x:v>8</x:v>
      </x:c>
      <x:c r="AO352" s="18" t="n">
        <x:v>0</x:v>
      </x:c>
      <x:c r="AP352" s="18" t="n">
        <x:v>0</x:v>
      </x:c>
      <x:c r="AQ352" s="18" t="n">
        <x:v>0</x:v>
      </x:c>
      <x:c r="AR352" s="18" t="n">
        <x:v>0</x:v>
      </x:c>
      <x:c r="AS352" s="18" t="n">
        <x:v>0</x:v>
      </x:c>
      <x:c r="AT352" s="18" t="n">
        <x:v>0</x:v>
      </x:c>
      <x:c r="AU352" s="18" t="n">
        <x:v>5</x:v>
      </x:c>
      <x:c r="AV352" s="18" t="n">
        <x:v>169</x:v>
      </x:c>
      <x:c r="AW352" s="18" t="n">
        <x:v>0</x:v>
      </x:c>
      <x:c r="AX352" s="18" t="n">
        <x:v>0</x:v>
      </x:c>
      <x:c r="AY352" s="18" t="n">
        <x:v>0</x:v>
      </x:c>
      <x:c r="AZ352" s="18" t="n">
        <x:v>1</x:v>
      </x:c>
      <x:c r="BA352" s="18" t="n">
        <x:v>0</x:v>
      </x:c>
      <x:c r="BB352" s="18" t="n">
        <x:v>0</x:v>
      </x:c>
      <x:c r="BC352" s="18" t="n">
        <x:v>0</x:v>
      </x:c>
      <x:c r="BD352" s="18" t="n">
        <x:v>1</x:v>
      </x:c>
      <x:c r="BE352" s="18" t="n">
        <x:v>0</x:v>
      </x:c>
      <x:c r="BF352" s="18" t="n">
        <x:v>7</x:v>
      </x:c>
      <x:c r="BG352" s="18" t="n">
        <x:v>0</x:v>
      </x:c>
    </x:row>
    <x:row r="353">
      <x:c r="A353" s="29" t="str">
        <x:v>440</x:v>
      </x:c>
      <x:c r="B353" s="17" t="n">
        <x:v>3004</x:v>
      </x:c>
      <x:c r="C353" s="17" t="str">
        <x:v>בי"ס נאות פרס</x:v>
      </x:c>
      <x:c r="D353" s="17" t="str">
        <x:v>כיכר ואצלב האוול</x:v>
      </x:c>
      <x:c r="E353" s="17" t="str">
        <x:v>גבוה מאוד</x:v>
      </x:c>
      <x:c r="F353" s="18" t="n">
        <x:v>544</x:v>
      </x:c>
      <x:c r="G353" s="18" t="n">
        <x:v>416</x:v>
      </x:c>
      <x:c r="H353" s="19" t="n">
        <x:f>IFERROR(G353/F353,0)</x:f>
        <x:v>0.7647058823529411</x:v>
      </x:c>
      <x:c r="I353" s="18" t="n">
        <x:v>1</x:v>
      </x:c>
      <x:c r="J353" s="18" t="n">
        <x:v>415</x:v>
      </x:c>
      <x:c r="K353" s="18" t="n">
        <x:f>SUM(AM353,BF353,W353,AD353)</x:f>
        <x:v>125</x:v>
      </x:c>
      <x:c r="L353" s="18" t="n">
        <x:f>Q353+R353</x:f>
        <x:v>277</x:v>
      </x:c>
      <x:c r="M353" s="19" t="n">
        <x:f>IFERROR(K353/J353,0)</x:f>
        <x:v>0.30120481927710846</x:v>
      </x:c>
      <x:c r="N353" s="19" t="n">
        <x:f>IFERROR(L353/J353,0)</x:f>
        <x:v>0.6674698795180722</x:v>
      </x:c>
      <x:c r="O353" s="17" t="str">
        <x:f>IF(K353&gt;MAX(L353,S353),"קואליציית ההקמה 2022",IF(L353&gt;MAX(K353,S353),"אופוזיציה רחבה 2022","רשימות אחרות"))</x:f>
        <x:v>אופוזיציה רחבה 2022</x:v>
      </x:c>
      <x:c r="P353" s="17" t="str">
        <x:f>IF(AND(H353&lt;50%,N353&gt;50%),"כן","לא")</x:f>
        <x:v>לא</x:v>
      </x:c>
      <x:c r="Q353" s="18" t="n">
        <x:f>SUM(AV353,AJ353,AL353,T353,AN353)</x:f>
        <x:v>252</x:v>
      </x:c>
      <x:c r="R353" s="18" t="n">
        <x:f>SUM(Y353,AU353,X353)</x:f>
        <x:v>25</x:v>
      </x:c>
      <x:c r="S353" s="18" t="n">
        <x:f>J353-K353-L353</x:f>
        <x:v>13</x:v>
      </x:c>
      <x:c r="T353" s="18" t="n">
        <x:v>14</x:v>
      </x:c>
      <x:c r="U353" s="18" t="n">
        <x:v>3</x:v>
      </x:c>
      <x:c r="V353" s="18" t="n">
        <x:v>4</x:v>
      </x:c>
      <x:c r="W353" s="18" t="n">
        <x:v>1</x:v>
      </x:c>
      <x:c r="X353" s="18" t="n">
        <x:v>9</x:v>
      </x:c>
      <x:c r="Y353" s="18" t="n">
        <x:v>13</x:v>
      </x:c>
      <x:c r="Z353" s="18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18</x:v>
      </x:c>
      <x:c r="AE353" s="18" t="n">
        <x:v>0</x:v>
      </x:c>
      <x:c r="AF353" s="18" t="n">
        <x:v>3</x:v>
      </x:c>
      <x:c r="AG353" s="18" t="n">
        <x:v>0</x:v>
      </x:c>
      <x:c r="AH353" s="18" t="n">
        <x:v>0</x:v>
      </x:c>
      <x:c r="AI353" s="18" t="n">
        <x:v>0</x:v>
      </x:c>
      <x:c r="AJ353" s="18" t="n">
        <x:v>56</x:v>
      </x:c>
      <x:c r="AK353" s="18" t="n">
        <x:v>0</x:v>
      </x:c>
      <x:c r="AL353" s="18" t="n">
        <x:v>33</x:v>
      </x:c>
      <x:c r="AM353" s="18" t="n">
        <x:v>101</x:v>
      </x:c>
      <x:c r="AN353" s="18" t="n">
        <x:v>11</x:v>
      </x:c>
      <x:c r="AO353" s="18" t="n">
        <x:v>0</x:v>
      </x:c>
      <x:c r="AP353" s="18" t="n">
        <x:v>1</x:v>
      </x:c>
      <x:c r="AQ353" s="18" t="n">
        <x:v>0</x:v>
      </x:c>
      <x:c r="AR353" s="18" t="n">
        <x:v>0</x:v>
      </x:c>
      <x:c r="AS353" s="18" t="n">
        <x:v>0</x:v>
      </x:c>
      <x:c r="AT353" s="18" t="n">
        <x:v>0</x:v>
      </x:c>
      <x:c r="AU353" s="18" t="n">
        <x:v>3</x:v>
      </x:c>
      <x:c r="AV353" s="18" t="n">
        <x:v>138</x:v>
      </x:c>
      <x:c r="AW353" s="18" t="n">
        <x:v>1</x:v>
      </x:c>
      <x:c r="AX353" s="18" t="n">
        <x:v>0</x:v>
      </x:c>
      <x:c r="AY353" s="18" t="n">
        <x:v>0</x:v>
      </x:c>
      <x:c r="AZ353" s="18" t="n">
        <x:v>0</x:v>
      </x:c>
      <x:c r="BA353" s="18" t="n">
        <x:v>0</x:v>
      </x:c>
      <x:c r="BB353" s="18" t="n">
        <x:v>0</x:v>
      </x:c>
      <x:c r="BC353" s="18" t="n">
        <x:v>0</x:v>
      </x:c>
      <x:c r="BD353" s="18" t="n">
        <x:v>1</x:v>
      </x:c>
      <x:c r="BE353" s="18" t="n">
        <x:v>0</x:v>
      </x:c>
      <x:c r="BF353" s="18" t="n">
        <x:v>5</x:v>
      </x:c>
      <x:c r="BG353" s="18" t="n">
        <x:v>0</x:v>
      </x:c>
    </x:row>
    <x:row r="354">
      <x:c r="A354" s="29" t="str">
        <x:v>441</x:v>
      </x:c>
      <x:c r="B354" s="17" t="n">
        <x:v>3005</x:v>
      </x:c>
      <x:c r="C354" s="17" t="str">
        <x:v>בי"ס נאות פרס</x:v>
      </x:c>
      <x:c r="D354" s="17" t="str">
        <x:v>כיכר ואצלב האוול</x:v>
      </x:c>
      <x:c r="E354" s="17" t="str">
        <x:v>גבוה מאוד</x:v>
      </x:c>
      <x:c r="F354" s="18" t="n">
        <x:v>582</x:v>
      </x:c>
      <x:c r="G354" s="18" t="n">
        <x:v>474</x:v>
      </x:c>
      <x:c r="H354" s="19" t="n">
        <x:f>IFERROR(G354/F354,0)</x:f>
        <x:v>0.8144329896907216</x:v>
      </x:c>
      <x:c r="I354" s="18" t="n">
        <x:v>0</x:v>
      </x:c>
      <x:c r="J354" s="18" t="n">
        <x:v>474</x:v>
      </x:c>
      <x:c r="K354" s="18" t="n">
        <x:f>SUM(AM354,BF354,W354,AD354)</x:f>
        <x:v>116</x:v>
      </x:c>
      <x:c r="L354" s="18" t="n">
        <x:f>Q354+R354</x:f>
        <x:v>348</x:v>
      </x:c>
      <x:c r="M354" s="19" t="n">
        <x:f>IFERROR(K354/J354,0)</x:f>
        <x:v>0.24472573839662448</x:v>
      </x:c>
      <x:c r="N354" s="19" t="n">
        <x:f>IFERROR(L354/J354,0)</x:f>
        <x:v>0.7341772151898734</x:v>
      </x:c>
      <x:c r="O354" s="17" t="str">
        <x:f>IF(K354&gt;MAX(L354,S354),"קואליציית ההקמה 2022",IF(L354&gt;MAX(K354,S354),"אופוזיציה רחבה 2022","רשימות אחרות"))</x:f>
        <x:v>אופוזיציה רחבה 2022</x:v>
      </x:c>
      <x:c r="P354" s="17" t="str">
        <x:f>IF(AND(H354&lt;50%,N354&gt;50%),"כן","לא")</x:f>
        <x:v>לא</x:v>
      </x:c>
      <x:c r="Q354" s="18" t="n">
        <x:f>SUM(AV354,AJ354,AL354,T354,AN354)</x:f>
        <x:v>318</x:v>
      </x:c>
      <x:c r="R354" s="18" t="n">
        <x:f>SUM(Y354,AU354,X354)</x:f>
        <x:v>30</x:v>
      </x:c>
      <x:c r="S354" s="18" t="n">
        <x:f>J354-K354-L354</x:f>
        <x:v>10</x:v>
      </x:c>
      <x:c r="T354" s="18" t="n">
        <x:v>28</x:v>
      </x:c>
      <x:c r="U354" s="18" t="n">
        <x:v>6</x:v>
      </x:c>
      <x:c r="V354" s="18" t="n">
        <x:v>2</x:v>
      </x:c>
      <x:c r="W354" s="18" t="n">
        <x:v>1</x:v>
      </x:c>
      <x:c r="X354" s="18" t="n">
        <x:v>11</x:v>
      </x:c>
      <x:c r="Y354" s="18" t="n">
        <x:v>15</x:v>
      </x:c>
      <x:c r="Z354" s="18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21</x:v>
      </x:c>
      <x:c r="AE354" s="18" t="n">
        <x:v>1</x:v>
      </x:c>
      <x:c r="AF354" s="18" t="n">
        <x:v>0</x:v>
      </x:c>
      <x:c r="AG354" s="18" t="n">
        <x:v>0</x:v>
      </x:c>
      <x:c r="AH354" s="18" t="n">
        <x:v>0</x:v>
      </x:c>
      <x:c r="AI354" s="18" t="n">
        <x:v>0</x:v>
      </x:c>
      <x:c r="AJ354" s="18" t="n">
        <x:v>79</x:v>
      </x:c>
      <x:c r="AK354" s="18" t="n">
        <x:v>0</x:v>
      </x:c>
      <x:c r="AL354" s="18" t="n">
        <x:v>37</x:v>
      </x:c>
      <x:c r="AM354" s="18" t="n">
        <x:v>88</x:v>
      </x:c>
      <x:c r="AN354" s="18" t="n">
        <x:v>12</x:v>
      </x:c>
      <x:c r="AO354" s="18" t="n">
        <x:v>0</x:v>
      </x:c>
      <x:c r="AP354" s="18" t="n">
        <x:v>0</x:v>
      </x:c>
      <x:c r="AQ354" s="18" t="n">
        <x:v>0</x:v>
      </x:c>
      <x:c r="AR354" s="18" t="n">
        <x:v>0</x:v>
      </x:c>
      <x:c r="AS354" s="18" t="n">
        <x:v>0</x:v>
      </x:c>
      <x:c r="AT354" s="18" t="n">
        <x:v>0</x:v>
      </x:c>
      <x:c r="AU354" s="18" t="n">
        <x:v>4</x:v>
      </x:c>
      <x:c r="AV354" s="18" t="n">
        <x:v>162</x:v>
      </x:c>
      <x:c r="AW354" s="18" t="n">
        <x:v>0</x:v>
      </x:c>
      <x:c r="AX354" s="18" t="n">
        <x:v>0</x:v>
      </x:c>
      <x:c r="AY354" s="18" t="n">
        <x:v>0</x:v>
      </x:c>
      <x:c r="AZ354" s="18" t="n">
        <x:v>0</x:v>
      </x:c>
      <x:c r="BA354" s="18" t="n">
        <x:v>0</x:v>
      </x:c>
      <x:c r="BB354" s="18" t="n">
        <x:v>0</x:v>
      </x:c>
      <x:c r="BC354" s="18" t="n">
        <x:v>0</x:v>
      </x:c>
      <x:c r="BD354" s="18" t="n">
        <x:v>1</x:v>
      </x:c>
      <x:c r="BE354" s="18" t="n">
        <x:v>0</x:v>
      </x:c>
      <x:c r="BF354" s="18" t="n">
        <x:v>6</x:v>
      </x:c>
      <x:c r="BG354" s="18" t="n">
        <x:v>0</x:v>
      </x:c>
    </x:row>
    <x:row r="355">
      <x:c r="A355" s="29" t="str">
        <x:v>446</x:v>
      </x:c>
      <x:c r="B355" s="17" t="n">
        <x:v>3124</x:v>
      </x:c>
      <x:c r="C355" s="17" t="str">
        <x:v>בי"ס הבונים</x:v>
      </x:c>
      <x:c r="D355" s="17" t="str">
        <x:v>חביבה רייך 16</x:v>
      </x:c>
      <x:c r="E355" s="17" t="str">
        <x:v>גבוה מאוד</x:v>
      </x:c>
      <x:c r="F355" s="18" t="n">
        <x:v>414</x:v>
      </x:c>
      <x:c r="G355" s="18" t="n">
        <x:v>266</x:v>
      </x:c>
      <x:c r="H355" s="19" t="n">
        <x:f>IFERROR(G355/F355,0)</x:f>
        <x:v>0.642512077294686</x:v>
      </x:c>
      <x:c r="I355" s="18" t="n">
        <x:v>0</x:v>
      </x:c>
      <x:c r="J355" s="18" t="n">
        <x:v>266</x:v>
      </x:c>
      <x:c r="K355" s="18" t="n">
        <x:f>SUM(AM355,BF355,W355,AD355)</x:f>
        <x:v>76</x:v>
      </x:c>
      <x:c r="L355" s="18" t="n">
        <x:f>Q355+R355</x:f>
        <x:v>181</x:v>
      </x:c>
      <x:c r="M355" s="19" t="n">
        <x:f>IFERROR(K355/J355,0)</x:f>
        <x:v>0.2857142857142857</x:v>
      </x:c>
      <x:c r="N355" s="19" t="n">
        <x:f>IFERROR(L355/J355,0)</x:f>
        <x:v>0.6804511278195489</x:v>
      </x:c>
      <x:c r="O355" s="17" t="str">
        <x:f>IF(K355&gt;MAX(L355,S355),"קואליציית ההקמה 2022",IF(L355&gt;MAX(K355,S355),"אופוזיציה רחבה 2022","רשימות אחרות"))</x:f>
        <x:v>אופוזיציה רחבה 2022</x:v>
      </x:c>
      <x:c r="P355" s="17" t="str">
        <x:f>IF(AND(H355&lt;50%,N355&gt;50%),"כן","לא")</x:f>
        <x:v>לא</x:v>
      </x:c>
      <x:c r="Q355" s="18" t="n">
        <x:f>SUM(AV355,AJ355,AL355,T355,AN355)</x:f>
        <x:v>179</x:v>
      </x:c>
      <x:c r="R355" s="18" t="n">
        <x:f>SUM(Y355,AU355,X355)</x:f>
        <x:v>2</x:v>
      </x:c>
      <x:c r="S355" s="18" t="n">
        <x:f>J355-K355-L355</x:f>
        <x:v>9</x:v>
      </x:c>
      <x:c r="T355" s="18" t="n">
        <x:v>24</x:v>
      </x:c>
      <x:c r="U355" s="18" t="n">
        <x:v>2</x:v>
      </x:c>
      <x:c r="V355" s="18" t="n">
        <x:v>2</x:v>
      </x:c>
      <x:c r="W355" s="18" t="n">
        <x:v>0</x:v>
      </x:c>
      <x:c r="X355" s="18" t="n">
        <x:v>2</x:v>
      </x:c>
      <x:c r="Y355" s="18" t="n">
        <x:v>0</x:v>
      </x:c>
      <x:c r="Z355" s="18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21</x:v>
      </x:c>
      <x:c r="AE355" s="18" t="n">
        <x:v>0</x:v>
      </x:c>
      <x:c r="AF355" s="18" t="n">
        <x:v>2</x:v>
      </x:c>
      <x:c r="AG355" s="18" t="n">
        <x:v>0</x:v>
      </x:c>
      <x:c r="AH355" s="18" t="n">
        <x:v>0</x:v>
      </x:c>
      <x:c r="AI355" s="18" t="n">
        <x:v>0</x:v>
      </x:c>
      <x:c r="AJ355" s="18" t="n">
        <x:v>31</x:v>
      </x:c>
      <x:c r="AK355" s="18" t="n">
        <x:v>0</x:v>
      </x:c>
      <x:c r="AL355" s="18" t="n">
        <x:v>15</x:v>
      </x:c>
      <x:c r="AM355" s="18" t="n">
        <x:v>51</x:v>
      </x:c>
      <x:c r="AN355" s="18" t="n">
        <x:v>14</x:v>
      </x:c>
      <x:c r="AO355" s="18" t="n">
        <x:v>0</x:v>
      </x:c>
      <x:c r="AP355" s="18" t="n">
        <x:v>0</x:v>
      </x:c>
      <x:c r="AQ355" s="18" t="n">
        <x:v>0</x:v>
      </x:c>
      <x:c r="AR355" s="18" t="n">
        <x:v>0</x:v>
      </x:c>
      <x:c r="AS355" s="18" t="n">
        <x:v>0</x:v>
      </x:c>
      <x:c r="AT355" s="18" t="n">
        <x:v>0</x:v>
      </x:c>
      <x:c r="AU355" s="18" t="n">
        <x:v>0</x:v>
      </x:c>
      <x:c r="AV355" s="18" t="n">
        <x:v>95</x:v>
      </x:c>
      <x:c r="AW355" s="18" t="n">
        <x:v>0</x:v>
      </x:c>
      <x:c r="AX355" s="18" t="n">
        <x:v>0</x:v>
      </x:c>
      <x:c r="AY355" s="18" t="n">
        <x:v>0</x:v>
      </x:c>
      <x:c r="AZ355" s="18" t="n">
        <x:v>0</x:v>
      </x:c>
      <x:c r="BA355" s="18" t="n">
        <x:v>0</x:v>
      </x:c>
      <x:c r="BB355" s="18" t="n">
        <x:v>0</x:v>
      </x:c>
      <x:c r="BC355" s="18" t="n">
        <x:v>0</x:v>
      </x:c>
      <x:c r="BD355" s="18" t="n">
        <x:v>3</x:v>
      </x:c>
      <x:c r="BE355" s="18" t="n">
        <x:v>0</x:v>
      </x:c>
      <x:c r="BF355" s="18" t="n">
        <x:v>4</x:v>
      </x:c>
      <x:c r="BG355" s="18" t="n">
        <x:v>0</x:v>
      </x:c>
    </x:row>
    <x:row r="356">
      <x:c r="A356" s="29" t="str">
        <x:v>449.1</x:v>
      </x:c>
      <x:c r="B356" s="17" t="n">
        <x:v>3096</x:v>
      </x:c>
      <x:c r="C356" s="17" t="str">
        <x:v>בי"ס נופים</x:v>
      </x:c>
      <x:c r="D356" s="17" t="str">
        <x:v>סורוקה משה 22</x:v>
      </x:c>
      <x:c r="E356" s="17" t="str">
        <x:v>גבוה מאוד</x:v>
      </x:c>
      <x:c r="F356" s="18" t="n">
        <x:v>695</x:v>
      </x:c>
      <x:c r="G356" s="18" t="n">
        <x:v>479</x:v>
      </x:c>
      <x:c r="H356" s="19" t="n">
        <x:f>IFERROR(G356/F356,0)</x:f>
        <x:v>0.6892086330935252</x:v>
      </x:c>
      <x:c r="I356" s="18" t="n">
        <x:v>0</x:v>
      </x:c>
      <x:c r="J356" s="18" t="n">
        <x:v>479</x:v>
      </x:c>
      <x:c r="K356" s="18" t="n">
        <x:f>SUM(AM356,BF356,W356,AD356)</x:f>
        <x:v>135</x:v>
      </x:c>
      <x:c r="L356" s="18" t="n">
        <x:f>Q356+R356</x:f>
        <x:v>326</x:v>
      </x:c>
      <x:c r="M356" s="19" t="n">
        <x:f>IFERROR(K356/J356,0)</x:f>
        <x:v>0.2818371607515658</x:v>
      </x:c>
      <x:c r="N356" s="19" t="n">
        <x:f>IFERROR(L356/J356,0)</x:f>
        <x:v>0.6805845511482255</x:v>
      </x:c>
      <x:c r="O356" s="17" t="str">
        <x:f>IF(K356&gt;MAX(L356,S356),"קואליציית ההקמה 2022",IF(L356&gt;MAX(K356,S356),"אופוזיציה רחבה 2022","רשימות אחרות"))</x:f>
        <x:v>אופוזיציה רחבה 2022</x:v>
      </x:c>
      <x:c r="P356" s="17" t="str">
        <x:f>IF(AND(H356&lt;50%,N356&gt;50%),"כן","לא")</x:f>
        <x:v>לא</x:v>
      </x:c>
      <x:c r="Q356" s="18" t="n">
        <x:f>SUM(AV356,AJ356,AL356,T356,AN356)</x:f>
        <x:v>324</x:v>
      </x:c>
      <x:c r="R356" s="18" t="n">
        <x:f>SUM(Y356,AU356,X356)</x:f>
        <x:v>2</x:v>
      </x:c>
      <x:c r="S356" s="18" t="n">
        <x:f>J356-K356-L356</x:f>
        <x:v>18</x:v>
      </x:c>
      <x:c r="T356" s="18" t="n">
        <x:v>34</x:v>
      </x:c>
      <x:c r="U356" s="18" t="n">
        <x:v>3</x:v>
      </x:c>
      <x:c r="V356" s="18" t="n">
        <x:v>8</x:v>
      </x:c>
      <x:c r="W356" s="18" t="n">
        <x:v>5</x:v>
      </x:c>
      <x:c r="X356" s="18" t="n">
        <x:v>0</x:v>
      </x:c>
      <x:c r="Y356" s="18" t="n">
        <x:v>2</x:v>
      </x:c>
      <x:c r="Z356" s="18" t="n">
        <x:v>0</x:v>
      </x:c>
      <x:c r="AA356" s="18" t="n">
        <x:v>0</x:v>
      </x:c>
      <x:c r="AB356" s="18" t="n">
        <x:v>0</x:v>
      </x:c>
      <x:c r="AC356" s="18" t="n">
        <x:v>1</x:v>
      </x:c>
      <x:c r="AD356" s="18" t="n">
        <x:v>29</x:v>
      </x:c>
      <x:c r="AE356" s="18" t="n">
        <x:v>0</x:v>
      </x:c>
      <x:c r="AF356" s="18" t="n">
        <x:v>1</x:v>
      </x:c>
      <x:c r="AG356" s="18" t="n">
        <x:v>0</x:v>
      </x:c>
      <x:c r="AH356" s="18" t="n">
        <x:v>0</x:v>
      </x:c>
      <x:c r="AI356" s="18" t="n">
        <x:v>0</x:v>
      </x:c>
      <x:c r="AJ356" s="18" t="n">
        <x:v>58</x:v>
      </x:c>
      <x:c r="AK356" s="18" t="n">
        <x:v>0</x:v>
      </x:c>
      <x:c r="AL356" s="18" t="n">
        <x:v>31</x:v>
      </x:c>
      <x:c r="AM356" s="18" t="n">
        <x:v>99</x:v>
      </x:c>
      <x:c r="AN356" s="18" t="n">
        <x:v>45</x:v>
      </x:c>
      <x:c r="AO356" s="18" t="n">
        <x:v>0</x:v>
      </x:c>
      <x:c r="AP356" s="18" t="n">
        <x:v>0</x:v>
      </x:c>
      <x:c r="AQ356" s="18" t="n">
        <x:v>0</x:v>
      </x:c>
      <x:c r="AR356" s="18" t="n">
        <x:v>0</x:v>
      </x:c>
      <x:c r="AS356" s="18" t="n">
        <x:v>0</x:v>
      </x:c>
      <x:c r="AT356" s="18" t="n">
        <x:v>0</x:v>
      </x:c>
      <x:c r="AU356" s="18" t="n">
        <x:v>0</x:v>
      </x:c>
      <x:c r="AV356" s="18" t="n">
        <x:v>156</x:v>
      </x:c>
      <x:c r="AW356" s="18" t="n">
        <x:v>0</x:v>
      </x:c>
      <x:c r="AX356" s="18" t="n">
        <x:v>1</x:v>
      </x:c>
      <x:c r="AY356" s="18" t="n">
        <x:v>0</x:v>
      </x:c>
      <x:c r="AZ356" s="18" t="n">
        <x:v>0</x:v>
      </x:c>
      <x:c r="BA356" s="18" t="n">
        <x:v>0</x:v>
      </x:c>
      <x:c r="BB356" s="18" t="n">
        <x:v>0</x:v>
      </x:c>
      <x:c r="BC356" s="18" t="n">
        <x:v>0</x:v>
      </x:c>
      <x:c r="BD356" s="18" t="n">
        <x:v>4</x:v>
      </x:c>
      <x:c r="BE356" s="18" t="n">
        <x:v>0</x:v>
      </x:c>
      <x:c r="BF356" s="18" t="n">
        <x:v>2</x:v>
      </x:c>
      <x:c r="BG356" s="18" t="n">
        <x:v>0</x:v>
      </x:c>
    </x:row>
    <x:row r="357">
      <x:c r="A357" s="29" t="str">
        <x:v>449.2</x:v>
      </x:c>
      <x:c r="B357" s="17" t="n">
        <x:v>3097</x:v>
      </x:c>
      <x:c r="C357" s="17" t="str">
        <x:v>בי"ס נופים</x:v>
      </x:c>
      <x:c r="D357" s="17" t="str">
        <x:v>סורוקה משה 22</x:v>
      </x:c>
      <x:c r="E357" s="17" t="str">
        <x:v>גבוה מאוד</x:v>
      </x:c>
      <x:c r="F357" s="18" t="n">
        <x:v>695</x:v>
      </x:c>
      <x:c r="G357" s="18" t="n">
        <x:v>487</x:v>
      </x:c>
      <x:c r="H357" s="19" t="n">
        <x:f>IFERROR(G357/F357,0)</x:f>
        <x:v>0.7007194244604317</x:v>
      </x:c>
      <x:c r="I357" s="18" t="n">
        <x:v>0</x:v>
      </x:c>
      <x:c r="J357" s="18" t="n">
        <x:v>487</x:v>
      </x:c>
      <x:c r="K357" s="18" t="n">
        <x:f>SUM(AM357,BF357,W357,AD357)</x:f>
        <x:v>66</x:v>
      </x:c>
      <x:c r="L357" s="18" t="n">
        <x:f>Q357+R357</x:f>
        <x:v>407</x:v>
      </x:c>
      <x:c r="M357" s="19" t="n">
        <x:f>IFERROR(K357/J357,0)</x:f>
        <x:v>0.13552361396303902</x:v>
      </x:c>
      <x:c r="N357" s="19" t="n">
        <x:f>IFERROR(L357/J357,0)</x:f>
        <x:v>0.8357289527720739</x:v>
      </x:c>
      <x:c r="O357" s="17" t="str">
        <x:f>IF(K357&gt;MAX(L357,S357),"קואליציית ההקמה 2022",IF(L357&gt;MAX(K357,S357),"אופוזיציה רחבה 2022","רשימות אחרות"))</x:f>
        <x:v>אופוזיציה רחבה 2022</x:v>
      </x:c>
      <x:c r="P357" s="17" t="str">
        <x:f>IF(AND(H357&lt;50%,N357&gt;50%),"כן","לא")</x:f>
        <x:v>לא</x:v>
      </x:c>
      <x:c r="Q357" s="18" t="n">
        <x:f>SUM(AV357,AJ357,AL357,T357,AN357)</x:f>
        <x:v>405</x:v>
      </x:c>
      <x:c r="R357" s="18" t="n">
        <x:f>SUM(Y357,AU357,X357)</x:f>
        <x:v>2</x:v>
      </x:c>
      <x:c r="S357" s="18" t="n">
        <x:f>J357-K357-L357</x:f>
        <x:v>14</x:v>
      </x:c>
      <x:c r="T357" s="18" t="n">
        <x:v>46</x:v>
      </x:c>
      <x:c r="U357" s="18" t="n">
        <x:v>0</x:v>
      </x:c>
      <x:c r="V357" s="18" t="n">
        <x:v>12</x:v>
      </x:c>
      <x:c r="W357" s="18" t="n">
        <x:v>0</x:v>
      </x:c>
      <x:c r="X357" s="18" t="n">
        <x:v>0</x:v>
      </x:c>
      <x:c r="Y357" s="18" t="n">
        <x:v>2</x:v>
      </x:c>
      <x:c r="Z357" s="18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20</x:v>
      </x:c>
      <x:c r="AE357" s="18" t="n">
        <x:v>0</x:v>
      </x:c>
      <x:c r="AF357" s="18" t="n">
        <x:v>1</x:v>
      </x:c>
      <x:c r="AG357" s="18" t="n">
        <x:v>0</x:v>
      </x:c>
      <x:c r="AH357" s="18" t="n">
        <x:v>0</x:v>
      </x:c>
      <x:c r="AI357" s="18" t="n">
        <x:v>0</x:v>
      </x:c>
      <x:c r="AJ357" s="18" t="n">
        <x:v>77</x:v>
      </x:c>
      <x:c r="AK357" s="18" t="n">
        <x:v>0</x:v>
      </x:c>
      <x:c r="AL357" s="18" t="n">
        <x:v>14</x:v>
      </x:c>
      <x:c r="AM357" s="18" t="n">
        <x:v>46</x:v>
      </x:c>
      <x:c r="AN357" s="18" t="n">
        <x:v>49</x:v>
      </x:c>
      <x:c r="AO357" s="18" t="n">
        <x:v>0</x:v>
      </x:c>
      <x:c r="AP357" s="18" t="n">
        <x:v>0</x:v>
      </x:c>
      <x:c r="AQ357" s="18" t="n">
        <x:v>0</x:v>
      </x:c>
      <x:c r="AR357" s="18" t="n">
        <x:v>0</x:v>
      </x:c>
      <x:c r="AS357" s="18" t="n">
        <x:v>0</x:v>
      </x:c>
      <x:c r="AT357" s="18" t="n">
        <x:v>0</x:v>
      </x:c>
      <x:c r="AU357" s="18" t="n">
        <x:v>0</x:v>
      </x:c>
      <x:c r="AV357" s="18" t="n">
        <x:v>219</x:v>
      </x:c>
      <x:c r="AW357" s="18" t="n">
        <x:v>0</x:v>
      </x:c>
      <x:c r="AX357" s="18" t="n">
        <x:v>1</x:v>
      </x:c>
      <x:c r="AY357" s="18" t="n">
        <x:v>0</x:v>
      </x:c>
      <x:c r="AZ357" s="18" t="n">
        <x:v>0</x:v>
      </x:c>
      <x:c r="BA357" s="18" t="n">
        <x:v>0</x:v>
      </x:c>
      <x:c r="BB357" s="18" t="n">
        <x:v>0</x:v>
      </x:c>
      <x:c r="BC357" s="18" t="n">
        <x:v>0</x:v>
      </x:c>
      <x:c r="BD357" s="18" t="n">
        <x:v>0</x:v>
      </x:c>
      <x:c r="BE357" s="18" t="n">
        <x:v>0</x:v>
      </x:c>
      <x:c r="BF357" s="18" t="n">
        <x:v>0</x:v>
      </x:c>
      <x:c r="BG357" s="18" t="n">
        <x:v>0</x:v>
      </x:c>
    </x:row>
    <x:row r="358">
      <x:c r="A358" s="29" t="str">
        <x:v>449.3</x:v>
      </x:c>
      <x:c r="B358" s="17" t="n">
        <x:v>3098</x:v>
      </x:c>
      <x:c r="C358" s="17" t="str">
        <x:v>בי"ס נופים</x:v>
      </x:c>
      <x:c r="D358" s="17" t="str">
        <x:v>סורוקה משה 22</x:v>
      </x:c>
      <x:c r="E358" s="17" t="str">
        <x:v>גבוה מאוד</x:v>
      </x:c>
      <x:c r="F358" s="18" t="n">
        <x:v>695</x:v>
      </x:c>
      <x:c r="G358" s="18" t="n">
        <x:v>463</x:v>
      </x:c>
      <x:c r="H358" s="19" t="n">
        <x:f>IFERROR(G358/F358,0)</x:f>
        <x:v>0.6661870503597123</x:v>
      </x:c>
      <x:c r="I358" s="18" t="n">
        <x:v>1</x:v>
      </x:c>
      <x:c r="J358" s="18" t="n">
        <x:v>462</x:v>
      </x:c>
      <x:c r="K358" s="18" t="n">
        <x:f>SUM(AM358,BF358,W358,AD358)</x:f>
        <x:v>92</x:v>
      </x:c>
      <x:c r="L358" s="18" t="n">
        <x:f>Q358+R358</x:f>
        <x:v>354</x:v>
      </x:c>
      <x:c r="M358" s="19" t="n">
        <x:f>IFERROR(K358/J358,0)</x:f>
        <x:v>0.19913419913419914</x:v>
      </x:c>
      <x:c r="N358" s="19" t="n">
        <x:f>IFERROR(L358/J358,0)</x:f>
        <x:v>0.7662337662337663</x:v>
      </x:c>
      <x:c r="O358" s="17" t="str">
        <x:f>IF(K358&gt;MAX(L358,S358),"קואליציית ההקמה 2022",IF(L358&gt;MAX(K358,S358),"אופוזיציה רחבה 2022","רשימות אחרות"))</x:f>
        <x:v>אופוזיציה רחבה 2022</x:v>
      </x:c>
      <x:c r="P358" s="17" t="str">
        <x:f>IF(AND(H358&lt;50%,N358&gt;50%),"כן","לא")</x:f>
        <x:v>לא</x:v>
      </x:c>
      <x:c r="Q358" s="18" t="n">
        <x:f>SUM(AV358,AJ358,AL358,T358,AN358)</x:f>
        <x:v>350</x:v>
      </x:c>
      <x:c r="R358" s="18" t="n">
        <x:f>SUM(Y358,AU358,X358)</x:f>
        <x:v>4</x:v>
      </x:c>
      <x:c r="S358" s="18" t="n">
        <x:f>J358-K358-L358</x:f>
        <x:v>16</x:v>
      </x:c>
      <x:c r="T358" s="18" t="n">
        <x:v>36</x:v>
      </x:c>
      <x:c r="U358" s="18" t="n">
        <x:v>5</x:v>
      </x:c>
      <x:c r="V358" s="18" t="n">
        <x:v>6</x:v>
      </x:c>
      <x:c r="W358" s="18" t="n">
        <x:v>0</x:v>
      </x:c>
      <x:c r="X358" s="18" t="n">
        <x:v>1</x:v>
      </x:c>
      <x:c r="Y358" s="18" t="n">
        <x:v>3</x:v>
      </x:c>
      <x:c r="Z358" s="18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20</x:v>
      </x:c>
      <x:c r="AE358" s="18" t="n">
        <x:v>0</x:v>
      </x:c>
      <x:c r="AF358" s="18" t="n">
        <x:v>1</x:v>
      </x:c>
      <x:c r="AG358" s="18" t="n">
        <x:v>0</x:v>
      </x:c>
      <x:c r="AH358" s="18" t="n">
        <x:v>0</x:v>
      </x:c>
      <x:c r="AI358" s="18" t="n">
        <x:v>0</x:v>
      </x:c>
      <x:c r="AJ358" s="18" t="n">
        <x:v>64</x:v>
      </x:c>
      <x:c r="AK358" s="18" t="n">
        <x:v>0</x:v>
      </x:c>
      <x:c r="AL358" s="18" t="n">
        <x:v>24</x:v>
      </x:c>
      <x:c r="AM358" s="18" t="n">
        <x:v>71</x:v>
      </x:c>
      <x:c r="AN358" s="18" t="n">
        <x:v>40</x:v>
      </x:c>
      <x:c r="AO358" s="18" t="n">
        <x:v>0</x:v>
      </x:c>
      <x:c r="AP358" s="18" t="n">
        <x:v>0</x:v>
      </x:c>
      <x:c r="AQ358" s="18" t="n">
        <x:v>0</x:v>
      </x:c>
      <x:c r="AR358" s="18" t="n">
        <x:v>0</x:v>
      </x:c>
      <x:c r="AS358" s="18" t="n">
        <x:v>0</x:v>
      </x:c>
      <x:c r="AT358" s="18" t="n">
        <x:v>0</x:v>
      </x:c>
      <x:c r="AU358" s="18" t="n">
        <x:v>0</x:v>
      </x:c>
      <x:c r="AV358" s="18" t="n">
        <x:v>186</x:v>
      </x:c>
      <x:c r="AW358" s="18" t="n">
        <x:v>0</x:v>
      </x:c>
      <x:c r="AX358" s="18" t="n">
        <x:v>0</x:v>
      </x:c>
      <x:c r="AY358" s="18" t="n">
        <x:v>0</x:v>
      </x:c>
      <x:c r="AZ358" s="18" t="n">
        <x:v>0</x:v>
      </x:c>
      <x:c r="BA358" s="18" t="n">
        <x:v>0</x:v>
      </x:c>
      <x:c r="BB358" s="18" t="n">
        <x:v>0</x:v>
      </x:c>
      <x:c r="BC358" s="18" t="n">
        <x:v>0</x:v>
      </x:c>
      <x:c r="BD358" s="18" t="n">
        <x:v>4</x:v>
      </x:c>
      <x:c r="BE358" s="18" t="n">
        <x:v>0</x:v>
      </x:c>
      <x:c r="BF358" s="18" t="n">
        <x:v>1</x:v>
      </x:c>
      <x:c r="BG358" s="18" t="n">
        <x:v>0</x:v>
      </x:c>
    </x:row>
    <x:row r="359">
      <x:c r="A359" s="29" t="str">
        <x:v>449.4</x:v>
      </x:c>
      <x:c r="B359" s="17" t="n">
        <x:v>3099</x:v>
      </x:c>
      <x:c r="C359" s="17" t="str">
        <x:v>בי"ס נופים</x:v>
      </x:c>
      <x:c r="D359" s="17" t="str">
        <x:v>סורוקה משה 22</x:v>
      </x:c>
      <x:c r="E359" s="17" t="str">
        <x:v>גבוה מאוד</x:v>
      </x:c>
      <x:c r="F359" s="18" t="n">
        <x:v>694</x:v>
      </x:c>
      <x:c r="G359" s="18" t="n">
        <x:v>500</x:v>
      </x:c>
      <x:c r="H359" s="19" t="n">
        <x:f>IFERROR(G359/F359,0)</x:f>
        <x:v>0.7204610951008645</x:v>
      </x:c>
      <x:c r="I359" s="18" t="n">
        <x:v>0</x:v>
      </x:c>
      <x:c r="J359" s="18" t="n">
        <x:v>500</x:v>
      </x:c>
      <x:c r="K359" s="18" t="n">
        <x:f>SUM(AM359,BF359,W359,AD359)</x:f>
        <x:v>71</x:v>
      </x:c>
      <x:c r="L359" s="18" t="n">
        <x:f>Q359+R359</x:f>
        <x:v>405</x:v>
      </x:c>
      <x:c r="M359" s="19" t="n">
        <x:f>IFERROR(K359/J359,0)</x:f>
        <x:v>0.142</x:v>
      </x:c>
      <x:c r="N359" s="19" t="n">
        <x:f>IFERROR(L359/J359,0)</x:f>
        <x:v>0.81</x:v>
      </x:c>
      <x:c r="O359" s="17" t="str">
        <x:f>IF(K359&gt;MAX(L359,S359),"קואליציית ההקמה 2022",IF(L359&gt;MAX(K359,S359),"אופוזיציה רחבה 2022","רשימות אחרות"))</x:f>
        <x:v>אופוזיציה רחבה 2022</x:v>
      </x:c>
      <x:c r="P359" s="17" t="str">
        <x:f>IF(AND(H359&lt;50%,N359&gt;50%),"כן","לא")</x:f>
        <x:v>לא</x:v>
      </x:c>
      <x:c r="Q359" s="18" t="n">
        <x:f>SUM(AV359,AJ359,AL359,T359,AN359)</x:f>
        <x:v>399</x:v>
      </x:c>
      <x:c r="R359" s="18" t="n">
        <x:f>SUM(Y359,AU359,X359)</x:f>
        <x:v>6</x:v>
      </x:c>
      <x:c r="S359" s="18" t="n">
        <x:f>J359-K359-L359</x:f>
        <x:v>24</x:v>
      </x:c>
      <x:c r="T359" s="18" t="n">
        <x:v>50</x:v>
      </x:c>
      <x:c r="U359" s="18" t="n">
        <x:v>2</x:v>
      </x:c>
      <x:c r="V359" s="18" t="n">
        <x:v>11</x:v>
      </x:c>
      <x:c r="W359" s="18" t="n">
        <x:v>2</x:v>
      </x:c>
      <x:c r="X359" s="18" t="n">
        <x:v>0</x:v>
      </x:c>
      <x:c r="Y359" s="18" t="n">
        <x:v>4</x:v>
      </x:c>
      <x:c r="Z359" s="18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16</x:v>
      </x:c>
      <x:c r="AE359" s="18" t="n">
        <x:v>0</x:v>
      </x:c>
      <x:c r="AF359" s="18" t="n">
        <x:v>8</x:v>
      </x:c>
      <x:c r="AG359" s="18" t="n">
        <x:v>0</x:v>
      </x:c>
      <x:c r="AH359" s="18" t="n">
        <x:v>0</x:v>
      </x:c>
      <x:c r="AI359" s="18" t="n">
        <x:v>1</x:v>
      </x:c>
      <x:c r="AJ359" s="18" t="n">
        <x:v>87</x:v>
      </x:c>
      <x:c r="AK359" s="18" t="n">
        <x:v>0</x:v>
      </x:c>
      <x:c r="AL359" s="18" t="n">
        <x:v>15</x:v>
      </x:c>
      <x:c r="AM359" s="18" t="n">
        <x:v>51</x:v>
      </x:c>
      <x:c r="AN359" s="18" t="n">
        <x:v>39</x:v>
      </x:c>
      <x:c r="AO359" s="18" t="n">
        <x:v>0</x:v>
      </x:c>
      <x:c r="AP359" s="18" t="n">
        <x:v>0</x:v>
      </x:c>
      <x:c r="AQ359" s="18" t="n">
        <x:v>0</x:v>
      </x:c>
      <x:c r="AR359" s="18" t="n">
        <x:v>0</x:v>
      </x:c>
      <x:c r="AS359" s="18" t="n">
        <x:v>0</x:v>
      </x:c>
      <x:c r="AT359" s="18" t="n">
        <x:v>0</x:v>
      </x:c>
      <x:c r="AU359" s="18" t="n">
        <x:v>2</x:v>
      </x:c>
      <x:c r="AV359" s="18" t="n">
        <x:v>208</x:v>
      </x:c>
      <x:c r="AW359" s="18" t="n">
        <x:v>0</x:v>
      </x:c>
      <x:c r="AX359" s="18" t="n">
        <x:v>0</x:v>
      </x:c>
      <x:c r="AY359" s="18" t="n">
        <x:v>0</x:v>
      </x:c>
      <x:c r="AZ359" s="18" t="n">
        <x:v>0</x:v>
      </x:c>
      <x:c r="BA359" s="18" t="n">
        <x:v>0</x:v>
      </x:c>
      <x:c r="BB359" s="18" t="n">
        <x:v>0</x:v>
      </x:c>
      <x:c r="BC359" s="18" t="n">
        <x:v>0</x:v>
      </x:c>
      <x:c r="BD359" s="18" t="n">
        <x:v>2</x:v>
      </x:c>
      <x:c r="BE359" s="18" t="n">
        <x:v>0</x:v>
      </x:c>
      <x:c r="BF359" s="18" t="n">
        <x:v>2</x:v>
      </x:c>
      <x:c r="BG359" s="18" t="n">
        <x:v>0</x:v>
      </x:c>
    </x:row>
    <x:row r="360">
      <x:c r="A360" s="29" t="str">
        <x:v>450</x:v>
      </x:c>
      <x:c r="B360" s="17" t="n">
        <x:v>3125</x:v>
      </x:c>
      <x:c r="C360" s="17" t="str">
        <x:v>גן מיתר</x:v>
      </x:c>
      <x:c r="D360" s="17" t="str">
        <x:v>מאיר גולדה 29</x:v>
      </x:c>
      <x:c r="E360" s="17" t="str">
        <x:v>גבוה מאוד</x:v>
      </x:c>
      <x:c r="F360" s="18" t="n">
        <x:v>679</x:v>
      </x:c>
      <x:c r="G360" s="18" t="n">
        <x:v>468</x:v>
      </x:c>
      <x:c r="H360" s="19" t="n">
        <x:f>IFERROR(G360/F360,0)</x:f>
        <x:v>0.6892488954344624</x:v>
      </x:c>
      <x:c r="I360" s="18" t="n">
        <x:v>3</x:v>
      </x:c>
      <x:c r="J360" s="18" t="n">
        <x:v>465</x:v>
      </x:c>
      <x:c r="K360" s="18" t="n">
        <x:f>SUM(AM360,BF360,W360,AD360)</x:f>
        <x:v>111</x:v>
      </x:c>
      <x:c r="L360" s="18" t="n">
        <x:f>Q360+R360</x:f>
        <x:v>343</x:v>
      </x:c>
      <x:c r="M360" s="19" t="n">
        <x:f>IFERROR(K360/J360,0)</x:f>
        <x:v>0.23870967741935484</x:v>
      </x:c>
      <x:c r="N360" s="19" t="n">
        <x:f>IFERROR(L360/J360,0)</x:f>
        <x:v>0.7376344086021506</x:v>
      </x:c>
      <x:c r="O360" s="17" t="str">
        <x:f>IF(K360&gt;MAX(L360,S360),"קואליציית ההקמה 2022",IF(L360&gt;MAX(K360,S360),"אופוזיציה רחבה 2022","רשימות אחרות"))</x:f>
        <x:v>אופוזיציה רחבה 2022</x:v>
      </x:c>
      <x:c r="P360" s="17" t="str">
        <x:f>IF(AND(H360&lt;50%,N360&gt;50%),"כן","לא")</x:f>
        <x:v>לא</x:v>
      </x:c>
      <x:c r="Q360" s="18" t="n">
        <x:f>SUM(AV360,AJ360,AL360,T360,AN360)</x:f>
        <x:v>342</x:v>
      </x:c>
      <x:c r="R360" s="18" t="n">
        <x:f>SUM(Y360,AU360,X360)</x:f>
        <x:v>1</x:v>
      </x:c>
      <x:c r="S360" s="18" t="n">
        <x:f>J360-K360-L360</x:f>
        <x:v>11</x:v>
      </x:c>
      <x:c r="T360" s="18" t="n">
        <x:v>26</x:v>
      </x:c>
      <x:c r="U360" s="18" t="n">
        <x:v>0</x:v>
      </x:c>
      <x:c r="V360" s="18" t="n">
        <x:v>8</x:v>
      </x:c>
      <x:c r="W360" s="18" t="n">
        <x:v>1</x:v>
      </x:c>
      <x:c r="X360" s="18" t="n">
        <x:v>0</x:v>
      </x:c>
      <x:c r="Y360" s="18" t="n">
        <x:v>0</x:v>
      </x:c>
      <x:c r="Z360" s="18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26</x:v>
      </x:c>
      <x:c r="AE360" s="18" t="n">
        <x:v>0</x:v>
      </x:c>
      <x:c r="AF360" s="18" t="n">
        <x:v>0</x:v>
      </x:c>
      <x:c r="AG360" s="18" t="n">
        <x:v>0</x:v>
      </x:c>
      <x:c r="AH360" s="18" t="n">
        <x:v>0</x:v>
      </x:c>
      <x:c r="AI360" s="18" t="n">
        <x:v>0</x:v>
      </x:c>
      <x:c r="AJ360" s="18" t="n">
        <x:v>89</x:v>
      </x:c>
      <x:c r="AK360" s="18" t="n">
        <x:v>0</x:v>
      </x:c>
      <x:c r="AL360" s="18" t="n">
        <x:v>33</x:v>
      </x:c>
      <x:c r="AM360" s="18" t="n">
        <x:v>78</x:v>
      </x:c>
      <x:c r="AN360" s="18" t="n">
        <x:v>22</x:v>
      </x:c>
      <x:c r="AO360" s="18" t="n">
        <x:v>0</x:v>
      </x:c>
      <x:c r="AP360" s="18" t="n">
        <x:v>0</x:v>
      </x:c>
      <x:c r="AQ360" s="18" t="n">
        <x:v>0</x:v>
      </x:c>
      <x:c r="AR360" s="18" t="n">
        <x:v>0</x:v>
      </x:c>
      <x:c r="AS360" s="18" t="n">
        <x:v>0</x:v>
      </x:c>
      <x:c r="AT360" s="18" t="n">
        <x:v>0</x:v>
      </x:c>
      <x:c r="AU360" s="18" t="n">
        <x:v>1</x:v>
      </x:c>
      <x:c r="AV360" s="18" t="n">
        <x:v>172</x:v>
      </x:c>
      <x:c r="AW360" s="18" t="n">
        <x:v>0</x:v>
      </x:c>
      <x:c r="AX360" s="18" t="n">
        <x:v>1</x:v>
      </x:c>
      <x:c r="AY360" s="18" t="n">
        <x:v>0</x:v>
      </x:c>
      <x:c r="AZ360" s="18" t="n">
        <x:v>1</x:v>
      </x:c>
      <x:c r="BA360" s="18" t="n">
        <x:v>0</x:v>
      </x:c>
      <x:c r="BB360" s="18" t="n">
        <x:v>0</x:v>
      </x:c>
      <x:c r="BC360" s="18" t="n">
        <x:v>0</x:v>
      </x:c>
      <x:c r="BD360" s="18" t="n">
        <x:v>1</x:v>
      </x:c>
      <x:c r="BE360" s="18" t="n">
        <x:v>0</x:v>
      </x:c>
      <x:c r="BF360" s="18" t="n">
        <x:v>6</x:v>
      </x:c>
      <x:c r="BG360" s="18" t="n">
        <x:v>0</x:v>
      </x:c>
    </x:row>
    <x:row r="361">
      <x:c r="A361" s="29" t="str">
        <x:v>453.1</x:v>
      </x:c>
      <x:c r="B361" s="17" t="n">
        <x:v>3126</x:v>
      </x:c>
      <x:c r="C361" s="17" t="str">
        <x:v>גן ילדים עירוני "אשל"</x:v>
      </x:c>
      <x:c r="D361" s="17" t="str">
        <x:v>רבין אסתר ד"ר 80</x:v>
      </x:c>
      <x:c r="E361" s="17" t="str">
        <x:v>גבוה מאוד</x:v>
      </x:c>
      <x:c r="F361" s="18" t="n">
        <x:v>572</x:v>
      </x:c>
      <x:c r="G361" s="18" t="n">
        <x:v>390</x:v>
      </x:c>
      <x:c r="H361" s="19" t="n">
        <x:f>IFERROR(G361/F361,0)</x:f>
        <x:v>0.6818181818181818</x:v>
      </x:c>
      <x:c r="I361" s="18" t="n">
        <x:v>1</x:v>
      </x:c>
      <x:c r="J361" s="18" t="n">
        <x:v>389</x:v>
      </x:c>
      <x:c r="K361" s="18" t="n">
        <x:f>SUM(AM361,BF361,W361,AD361)</x:f>
        <x:v>80</x:v>
      </x:c>
      <x:c r="L361" s="18" t="n">
        <x:f>Q361+R361</x:f>
        <x:v>302</x:v>
      </x:c>
      <x:c r="M361" s="19" t="n">
        <x:f>IFERROR(K361/J361,0)</x:f>
        <x:v>0.20565552699228792</x:v>
      </x:c>
      <x:c r="N361" s="19" t="n">
        <x:f>IFERROR(L361/J361,0)</x:f>
        <x:v>0.7763496143958869</x:v>
      </x:c>
      <x:c r="O361" s="17" t="str">
        <x:f>IF(K361&gt;MAX(L361,S361),"קואליציית ההקמה 2022",IF(L361&gt;MAX(K361,S361),"אופוזיציה רחבה 2022","רשימות אחרות"))</x:f>
        <x:v>אופוזיציה רחבה 2022</x:v>
      </x:c>
      <x:c r="P361" s="17" t="str">
        <x:f>IF(AND(H361&lt;50%,N361&gt;50%),"כן","לא")</x:f>
        <x:v>לא</x:v>
      </x:c>
      <x:c r="Q361" s="18" t="n">
        <x:f>SUM(AV361,AJ361,AL361,T361,AN361)</x:f>
        <x:v>292</x:v>
      </x:c>
      <x:c r="R361" s="18" t="n">
        <x:f>SUM(Y361,AU361,X361)</x:f>
        <x:v>10</x:v>
      </x:c>
      <x:c r="S361" s="18" t="n">
        <x:f>J361-K361-L361</x:f>
        <x:v>7</x:v>
      </x:c>
      <x:c r="T361" s="18" t="n">
        <x:v>15</x:v>
      </x:c>
      <x:c r="U361" s="18" t="n">
        <x:v>2</x:v>
      </x:c>
      <x:c r="V361" s="18" t="n">
        <x:v>3</x:v>
      </x:c>
      <x:c r="W361" s="18" t="n">
        <x:v>0</x:v>
      </x:c>
      <x:c r="X361" s="18" t="n">
        <x:v>2</x:v>
      </x:c>
      <x:c r="Y361" s="18" t="n">
        <x:v>7</x:v>
      </x:c>
      <x:c r="Z361" s="18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13</x:v>
      </x:c>
      <x:c r="AE361" s="18" t="n">
        <x:v>0</x:v>
      </x:c>
      <x:c r="AF361" s="18" t="n">
        <x:v>0</x:v>
      </x:c>
      <x:c r="AG361" s="18" t="n">
        <x:v>0</x:v>
      </x:c>
      <x:c r="AH361" s="18" t="n">
        <x:v>0</x:v>
      </x:c>
      <x:c r="AI361" s="18" t="n">
        <x:v>0</x:v>
      </x:c>
      <x:c r="AJ361" s="18" t="n">
        <x:v>72</x:v>
      </x:c>
      <x:c r="AK361" s="18" t="n">
        <x:v>0</x:v>
      </x:c>
      <x:c r="AL361" s="18" t="n">
        <x:v>12</x:v>
      </x:c>
      <x:c r="AM361" s="18" t="n">
        <x:v>66</x:v>
      </x:c>
      <x:c r="AN361" s="18" t="n">
        <x:v>28</x:v>
      </x:c>
      <x:c r="AO361" s="18" t="n">
        <x:v>0</x:v>
      </x:c>
      <x:c r="AP361" s="18" t="n">
        <x:v>1</x:v>
      </x:c>
      <x:c r="AQ361" s="18" t="n">
        <x:v>0</x:v>
      </x:c>
      <x:c r="AR361" s="18" t="n">
        <x:v>0</x:v>
      </x:c>
      <x:c r="AS361" s="18" t="n">
        <x:v>0</x:v>
      </x:c>
      <x:c r="AT361" s="18" t="n">
        <x:v>0</x:v>
      </x:c>
      <x:c r="AU361" s="18" t="n">
        <x:v>1</x:v>
      </x:c>
      <x:c r="AV361" s="18" t="n">
        <x:v>165</x:v>
      </x:c>
      <x:c r="AW361" s="18" t="n">
        <x:v>0</x:v>
      </x:c>
      <x:c r="AX361" s="18" t="n">
        <x:v>0</x:v>
      </x:c>
      <x:c r="AY361" s="18" t="n">
        <x:v>0</x:v>
      </x:c>
      <x:c r="AZ361" s="18" t="n">
        <x:v>0</x:v>
      </x:c>
      <x:c r="BA361" s="18" t="n">
        <x:v>0</x:v>
      </x:c>
      <x:c r="BB361" s="18" t="n">
        <x:v>0</x:v>
      </x:c>
      <x:c r="BC361" s="18" t="n">
        <x:v>0</x:v>
      </x:c>
      <x:c r="BD361" s="18" t="n">
        <x:v>1</x:v>
      </x:c>
      <x:c r="BE361" s="18" t="n">
        <x:v>0</x:v>
      </x:c>
      <x:c r="BF361" s="18" t="n">
        <x:v>1</x:v>
      </x:c>
      <x:c r="BG361" s="18" t="n">
        <x:v>0</x:v>
      </x:c>
    </x:row>
    <x:row r="362">
      <x:c r="A362" s="29" t="str">
        <x:v>453.2</x:v>
      </x:c>
      <x:c r="B362" s="17" t="n">
        <x:v>3127</x:v>
      </x:c>
      <x:c r="C362" s="17" t="str">
        <x:v>גן ילדים עירוני "אשל"</x:v>
      </x:c>
      <x:c r="D362" s="17" t="str">
        <x:v>רבין אסתר ד"ר 80</x:v>
      </x:c>
      <x:c r="E362" s="17" t="str">
        <x:v>גבוה מאוד</x:v>
      </x:c>
      <x:c r="F362" s="18" t="n">
        <x:v>571</x:v>
      </x:c>
      <x:c r="G362" s="18" t="n">
        <x:v>424</x:v>
      </x:c>
      <x:c r="H362" s="19" t="n">
        <x:f>IFERROR(G362/F362,0)</x:f>
        <x:v>0.7425569176882661</x:v>
      </x:c>
      <x:c r="I362" s="18" t="n">
        <x:v>1</x:v>
      </x:c>
      <x:c r="J362" s="18" t="n">
        <x:v>423</x:v>
      </x:c>
      <x:c r="K362" s="18" t="n">
        <x:f>SUM(AM362,BF362,W362,AD362)</x:f>
        <x:v>82</x:v>
      </x:c>
      <x:c r="L362" s="18" t="n">
        <x:f>Q362+R362</x:f>
        <x:v>327</x:v>
      </x:c>
      <x:c r="M362" s="19" t="n">
        <x:f>IFERROR(K362/J362,0)</x:f>
        <x:v>0.1938534278959811</x:v>
      </x:c>
      <x:c r="N362" s="19" t="n">
        <x:f>IFERROR(L362/J362,0)</x:f>
        <x:v>0.7730496453900709</x:v>
      </x:c>
      <x:c r="O362" s="17" t="str">
        <x:f>IF(K362&gt;MAX(L362,S362),"קואליציית ההקמה 2022",IF(L362&gt;MAX(K362,S362),"אופוזיציה רחבה 2022","רשימות אחרות"))</x:f>
        <x:v>אופוזיציה רחבה 2022</x:v>
      </x:c>
      <x:c r="P362" s="17" t="str">
        <x:f>IF(AND(H362&lt;50%,N362&gt;50%),"כן","לא")</x:f>
        <x:v>לא</x:v>
      </x:c>
      <x:c r="Q362" s="18" t="n">
        <x:f>SUM(AV362,AJ362,AL362,T362,AN362)</x:f>
        <x:v>324</x:v>
      </x:c>
      <x:c r="R362" s="18" t="n">
        <x:f>SUM(Y362,AU362,X362)</x:f>
        <x:v>3</x:v>
      </x:c>
      <x:c r="S362" s="18" t="n">
        <x:f>J362-K362-L362</x:f>
        <x:v>14</x:v>
      </x:c>
      <x:c r="T362" s="18" t="n">
        <x:v>18</x:v>
      </x:c>
      <x:c r="U362" s="18" t="n">
        <x:v>1</x:v>
      </x:c>
      <x:c r="V362" s="18" t="n">
        <x:v>8</x:v>
      </x:c>
      <x:c r="W362" s="18" t="n">
        <x:v>0</x:v>
      </x:c>
      <x:c r="X362" s="18" t="n">
        <x:v>0</x:v>
      </x:c>
      <x:c r="Y362" s="18" t="n">
        <x:v>3</x:v>
      </x:c>
      <x:c r="Z362" s="18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15</x:v>
      </x:c>
      <x:c r="AE362" s="18" t="n">
        <x:v>0</x:v>
      </x:c>
      <x:c r="AF362" s="18" t="n">
        <x:v>0</x:v>
      </x:c>
      <x:c r="AG362" s="18" t="n">
        <x:v>0</x:v>
      </x:c>
      <x:c r="AH362" s="18" t="n">
        <x:v>0</x:v>
      </x:c>
      <x:c r="AI362" s="18" t="n">
        <x:v>0</x:v>
      </x:c>
      <x:c r="AJ362" s="18" t="n">
        <x:v>69</x:v>
      </x:c>
      <x:c r="AK362" s="18" t="n">
        <x:v>0</x:v>
      </x:c>
      <x:c r="AL362" s="18" t="n">
        <x:v>18</x:v>
      </x:c>
      <x:c r="AM362" s="18" t="n">
        <x:v>65</x:v>
      </x:c>
      <x:c r="AN362" s="18" t="n">
        <x:v>33</x:v>
      </x:c>
      <x:c r="AO362" s="18" t="n">
        <x:v>0</x:v>
      </x:c>
      <x:c r="AP362" s="18" t="n">
        <x:v>0</x:v>
      </x:c>
      <x:c r="AQ362" s="18" t="n">
        <x:v>0</x:v>
      </x:c>
      <x:c r="AR362" s="18" t="n">
        <x:v>0</x:v>
      </x:c>
      <x:c r="AS362" s="18" t="n">
        <x:v>0</x:v>
      </x:c>
      <x:c r="AT362" s="18" t="n">
        <x:v>0</x:v>
      </x:c>
      <x:c r="AU362" s="18" t="n">
        <x:v>0</x:v>
      </x:c>
      <x:c r="AV362" s="18" t="n">
        <x:v>186</x:v>
      </x:c>
      <x:c r="AW362" s="18" t="n">
        <x:v>0</x:v>
      </x:c>
      <x:c r="AX362" s="18" t="n">
        <x:v>0</x:v>
      </x:c>
      <x:c r="AY362" s="18" t="n">
        <x:v>0</x:v>
      </x:c>
      <x:c r="AZ362" s="18" t="n">
        <x:v>0</x:v>
      </x:c>
      <x:c r="BA362" s="18" t="n">
        <x:v>0</x:v>
      </x:c>
      <x:c r="BB362" s="18" t="n">
        <x:v>0</x:v>
      </x:c>
      <x:c r="BC362" s="18" t="n">
        <x:v>0</x:v>
      </x:c>
      <x:c r="BD362" s="18" t="n">
        <x:v>5</x:v>
      </x:c>
      <x:c r="BE362" s="18" t="n">
        <x:v>0</x:v>
      </x:c>
      <x:c r="BF362" s="18" t="n">
        <x:v>2</x:v>
      </x:c>
      <x:c r="BG362" s="18" t="n">
        <x:v>0</x:v>
      </x:c>
    </x:row>
    <x:row r="363">
      <x:c r="A363" s="29" t="str">
        <x:v>460</x:v>
      </x:c>
      <x:c r="B363" s="17" t="n">
        <x:v>3153</x:v>
      </x:c>
      <x:c r="C363" s="17" t="str">
        <x:v>מרכז קהילתי רמת ספיר</x:v>
      </x:c>
      <x:c r="D363" s="17" t="str">
        <x:v>לוין גוטל 22א</x:v>
      </x:c>
      <x:c r="E363" s="17" t="str">
        <x:v>גבוה מאוד</x:v>
      </x:c>
      <x:c r="F363" s="18" t="n">
        <x:v>494</x:v>
      </x:c>
      <x:c r="G363" s="18" t="n">
        <x:v>343</x:v>
      </x:c>
      <x:c r="H363" s="19" t="n">
        <x:f>IFERROR(G363/F363,0)</x:f>
        <x:v>0.694331983805668</x:v>
      </x:c>
      <x:c r="I363" s="18" t="n">
        <x:v>3</x:v>
      </x:c>
      <x:c r="J363" s="18" t="n">
        <x:v>340</x:v>
      </x:c>
      <x:c r="K363" s="18" t="n">
        <x:f>SUM(AM363,BF363,W363,AD363)</x:f>
        <x:v>72</x:v>
      </x:c>
      <x:c r="L363" s="18" t="n">
        <x:f>Q363+R363</x:f>
        <x:v>258</x:v>
      </x:c>
      <x:c r="M363" s="19" t="n">
        <x:f>IFERROR(K363/J363,0)</x:f>
        <x:v>0.21176470588235294</x:v>
      </x:c>
      <x:c r="N363" s="19" t="n">
        <x:f>IFERROR(L363/J363,0)</x:f>
        <x:v>0.7588235294117647</x:v>
      </x:c>
      <x:c r="O363" s="17" t="str">
        <x:f>IF(K363&gt;MAX(L363,S363),"קואליציית ההקמה 2022",IF(L363&gt;MAX(K363,S363),"אופוזיציה רחבה 2022","רשימות אחרות"))</x:f>
        <x:v>אופוזיציה רחבה 2022</x:v>
      </x:c>
      <x:c r="P363" s="17" t="str">
        <x:f>IF(AND(H363&lt;50%,N363&gt;50%),"כן","לא")</x:f>
        <x:v>לא</x:v>
      </x:c>
      <x:c r="Q363" s="18" t="n">
        <x:f>SUM(AV363,AJ363,AL363,T363,AN363)</x:f>
        <x:v>258</x:v>
      </x:c>
      <x:c r="R363" s="18" t="n">
        <x:f>SUM(Y363,AU363,X363)</x:f>
        <x:v>0</x:v>
      </x:c>
      <x:c r="S363" s="18" t="n">
        <x:f>J363-K363-L363</x:f>
        <x:v>10</x:v>
      </x:c>
      <x:c r="T363" s="18" t="n">
        <x:v>37</x:v>
      </x:c>
      <x:c r="U363" s="18" t="n">
        <x:v>0</x:v>
      </x:c>
      <x:c r="V363" s="18" t="n">
        <x:v>3</x:v>
      </x:c>
      <x:c r="W363" s="18" t="n">
        <x:v>1</x:v>
      </x:c>
      <x:c r="X363" s="18" t="n">
        <x:v>0</x:v>
      </x:c>
      <x:c r="Y363" s="18" t="n">
        <x:v>0</x:v>
      </x:c>
      <x:c r="Z363" s="18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14</x:v>
      </x:c>
      <x:c r="AE363" s="18" t="n">
        <x:v>0</x:v>
      </x:c>
      <x:c r="AF363" s="18" t="n">
        <x:v>0</x:v>
      </x:c>
      <x:c r="AG363" s="18" t="n">
        <x:v>0</x:v>
      </x:c>
      <x:c r="AH363" s="18" t="n">
        <x:v>0</x:v>
      </x:c>
      <x:c r="AI363" s="18" t="n">
        <x:v>0</x:v>
      </x:c>
      <x:c r="AJ363" s="18" t="n">
        <x:v>57</x:v>
      </x:c>
      <x:c r="AK363" s="18" t="n">
        <x:v>0</x:v>
      </x:c>
      <x:c r="AL363" s="18" t="n">
        <x:v>16</x:v>
      </x:c>
      <x:c r="AM363" s="18" t="n">
        <x:v>53</x:v>
      </x:c>
      <x:c r="AN363" s="18" t="n">
        <x:v>14</x:v>
      </x:c>
      <x:c r="AO363" s="18" t="n">
        <x:v>0</x:v>
      </x:c>
      <x:c r="AP363" s="18" t="n">
        <x:v>0</x:v>
      </x:c>
      <x:c r="AQ363" s="18" t="n">
        <x:v>0</x:v>
      </x:c>
      <x:c r="AR363" s="18" t="n">
        <x:v>0</x:v>
      </x:c>
      <x:c r="AS363" s="18" t="n">
        <x:v>0</x:v>
      </x:c>
      <x:c r="AT363" s="18" t="n">
        <x:v>0</x:v>
      </x:c>
      <x:c r="AU363" s="18" t="n">
        <x:v>0</x:v>
      </x:c>
      <x:c r="AV363" s="18" t="n">
        <x:v>134</x:v>
      </x:c>
      <x:c r="AW363" s="18" t="n">
        <x:v>2</x:v>
      </x:c>
      <x:c r="AX363" s="18" t="n">
        <x:v>0</x:v>
      </x:c>
      <x:c r="AY363" s="18" t="n">
        <x:v>0</x:v>
      </x:c>
      <x:c r="AZ363" s="18" t="n">
        <x:v>0</x:v>
      </x:c>
      <x:c r="BA363" s="18" t="n">
        <x:v>0</x:v>
      </x:c>
      <x:c r="BB363" s="18" t="n">
        <x:v>0</x:v>
      </x:c>
      <x:c r="BC363" s="18" t="n">
        <x:v>1</x:v>
      </x:c>
      <x:c r="BD363" s="18" t="n">
        <x:v>4</x:v>
      </x:c>
      <x:c r="BE363" s="18" t="n">
        <x:v>0</x:v>
      </x:c>
      <x:c r="BF363" s="18" t="n">
        <x:v>4</x:v>
      </x:c>
      <x:c r="BG363" s="18" t="n">
        <x:v>0</x:v>
      </x:c>
    </x:row>
    <x:row r="364">
      <x:c r="A364" s="29" t="str">
        <x:v>461.1</x:v>
      </x:c>
      <x:c r="B364" s="17" t="n">
        <x:v>3065</x:v>
      </x:c>
      <x:c r="C364" s="17" t="str">
        <x:v>בי"ס בן גוריון</x:v>
      </x:c>
      <x:c r="D364" s="17" t="str">
        <x:v>קרן היסוד 33</x:v>
      </x:c>
      <x:c r="E364" s="17" t="str">
        <x:v>גבוה מאוד</x:v>
      </x:c>
      <x:c r="F364" s="18" t="n">
        <x:v>682</x:v>
      </x:c>
      <x:c r="G364" s="18" t="n">
        <x:v>459</x:v>
      </x:c>
      <x:c r="H364" s="19" t="n">
        <x:f>IFERROR(G364/F364,0)</x:f>
        <x:v>0.6730205278592375</x:v>
      </x:c>
      <x:c r="I364" s="18" t="n">
        <x:v>0</x:v>
      </x:c>
      <x:c r="J364" s="18" t="n">
        <x:v>459</x:v>
      </x:c>
      <x:c r="K364" s="18" t="n">
        <x:f>SUM(AM364,BF364,W364,AD364)</x:f>
        <x:v>116</x:v>
      </x:c>
      <x:c r="L364" s="18" t="n">
        <x:f>Q364+R364</x:f>
        <x:v>327</x:v>
      </x:c>
      <x:c r="M364" s="19" t="n">
        <x:f>IFERROR(K364/J364,0)</x:f>
        <x:v>0.25272331154684097</x:v>
      </x:c>
      <x:c r="N364" s="19" t="n">
        <x:f>IFERROR(L364/J364,0)</x:f>
        <x:v>0.7124183006535948</x:v>
      </x:c>
      <x:c r="O364" s="17" t="str">
        <x:f>IF(K364&gt;MAX(L364,S364),"קואליציית ההקמה 2022",IF(L364&gt;MAX(K364,S364),"אופוזיציה רחבה 2022","רשימות אחרות"))</x:f>
        <x:v>אופוזיציה רחבה 2022</x:v>
      </x:c>
      <x:c r="P364" s="17" t="str">
        <x:f>IF(AND(H364&lt;50%,N364&gt;50%),"כן","לא")</x:f>
        <x:v>לא</x:v>
      </x:c>
      <x:c r="Q364" s="18" t="n">
        <x:f>SUM(AV364,AJ364,AL364,T364,AN364)</x:f>
        <x:v>322</x:v>
      </x:c>
      <x:c r="R364" s="18" t="n">
        <x:f>SUM(Y364,AU364,X364)</x:f>
        <x:v>5</x:v>
      </x:c>
      <x:c r="S364" s="18" t="n">
        <x:f>J364-K364-L364</x:f>
        <x:v>16</x:v>
      </x:c>
      <x:c r="T364" s="18" t="n">
        <x:v>31</x:v>
      </x:c>
      <x:c r="U364" s="18" t="n">
        <x:v>2</x:v>
      </x:c>
      <x:c r="V364" s="18" t="n">
        <x:v>6</x:v>
      </x:c>
      <x:c r="W364" s="18" t="n">
        <x:v>1</x:v>
      </x:c>
      <x:c r="X364" s="18" t="n">
        <x:v>0</x:v>
      </x:c>
      <x:c r="Y364" s="18" t="n">
        <x:v>3</x:v>
      </x:c>
      <x:c r="Z364" s="18" t="n">
        <x:v>2</x:v>
      </x:c>
      <x:c r="AA364" s="18" t="n">
        <x:v>0</x:v>
      </x:c>
      <x:c r="AB364" s="18" t="n">
        <x:v>0</x:v>
      </x:c>
      <x:c r="AC364" s="18" t="n">
        <x:v>0</x:v>
      </x:c>
      <x:c r="AD364" s="18" t="n">
        <x:v>18</x:v>
      </x:c>
      <x:c r="AE364" s="18" t="n">
        <x:v>0</x:v>
      </x:c>
      <x:c r="AF364" s="18" t="n">
        <x:v>1</x:v>
      </x:c>
      <x:c r="AG364" s="18" t="n">
        <x:v>0</x:v>
      </x:c>
      <x:c r="AH364" s="18" t="n">
        <x:v>0</x:v>
      </x:c>
      <x:c r="AI364" s="18" t="n">
        <x:v>0</x:v>
      </x:c>
      <x:c r="AJ364" s="18" t="n">
        <x:v>65</x:v>
      </x:c>
      <x:c r="AK364" s="18" t="n">
        <x:v>0</x:v>
      </x:c>
      <x:c r="AL364" s="18" t="n">
        <x:v>31</x:v>
      </x:c>
      <x:c r="AM364" s="18" t="n">
        <x:v>88</x:v>
      </x:c>
      <x:c r="AN364" s="18" t="n">
        <x:v>21</x:v>
      </x:c>
      <x:c r="AO364" s="18" t="n">
        <x:v>0</x:v>
      </x:c>
      <x:c r="AP364" s="18" t="n">
        <x:v>0</x:v>
      </x:c>
      <x:c r="AQ364" s="18" t="n">
        <x:v>0</x:v>
      </x:c>
      <x:c r="AR364" s="18" t="n">
        <x:v>0</x:v>
      </x:c>
      <x:c r="AS364" s="18" t="n">
        <x:v>0</x:v>
      </x:c>
      <x:c r="AT364" s="18" t="n">
        <x:v>0</x:v>
      </x:c>
      <x:c r="AU364" s="18" t="n">
        <x:v>2</x:v>
      </x:c>
      <x:c r="AV364" s="18" t="n">
        <x:v>174</x:v>
      </x:c>
      <x:c r="AW364" s="18" t="n">
        <x:v>0</x:v>
      </x:c>
      <x:c r="AX364" s="18" t="n">
        <x:v>1</x:v>
      </x:c>
      <x:c r="AY364" s="18" t="n">
        <x:v>0</x:v>
      </x:c>
      <x:c r="AZ364" s="18" t="n">
        <x:v>0</x:v>
      </x:c>
      <x:c r="BA364" s="18" t="n">
        <x:v>0</x:v>
      </x:c>
      <x:c r="BB364" s="18" t="n">
        <x:v>0</x:v>
      </x:c>
      <x:c r="BC364" s="18" t="n">
        <x:v>0</x:v>
      </x:c>
      <x:c r="BD364" s="18" t="n">
        <x:v>4</x:v>
      </x:c>
      <x:c r="BE364" s="18" t="n">
        <x:v>0</x:v>
      </x:c>
      <x:c r="BF364" s="18" t="n">
        <x:v>9</x:v>
      </x:c>
      <x:c r="BG364" s="18" t="n">
        <x:v>0</x:v>
      </x:c>
    </x:row>
    <x:row r="365">
      <x:c r="A365" s="29" t="str">
        <x:v>461.2</x:v>
      </x:c>
      <x:c r="B365" s="17" t="n">
        <x:v>3066</x:v>
      </x:c>
      <x:c r="C365" s="17" t="str">
        <x:v>בי"ס בן גוריון</x:v>
      </x:c>
      <x:c r="D365" s="17" t="str">
        <x:v>קרן היסוד 33</x:v>
      </x:c>
      <x:c r="E365" s="17" t="str">
        <x:v>גבוה מאוד</x:v>
      </x:c>
      <x:c r="F365" s="18" t="n">
        <x:v>682</x:v>
      </x:c>
      <x:c r="G365" s="18" t="n">
        <x:v>453</x:v>
      </x:c>
      <x:c r="H365" s="19" t="n">
        <x:f>IFERROR(G365/F365,0)</x:f>
        <x:v>0.6642228739002932</x:v>
      </x:c>
      <x:c r="I365" s="18" t="n">
        <x:v>0</x:v>
      </x:c>
      <x:c r="J365" s="18" t="n">
        <x:v>453</x:v>
      </x:c>
      <x:c r="K365" s="18" t="n">
        <x:f>SUM(AM365,BF365,W365,AD365)</x:f>
        <x:v>93</x:v>
      </x:c>
      <x:c r="L365" s="18" t="n">
        <x:f>Q365+R365</x:f>
        <x:v>354</x:v>
      </x:c>
      <x:c r="M365" s="19" t="n">
        <x:f>IFERROR(K365/J365,0)</x:f>
        <x:v>0.2052980132450331</x:v>
      </x:c>
      <x:c r="N365" s="19" t="n">
        <x:f>IFERROR(L365/J365,0)</x:f>
        <x:v>0.7814569536423841</x:v>
      </x:c>
      <x:c r="O365" s="17" t="str">
        <x:f>IF(K365&gt;MAX(L365,S365),"קואליציית ההקמה 2022",IF(L365&gt;MAX(K365,S365),"אופוזיציה רחבה 2022","רשימות אחרות"))</x:f>
        <x:v>אופוזיציה רחבה 2022</x:v>
      </x:c>
      <x:c r="P365" s="17" t="str">
        <x:f>IF(AND(H365&lt;50%,N365&gt;50%),"כן","לא")</x:f>
        <x:v>לא</x:v>
      </x:c>
      <x:c r="Q365" s="18" t="n">
        <x:f>SUM(AV365,AJ365,AL365,T365,AN365)</x:f>
        <x:v>350</x:v>
      </x:c>
      <x:c r="R365" s="18" t="n">
        <x:f>SUM(Y365,AU365,X365)</x:f>
        <x:v>4</x:v>
      </x:c>
      <x:c r="S365" s="18" t="n">
        <x:f>J365-K365-L365</x:f>
        <x:v>6</x:v>
      </x:c>
      <x:c r="T365" s="18" t="n">
        <x:v>30</x:v>
      </x:c>
      <x:c r="U365" s="18" t="n">
        <x:v>0</x:v>
      </x:c>
      <x:c r="V365" s="18" t="n">
        <x:v>3</x:v>
      </x:c>
      <x:c r="W365" s="18" t="n">
        <x:v>0</x:v>
      </x:c>
      <x:c r="X365" s="18" t="n">
        <x:v>3</x:v>
      </x:c>
      <x:c r="Y365" s="18" t="n">
        <x:v>1</x:v>
      </x:c>
      <x:c r="Z365" s="18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16</x:v>
      </x:c>
      <x:c r="AE365" s="18" t="n">
        <x:v>0</x:v>
      </x:c>
      <x:c r="AF365" s="18" t="n">
        <x:v>0</x:v>
      </x:c>
      <x:c r="AG365" s="18" t="n">
        <x:v>0</x:v>
      </x:c>
      <x:c r="AH365" s="18" t="n">
        <x:v>0</x:v>
      </x:c>
      <x:c r="AI365" s="18" t="n">
        <x:v>0</x:v>
      </x:c>
      <x:c r="AJ365" s="18" t="n">
        <x:v>73</x:v>
      </x:c>
      <x:c r="AK365" s="18" t="n">
        <x:v>0</x:v>
      </x:c>
      <x:c r="AL365" s="18" t="n">
        <x:v>26</x:v>
      </x:c>
      <x:c r="AM365" s="18" t="n">
        <x:v>76</x:v>
      </x:c>
      <x:c r="AN365" s="18" t="n">
        <x:v>25</x:v>
      </x:c>
      <x:c r="AO365" s="18" t="n">
        <x:v>0</x:v>
      </x:c>
      <x:c r="AP365" s="18" t="n">
        <x:v>0</x:v>
      </x:c>
      <x:c r="AQ365" s="18" t="n">
        <x:v>0</x:v>
      </x:c>
      <x:c r="AR365" s="18" t="n">
        <x:v>0</x:v>
      </x:c>
      <x:c r="AS365" s="18" t="n">
        <x:v>0</x:v>
      </x:c>
      <x:c r="AT365" s="18" t="n">
        <x:v>0</x:v>
      </x:c>
      <x:c r="AU365" s="18" t="n">
        <x:v>0</x:v>
      </x:c>
      <x:c r="AV365" s="18" t="n">
        <x:v>196</x:v>
      </x:c>
      <x:c r="AW365" s="18" t="n">
        <x:v>0</x:v>
      </x:c>
      <x:c r="AX365" s="18" t="n">
        <x:v>0</x:v>
      </x:c>
      <x:c r="AY365" s="18" t="n">
        <x:v>0</x:v>
      </x:c>
      <x:c r="AZ365" s="18" t="n">
        <x:v>1</x:v>
      </x:c>
      <x:c r="BA365" s="18" t="n">
        <x:v>0</x:v>
      </x:c>
      <x:c r="BB365" s="18" t="n">
        <x:v>0</x:v>
      </x:c>
      <x:c r="BC365" s="18" t="n">
        <x:v>0</x:v>
      </x:c>
      <x:c r="BD365" s="18" t="n">
        <x:v>2</x:v>
      </x:c>
      <x:c r="BE365" s="18" t="n">
        <x:v>0</x:v>
      </x:c>
      <x:c r="BF365" s="18" t="n">
        <x:v>1</x:v>
      </x:c>
      <x:c r="BG365" s="18" t="n">
        <x:v>0</x:v>
      </x:c>
    </x:row>
    <x:row r="366">
      <x:c r="A366" s="29" t="str">
        <x:v>461.3</x:v>
      </x:c>
      <x:c r="B366" s="17" t="n">
        <x:v>3067</x:v>
      </x:c>
      <x:c r="C366" s="17" t="str">
        <x:v>בי"ס בן גוריון</x:v>
      </x:c>
      <x:c r="D366" s="17" t="str">
        <x:v>קרן היסוד 33</x:v>
      </x:c>
      <x:c r="E366" s="17" t="str">
        <x:v>גבוה מאוד</x:v>
      </x:c>
      <x:c r="F366" s="18" t="n">
        <x:v>682</x:v>
      </x:c>
      <x:c r="G366" s="18" t="n">
        <x:v>433</x:v>
      </x:c>
      <x:c r="H366" s="19" t="n">
        <x:f>IFERROR(G366/F366,0)</x:f>
        <x:v>0.6348973607038123</x:v>
      </x:c>
      <x:c r="I366" s="18" t="n">
        <x:v>3</x:v>
      </x:c>
      <x:c r="J366" s="18" t="n">
        <x:v>430</x:v>
      </x:c>
      <x:c r="K366" s="18" t="n">
        <x:f>SUM(AM366,BF366,W366,AD366)</x:f>
        <x:v>80</x:v>
      </x:c>
      <x:c r="L366" s="18" t="n">
        <x:f>Q366+R366</x:f>
        <x:v>335</x:v>
      </x:c>
      <x:c r="M366" s="19" t="n">
        <x:f>IFERROR(K366/J366,0)</x:f>
        <x:v>0.18604651162790697</x:v>
      </x:c>
      <x:c r="N366" s="19" t="n">
        <x:f>IFERROR(L366/J366,0)</x:f>
        <x:v>0.7790697674418605</x:v>
      </x:c>
      <x:c r="O366" s="17" t="str">
        <x:f>IF(K366&gt;MAX(L366,S366),"קואליציית ההקמה 2022",IF(L366&gt;MAX(K366,S366),"אופוזיציה רחבה 2022","רשימות אחרות"))</x:f>
        <x:v>אופוזיציה רחבה 2022</x:v>
      </x:c>
      <x:c r="P366" s="17" t="str">
        <x:f>IF(AND(H366&lt;50%,N366&gt;50%),"כן","לא")</x:f>
        <x:v>לא</x:v>
      </x:c>
      <x:c r="Q366" s="18" t="n">
        <x:f>SUM(AV366,AJ366,AL366,T366,AN366)</x:f>
        <x:v>330</x:v>
      </x:c>
      <x:c r="R366" s="18" t="n">
        <x:f>SUM(Y366,AU366,X366)</x:f>
        <x:v>5</x:v>
      </x:c>
      <x:c r="S366" s="18" t="n">
        <x:f>J366-K366-L366</x:f>
        <x:v>15</x:v>
      </x:c>
      <x:c r="T366" s="18" t="n">
        <x:v>39</x:v>
      </x:c>
      <x:c r="U366" s="18" t="n">
        <x:v>6</x:v>
      </x:c>
      <x:c r="V366" s="18" t="n">
        <x:v>4</x:v>
      </x:c>
      <x:c r="W366" s="18" t="n">
        <x:v>0</x:v>
      </x:c>
      <x:c r="X366" s="18" t="n">
        <x:v>1</x:v>
      </x:c>
      <x:c r="Y366" s="18" t="n">
        <x:v>3</x:v>
      </x:c>
      <x:c r="Z366" s="18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15</x:v>
      </x:c>
      <x:c r="AE366" s="18" t="n">
        <x:v>0</x:v>
      </x:c>
      <x:c r="AF366" s="18" t="n">
        <x:v>1</x:v>
      </x:c>
      <x:c r="AG366" s="18" t="n">
        <x:v>0</x:v>
      </x:c>
      <x:c r="AH366" s="18" t="n">
        <x:v>0</x:v>
      </x:c>
      <x:c r="AI366" s="18" t="n">
        <x:v>0</x:v>
      </x:c>
      <x:c r="AJ366" s="18" t="n">
        <x:v>67</x:v>
      </x:c>
      <x:c r="AK366" s="18" t="n">
        <x:v>0</x:v>
      </x:c>
      <x:c r="AL366" s="18" t="n">
        <x:v>29</x:v>
      </x:c>
      <x:c r="AM366" s="18" t="n">
        <x:v>64</x:v>
      </x:c>
      <x:c r="AN366" s="18" t="n">
        <x:v>20</x:v>
      </x:c>
      <x:c r="AO366" s="18" t="n">
        <x:v>0</x:v>
      </x:c>
      <x:c r="AP366" s="18" t="n">
        <x:v>0</x:v>
      </x:c>
      <x:c r="AQ366" s="18" t="n">
        <x:v>0</x:v>
      </x:c>
      <x:c r="AR366" s="18" t="n">
        <x:v>0</x:v>
      </x:c>
      <x:c r="AS366" s="18" t="n">
        <x:v>0</x:v>
      </x:c>
      <x:c r="AT366" s="18" t="n">
        <x:v>0</x:v>
      </x:c>
      <x:c r="AU366" s="18" t="n">
        <x:v>1</x:v>
      </x:c>
      <x:c r="AV366" s="18" t="n">
        <x:v>175</x:v>
      </x:c>
      <x:c r="AW366" s="18" t="n">
        <x:v>0</x:v>
      </x:c>
      <x:c r="AX366" s="18" t="n">
        <x:v>2</x:v>
      </x:c>
      <x:c r="AY366" s="18" t="n">
        <x:v>0</x:v>
      </x:c>
      <x:c r="AZ366" s="18" t="n">
        <x:v>0</x:v>
      </x:c>
      <x:c r="BA366" s="18" t="n">
        <x:v>0</x:v>
      </x:c>
      <x:c r="BB366" s="18" t="n">
        <x:v>0</x:v>
      </x:c>
      <x:c r="BC366" s="18" t="n">
        <x:v>0</x:v>
      </x:c>
      <x:c r="BD366" s="18" t="n">
        <x:v>2</x:v>
      </x:c>
      <x:c r="BE366" s="18" t="n">
        <x:v>0</x:v>
      </x:c>
      <x:c r="BF366" s="18" t="n">
        <x:v>1</x:v>
      </x:c>
      <x:c r="BG366" s="18" t="n">
        <x:v>0</x:v>
      </x:c>
    </x:row>
    <x:row r="367">
      <x:c r="A367" s="29" t="str">
        <x:v>461.4</x:v>
      </x:c>
      <x:c r="B367" s="17" t="n">
        <x:v>3068</x:v>
      </x:c>
      <x:c r="C367" s="17" t="str">
        <x:v>בי"ס בן גוריון</x:v>
      </x:c>
      <x:c r="D367" s="17" t="str">
        <x:v>קרן היסוד 33</x:v>
      </x:c>
      <x:c r="E367" s="17" t="str">
        <x:v>גבוה מאוד</x:v>
      </x:c>
      <x:c r="F367" s="18" t="n">
        <x:v>679</x:v>
      </x:c>
      <x:c r="G367" s="18" t="n">
        <x:v>435</x:v>
      </x:c>
      <x:c r="H367" s="19" t="n">
        <x:f>IFERROR(G367/F367,0)</x:f>
        <x:v>0.6406480117820325</x:v>
      </x:c>
      <x:c r="I367" s="18" t="n">
        <x:v>3</x:v>
      </x:c>
      <x:c r="J367" s="18" t="n">
        <x:v>432</x:v>
      </x:c>
      <x:c r="K367" s="18" t="n">
        <x:f>SUM(AM367,BF367,W367,AD367)</x:f>
        <x:v>59</x:v>
      </x:c>
      <x:c r="L367" s="18" t="n">
        <x:f>Q367+R367</x:f>
        <x:v>368</x:v>
      </x:c>
      <x:c r="M367" s="19" t="n">
        <x:f>IFERROR(K367/J367,0)</x:f>
        <x:v>0.13657407407407407</x:v>
      </x:c>
      <x:c r="N367" s="19" t="n">
        <x:f>IFERROR(L367/J367,0)</x:f>
        <x:v>0.8518518518518519</x:v>
      </x:c>
      <x:c r="O367" s="17" t="str">
        <x:f>IF(K367&gt;MAX(L367,S367),"קואליציית ההקמה 2022",IF(L367&gt;MAX(K367,S367),"אופוזיציה רחבה 2022","רשימות אחרות"))</x:f>
        <x:v>אופוזיציה רחבה 2022</x:v>
      </x:c>
      <x:c r="P367" s="17" t="str">
        <x:f>IF(AND(H367&lt;50%,N367&gt;50%),"כן","לא")</x:f>
        <x:v>לא</x:v>
      </x:c>
      <x:c r="Q367" s="18" t="n">
        <x:f>SUM(AV367,AJ367,AL367,T367,AN367)</x:f>
        <x:v>365</x:v>
      </x:c>
      <x:c r="R367" s="18" t="n">
        <x:f>SUM(Y367,AU367,X367)</x:f>
        <x:v>3</x:v>
      </x:c>
      <x:c r="S367" s="18" t="n">
        <x:f>J367-K367-L367</x:f>
        <x:v>5</x:v>
      </x:c>
      <x:c r="T367" s="18" t="n">
        <x:v>25</x:v>
      </x:c>
      <x:c r="U367" s="18" t="n">
        <x:v>2</x:v>
      </x:c>
      <x:c r="V367" s="18" t="n">
        <x:v>3</x:v>
      </x:c>
      <x:c r="W367" s="18" t="n">
        <x:v>0</x:v>
      </x:c>
      <x:c r="X367" s="18" t="n">
        <x:v>0</x:v>
      </x:c>
      <x:c r="Y367" s="18" t="n">
        <x:v>1</x:v>
      </x:c>
      <x:c r="Z367" s="18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6</x:v>
      </x:c>
      <x:c r="AE367" s="18" t="n">
        <x:v>0</x:v>
      </x:c>
      <x:c r="AF367" s="18" t="n">
        <x:v>0</x:v>
      </x:c>
      <x:c r="AG367" s="18" t="n">
        <x:v>0</x:v>
      </x:c>
      <x:c r="AH367" s="18" t="n">
        <x:v>0</x:v>
      </x:c>
      <x:c r="AI367" s="18" t="n">
        <x:v>0</x:v>
      </x:c>
      <x:c r="AJ367" s="18" t="n">
        <x:v>73</x:v>
      </x:c>
      <x:c r="AK367" s="18" t="n">
        <x:v>0</x:v>
      </x:c>
      <x:c r="AL367" s="18" t="n">
        <x:v>37</x:v>
      </x:c>
      <x:c r="AM367" s="18" t="n">
        <x:v>53</x:v>
      </x:c>
      <x:c r="AN367" s="18" t="n">
        <x:v>27</x:v>
      </x:c>
      <x:c r="AO367" s="18" t="n">
        <x:v>0</x:v>
      </x:c>
      <x:c r="AP367" s="18" t="n">
        <x:v>0</x:v>
      </x:c>
      <x:c r="AQ367" s="18" t="n">
        <x:v>0</x:v>
      </x:c>
      <x:c r="AR367" s="18" t="n">
        <x:v>0</x:v>
      </x:c>
      <x:c r="AS367" s="18" t="n">
        <x:v>0</x:v>
      </x:c>
      <x:c r="AT367" s="18" t="n">
        <x:v>0</x:v>
      </x:c>
      <x:c r="AU367" s="18" t="n">
        <x:v>2</x:v>
      </x:c>
      <x:c r="AV367" s="18" t="n">
        <x:v>203</x:v>
      </x:c>
      <x:c r="AW367" s="18" t="n">
        <x:v>0</x:v>
      </x:c>
      <x:c r="AX367" s="18" t="n">
        <x:v>0</x:v>
      </x:c>
      <x:c r="AY367" s="18" t="n">
        <x:v>0</x:v>
      </x:c>
      <x:c r="AZ367" s="18" t="n">
        <x:v>0</x:v>
      </x:c>
      <x:c r="BA367" s="18" t="n">
        <x:v>0</x:v>
      </x:c>
      <x:c r="BB367" s="18" t="n">
        <x:v>0</x:v>
      </x:c>
      <x:c r="BC367" s="18" t="n">
        <x:v>0</x:v>
      </x:c>
      <x:c r="BD367" s="18" t="n">
        <x:v>0</x:v>
      </x:c>
      <x:c r="BE367" s="18" t="n">
        <x:v>0</x:v>
      </x:c>
      <x:c r="BF367" s="18" t="n">
        <x:v>0</x:v>
      </x:c>
      <x:c r="BG367" s="18" t="n">
        <x:v>0</x:v>
      </x:c>
    </x:row>
    <x:row r="368">
      <x:c r="A368" s="29" t="str">
        <x:v>462</x:v>
      </x:c>
      <x:c r="B368" s="17" t="n">
        <x:v>3128</x:v>
      </x:c>
      <x:c r="C368" s="17" t="str">
        <x:v>בי"ס הבונים</x:v>
      </x:c>
      <x:c r="D368" s="17" t="str">
        <x:v>חביבה רייך 16</x:v>
      </x:c>
      <x:c r="E368" s="17" t="str">
        <x:v>גבוה מאוד</x:v>
      </x:c>
      <x:c r="F368" s="18" t="n">
        <x:v>522</x:v>
      </x:c>
      <x:c r="G368" s="18" t="n">
        <x:v>381</x:v>
      </x:c>
      <x:c r="H368" s="19" t="n">
        <x:f>IFERROR(G368/F368,0)</x:f>
        <x:v>0.7298850574712644</x:v>
      </x:c>
      <x:c r="I368" s="18" t="n">
        <x:v>0</x:v>
      </x:c>
      <x:c r="J368" s="18" t="n">
        <x:v>381</x:v>
      </x:c>
      <x:c r="K368" s="18" t="n">
        <x:f>SUM(AM368,BF368,W368,AD368)</x:f>
        <x:v>150</x:v>
      </x:c>
      <x:c r="L368" s="18" t="n">
        <x:f>Q368+R368</x:f>
        <x:v>217</x:v>
      </x:c>
      <x:c r="M368" s="19" t="n">
        <x:f>IFERROR(K368/J368,0)</x:f>
        <x:v>0.3937007874015748</x:v>
      </x:c>
      <x:c r="N368" s="19" t="n">
        <x:f>IFERROR(L368/J368,0)</x:f>
        <x:v>0.5695538057742782</x:v>
      </x:c>
      <x:c r="O368" s="17" t="str">
        <x:f>IF(K368&gt;MAX(L368,S368),"קואליציית ההקמה 2022",IF(L368&gt;MAX(K368,S368),"אופוזיציה רחבה 2022","רשימות אחרות"))</x:f>
        <x:v>אופוזיציה רחבה 2022</x:v>
      </x:c>
      <x:c r="P368" s="17" t="str">
        <x:f>IF(AND(H368&lt;50%,N368&gt;50%),"כן","לא")</x:f>
        <x:v>לא</x:v>
      </x:c>
      <x:c r="Q368" s="18" t="n">
        <x:f>SUM(AV368,AJ368,AL368,T368,AN368)</x:f>
        <x:v>217</x:v>
      </x:c>
      <x:c r="R368" s="18" t="n">
        <x:f>SUM(Y368,AU368,X368)</x:f>
        <x:v>0</x:v>
      </x:c>
      <x:c r="S368" s="18" t="n">
        <x:f>J368-K368-L368</x:f>
        <x:v>14</x:v>
      </x:c>
      <x:c r="T368" s="18" t="n">
        <x:v>16</x:v>
      </x:c>
      <x:c r="U368" s="18" t="n">
        <x:v>5</x:v>
      </x:c>
      <x:c r="V368" s="18" t="n">
        <x:v>5</x:v>
      </x:c>
      <x:c r="W368" s="18" t="n">
        <x:v>4</x:v>
      </x:c>
      <x:c r="X368" s="18" t="n">
        <x:v>0</x:v>
      </x:c>
      <x:c r="Y368" s="18" t="n">
        <x:v>0</x:v>
      </x:c>
      <x:c r="Z368" s="18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31</x:v>
      </x:c>
      <x:c r="AE368" s="18" t="n">
        <x:v>0</x:v>
      </x:c>
      <x:c r="AF368" s="18" t="n">
        <x:v>3</x:v>
      </x:c>
      <x:c r="AG368" s="18" t="n">
        <x:v>0</x:v>
      </x:c>
      <x:c r="AH368" s="18" t="n">
        <x:v>0</x:v>
      </x:c>
      <x:c r="AI368" s="18" t="n">
        <x:v>0</x:v>
      </x:c>
      <x:c r="AJ368" s="18" t="n">
        <x:v>71</x:v>
      </x:c>
      <x:c r="AK368" s="18" t="n">
        <x:v>0</x:v>
      </x:c>
      <x:c r="AL368" s="18" t="n">
        <x:v>15</x:v>
      </x:c>
      <x:c r="AM368" s="18" t="n">
        <x:v>111</x:v>
      </x:c>
      <x:c r="AN368" s="18" t="n">
        <x:v>11</x:v>
      </x:c>
      <x:c r="AO368" s="18" t="n">
        <x:v>0</x:v>
      </x:c>
      <x:c r="AP368" s="18" t="n">
        <x:v>0</x:v>
      </x:c>
      <x:c r="AQ368" s="18" t="n">
        <x:v>0</x:v>
      </x:c>
      <x:c r="AR368" s="18" t="n">
        <x:v>0</x:v>
      </x:c>
      <x:c r="AS368" s="18" t="n">
        <x:v>0</x:v>
      </x:c>
      <x:c r="AT368" s="18" t="n">
        <x:v>0</x:v>
      </x:c>
      <x:c r="AU368" s="18" t="n">
        <x:v>0</x:v>
      </x:c>
      <x:c r="AV368" s="18" t="n">
        <x:v>104</x:v>
      </x:c>
      <x:c r="AW368" s="18" t="n">
        <x:v>0</x:v>
      </x:c>
      <x:c r="AX368" s="18" t="n">
        <x:v>0</x:v>
      </x:c>
      <x:c r="AY368" s="18" t="n">
        <x:v>0</x:v>
      </x:c>
      <x:c r="AZ368" s="18" t="n">
        <x:v>0</x:v>
      </x:c>
      <x:c r="BA368" s="18" t="n">
        <x:v>0</x:v>
      </x:c>
      <x:c r="BB368" s="18" t="n">
        <x:v>0</x:v>
      </x:c>
      <x:c r="BC368" s="18" t="n">
        <x:v>0</x:v>
      </x:c>
      <x:c r="BD368" s="18" t="n">
        <x:v>1</x:v>
      </x:c>
      <x:c r="BE368" s="18" t="n">
        <x:v>0</x:v>
      </x:c>
      <x:c r="BF368" s="18" t="n">
        <x:v>4</x:v>
      </x:c>
      <x:c r="BG368" s="18" t="n">
        <x:v>0</x:v>
      </x:c>
    </x:row>
    <x:row r="369">
      <x:c r="A369" s="29" t="str">
        <x:v>463.1</x:v>
      </x:c>
      <x:c r="B369" s="17" t="n">
        <x:v>2975</x:v>
      </x:c>
      <x:c r="C369" s="17" t="str">
        <x:v>בי"ס אילנות</x:v>
      </x:c>
      <x:c r="D369" s="17" t="str">
        <x:v>הסנה 8</x:v>
      </x:c>
      <x:c r="E369" s="17" t="str">
        <x:v>גבוה מאוד</x:v>
      </x:c>
      <x:c r="F369" s="18" t="n">
        <x:v>595</x:v>
      </x:c>
      <x:c r="G369" s="18" t="n">
        <x:v>405</x:v>
      </x:c>
      <x:c r="H369" s="19" t="n">
        <x:f>IFERROR(G369/F369,0)</x:f>
        <x:v>0.680672268907563</x:v>
      </x:c>
      <x:c r="I369" s="18" t="n">
        <x:v>0</x:v>
      </x:c>
      <x:c r="J369" s="18" t="n">
        <x:v>405</x:v>
      </x:c>
      <x:c r="K369" s="18" t="n">
        <x:f>SUM(AM369,BF369,W369,AD369)</x:f>
        <x:v>162</x:v>
      </x:c>
      <x:c r="L369" s="18" t="n">
        <x:f>Q369+R369</x:f>
        <x:v>235</x:v>
      </x:c>
      <x:c r="M369" s="19" t="n">
        <x:f>IFERROR(K369/J369,0)</x:f>
        <x:v>0.4</x:v>
      </x:c>
      <x:c r="N369" s="19" t="n">
        <x:f>IFERROR(L369/J369,0)</x:f>
        <x:v>0.5802469135802469</x:v>
      </x:c>
      <x:c r="O369" s="17" t="str">
        <x:f>IF(K369&gt;MAX(L369,S369),"קואליציית ההקמה 2022",IF(L369&gt;MAX(K369,S369),"אופוזיציה רחבה 2022","רשימות אחרות"))</x:f>
        <x:v>אופוזיציה רחבה 2022</x:v>
      </x:c>
      <x:c r="P369" s="17" t="str">
        <x:f>IF(AND(H369&lt;50%,N369&gt;50%),"כן","לא")</x:f>
        <x:v>לא</x:v>
      </x:c>
      <x:c r="Q369" s="18" t="n">
        <x:f>SUM(AV369,AJ369,AL369,T369,AN369)</x:f>
        <x:v>224</x:v>
      </x:c>
      <x:c r="R369" s="18" t="n">
        <x:f>SUM(Y369,AU369,X369)</x:f>
        <x:v>11</x:v>
      </x:c>
      <x:c r="S369" s="18" t="n">
        <x:f>J369-K369-L369</x:f>
        <x:v>8</x:v>
      </x:c>
      <x:c r="T369" s="18" t="n">
        <x:v>17</x:v>
      </x:c>
      <x:c r="U369" s="18" t="n">
        <x:v>1</x:v>
      </x:c>
      <x:c r="V369" s="18" t="n">
        <x:v>1</x:v>
      </x:c>
      <x:c r="W369" s="18" t="n">
        <x:v>0</x:v>
      </x:c>
      <x:c r="X369" s="18" t="n">
        <x:v>4</x:v>
      </x:c>
      <x:c r="Y369" s="18" t="n">
        <x:v>6</x:v>
      </x:c>
      <x:c r="Z369" s="18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25</x:v>
      </x:c>
      <x:c r="AE369" s="18" t="n">
        <x:v>0</x:v>
      </x:c>
      <x:c r="AF369" s="18" t="n">
        <x:v>4</x:v>
      </x:c>
      <x:c r="AG369" s="18" t="n">
        <x:v>0</x:v>
      </x:c>
      <x:c r="AH369" s="18" t="n">
        <x:v>0</x:v>
      </x:c>
      <x:c r="AI369" s="18" t="n">
        <x:v>0</x:v>
      </x:c>
      <x:c r="AJ369" s="18" t="n">
        <x:v>48</x:v>
      </x:c>
      <x:c r="AK369" s="18" t="n">
        <x:v>0</x:v>
      </x:c>
      <x:c r="AL369" s="18" t="n">
        <x:v>10</x:v>
      </x:c>
      <x:c r="AM369" s="18" t="n">
        <x:v>127</x:v>
      </x:c>
      <x:c r="AN369" s="18" t="n">
        <x:v>23</x:v>
      </x:c>
      <x:c r="AO369" s="18" t="n">
        <x:v>0</x:v>
      </x:c>
      <x:c r="AP369" s="18" t="n">
        <x:v>0</x:v>
      </x:c>
      <x:c r="AQ369" s="18" t="n">
        <x:v>0</x:v>
      </x:c>
      <x:c r="AR369" s="18" t="n">
        <x:v>0</x:v>
      </x:c>
      <x:c r="AS369" s="18" t="n">
        <x:v>1</x:v>
      </x:c>
      <x:c r="AT369" s="18" t="n">
        <x:v>0</x:v>
      </x:c>
      <x:c r="AU369" s="18" t="n">
        <x:v>1</x:v>
      </x:c>
      <x:c r="AV369" s="18" t="n">
        <x:v>126</x:v>
      </x:c>
      <x:c r="AW369" s="18" t="n">
        <x:v>0</x:v>
      </x:c>
      <x:c r="AX369" s="18" t="n">
        <x:v>0</x:v>
      </x:c>
      <x:c r="AY369" s="18" t="n">
        <x:v>0</x:v>
      </x:c>
      <x:c r="AZ369" s="18" t="n">
        <x:v>0</x:v>
      </x:c>
      <x:c r="BA369" s="18" t="n">
        <x:v>0</x:v>
      </x:c>
      <x:c r="BB369" s="18" t="n">
        <x:v>0</x:v>
      </x:c>
      <x:c r="BC369" s="18" t="n">
        <x:v>0</x:v>
      </x:c>
      <x:c r="BD369" s="18" t="n">
        <x:v>1</x:v>
      </x:c>
      <x:c r="BE369" s="18" t="n">
        <x:v>0</x:v>
      </x:c>
      <x:c r="BF369" s="18" t="n">
        <x:v>10</x:v>
      </x:c>
      <x:c r="BG369" s="18" t="n">
        <x:v>0</x:v>
      </x:c>
    </x:row>
    <x:row r="370">
      <x:c r="A370" s="29" t="str">
        <x:v>463.2</x:v>
      </x:c>
      <x:c r="B370" s="17" t="n">
        <x:v>2976</x:v>
      </x:c>
      <x:c r="C370" s="17" t="str">
        <x:v>בי"ס אילנות</x:v>
      </x:c>
      <x:c r="D370" s="17" t="str">
        <x:v>הסנה 8</x:v>
      </x:c>
      <x:c r="E370" s="17" t="str">
        <x:v>גבוה מאוד</x:v>
      </x:c>
      <x:c r="F370" s="18" t="n">
        <x:v>595</x:v>
      </x:c>
      <x:c r="G370" s="18" t="n">
        <x:v>366</x:v>
      </x:c>
      <x:c r="H370" s="19" t="n">
        <x:f>IFERROR(G370/F370,0)</x:f>
        <x:v>0.6151260504201681</x:v>
      </x:c>
      <x:c r="I370" s="18" t="n">
        <x:v>1</x:v>
      </x:c>
      <x:c r="J370" s="18" t="n">
        <x:v>365</x:v>
      </x:c>
      <x:c r="K370" s="18" t="n">
        <x:f>SUM(AM370,BF370,W370,AD370)</x:f>
        <x:v>100</x:v>
      </x:c>
      <x:c r="L370" s="18" t="n">
        <x:f>Q370+R370</x:f>
        <x:v>260</x:v>
      </x:c>
      <x:c r="M370" s="19" t="n">
        <x:f>IFERROR(K370/J370,0)</x:f>
        <x:v>0.273972602739726</x:v>
      </x:c>
      <x:c r="N370" s="19" t="n">
        <x:f>IFERROR(L370/J370,0)</x:f>
        <x:v>0.7123287671232876</x:v>
      </x:c>
      <x:c r="O370" s="17" t="str">
        <x:f>IF(K370&gt;MAX(L370,S370),"קואליציית ההקמה 2022",IF(L370&gt;MAX(K370,S370),"אופוזיציה רחבה 2022","רשימות אחרות"))</x:f>
        <x:v>אופוזיציה רחבה 2022</x:v>
      </x:c>
      <x:c r="P370" s="17" t="str">
        <x:f>IF(AND(H370&lt;50%,N370&gt;50%),"כן","לא")</x:f>
        <x:v>לא</x:v>
      </x:c>
      <x:c r="Q370" s="18" t="n">
        <x:f>SUM(AV370,AJ370,AL370,T370,AN370)</x:f>
        <x:v>251</x:v>
      </x:c>
      <x:c r="R370" s="18" t="n">
        <x:f>SUM(Y370,AU370,X370)</x:f>
        <x:v>9</x:v>
      </x:c>
      <x:c r="S370" s="18" t="n">
        <x:f>J370-K370-L370</x:f>
        <x:v>5</x:v>
      </x:c>
      <x:c r="T370" s="18" t="n">
        <x:v>16</x:v>
      </x:c>
      <x:c r="U370" s="18" t="n">
        <x:v>1</x:v>
      </x:c>
      <x:c r="V370" s="18" t="n">
        <x:v>1</x:v>
      </x:c>
      <x:c r="W370" s="18" t="n">
        <x:v>1</x:v>
      </x:c>
      <x:c r="X370" s="18" t="n">
        <x:v>3</x:v>
      </x:c>
      <x:c r="Y370" s="18" t="n">
        <x:v>6</x:v>
      </x:c>
      <x:c r="Z370" s="18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18</x:v>
      </x:c>
      <x:c r="AE370" s="18" t="n">
        <x:v>0</x:v>
      </x:c>
      <x:c r="AF370" s="18" t="n">
        <x:v>0</x:v>
      </x:c>
      <x:c r="AG370" s="18" t="n">
        <x:v>0</x:v>
      </x:c>
      <x:c r="AH370" s="18" t="n">
        <x:v>0</x:v>
      </x:c>
      <x:c r="AI370" s="18" t="n">
        <x:v>0</x:v>
      </x:c>
      <x:c r="AJ370" s="18" t="n">
        <x:v>75</x:v>
      </x:c>
      <x:c r="AK370" s="18" t="n">
        <x:v>0</x:v>
      </x:c>
      <x:c r="AL370" s="18" t="n">
        <x:v>25</x:v>
      </x:c>
      <x:c r="AM370" s="18" t="n">
        <x:v>80</x:v>
      </x:c>
      <x:c r="AN370" s="18" t="n">
        <x:v>15</x:v>
      </x:c>
      <x:c r="AO370" s="18" t="n">
        <x:v>0</x:v>
      </x:c>
      <x:c r="AP370" s="18" t="n">
        <x:v>0</x:v>
      </x:c>
      <x:c r="AQ370" s="18" t="n">
        <x:v>0</x:v>
      </x:c>
      <x:c r="AR370" s="18" t="n">
        <x:v>0</x:v>
      </x:c>
      <x:c r="AS370" s="18" t="n">
        <x:v>1</x:v>
      </x:c>
      <x:c r="AT370" s="18" t="n">
        <x:v>0</x:v>
      </x:c>
      <x:c r="AU370" s="18" t="n">
        <x:v>0</x:v>
      </x:c>
      <x:c r="AV370" s="18" t="n">
        <x:v>120</x:v>
      </x:c>
      <x:c r="AW370" s="18" t="n">
        <x:v>0</x:v>
      </x:c>
      <x:c r="AX370" s="18" t="n">
        <x:v>0</x:v>
      </x:c>
      <x:c r="AY370" s="18" t="n">
        <x:v>0</x:v>
      </x:c>
      <x:c r="AZ370" s="18" t="n">
        <x:v>0</x:v>
      </x:c>
      <x:c r="BA370" s="18" t="n">
        <x:v>0</x:v>
      </x:c>
      <x:c r="BB370" s="18" t="n">
        <x:v>0</x:v>
      </x:c>
      <x:c r="BC370" s="18" t="n">
        <x:v>0</x:v>
      </x:c>
      <x:c r="BD370" s="18" t="n">
        <x:v>2</x:v>
      </x:c>
      <x:c r="BE370" s="18" t="n">
        <x:v>0</x:v>
      </x:c>
      <x:c r="BF370" s="18" t="n">
        <x:v>1</x:v>
      </x:c>
      <x:c r="BG370" s="18" t="n">
        <x:v>0</x:v>
      </x:c>
    </x:row>
    <x:row r="371">
      <x:c r="A371" s="29" t="str">
        <x:v>463.3</x:v>
      </x:c>
      <x:c r="B371" s="17" t="n">
        <x:v>2977</x:v>
      </x:c>
      <x:c r="C371" s="17" t="str">
        <x:v>בי"ס אילנות</x:v>
      </x:c>
      <x:c r="D371" s="17" t="str">
        <x:v>הסנה 8</x:v>
      </x:c>
      <x:c r="E371" s="17" t="str">
        <x:v>גבוה מאוד</x:v>
      </x:c>
      <x:c r="F371" s="18" t="n">
        <x:v>595</x:v>
      </x:c>
      <x:c r="G371" s="18" t="n">
        <x:v>374</x:v>
      </x:c>
      <x:c r="H371" s="19" t="n">
        <x:f>IFERROR(G371/F371,0)</x:f>
        <x:v>0.6285714285714286</x:v>
      </x:c>
      <x:c r="I371" s="18" t="n">
        <x:v>0</x:v>
      </x:c>
      <x:c r="J371" s="18" t="n">
        <x:v>374</x:v>
      </x:c>
      <x:c r="K371" s="18" t="n">
        <x:f>SUM(AM371,BF371,W371,AD371)</x:f>
        <x:v>144</x:v>
      </x:c>
      <x:c r="L371" s="18" t="n">
        <x:f>Q371+R371</x:f>
        <x:v>225</x:v>
      </x:c>
      <x:c r="M371" s="19" t="n">
        <x:f>IFERROR(K371/J371,0)</x:f>
        <x:v>0.3850267379679144</x:v>
      </x:c>
      <x:c r="N371" s="19" t="n">
        <x:f>IFERROR(L371/J371,0)</x:f>
        <x:v>0.6016042780748663</x:v>
      </x:c>
      <x:c r="O371" s="17" t="str">
        <x:f>IF(K371&gt;MAX(L371,S371),"קואליציית ההקמה 2022",IF(L371&gt;MAX(K371,S371),"אופוזיציה רחבה 2022","רשימות אחרות"))</x:f>
        <x:v>אופוזיציה רחבה 2022</x:v>
      </x:c>
      <x:c r="P371" s="17" t="str">
        <x:f>IF(AND(H371&lt;50%,N371&gt;50%),"כן","לא")</x:f>
        <x:v>לא</x:v>
      </x:c>
      <x:c r="Q371" s="18" t="n">
        <x:f>SUM(AV371,AJ371,AL371,T371,AN371)</x:f>
        <x:v>207</x:v>
      </x:c>
      <x:c r="R371" s="18" t="n">
        <x:f>SUM(Y371,AU371,X371)</x:f>
        <x:v>18</x:v>
      </x:c>
      <x:c r="S371" s="18" t="n">
        <x:f>J371-K371-L371</x:f>
        <x:v>5</x:v>
      </x:c>
      <x:c r="T371" s="18" t="n">
        <x:v>12</x:v>
      </x:c>
      <x:c r="U371" s="18" t="n">
        <x:v>1</x:v>
      </x:c>
      <x:c r="V371" s="18" t="n">
        <x:v>2</x:v>
      </x:c>
      <x:c r="W371" s="18" t="n">
        <x:v>0</x:v>
      </x:c>
      <x:c r="X371" s="18" t="n">
        <x:v>5</x:v>
      </x:c>
      <x:c r="Y371" s="18" t="n">
        <x:v>13</x:v>
      </x:c>
      <x:c r="Z371" s="18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28</x:v>
      </x:c>
      <x:c r="AE371" s="18" t="n">
        <x:v>0</x:v>
      </x:c>
      <x:c r="AF371" s="18" t="n">
        <x:v>1</x:v>
      </x:c>
      <x:c r="AG371" s="18" t="n">
        <x:v>0</x:v>
      </x:c>
      <x:c r="AH371" s="18" t="n">
        <x:v>0</x:v>
      </x:c>
      <x:c r="AI371" s="18" t="n">
        <x:v>0</x:v>
      </x:c>
      <x:c r="AJ371" s="18" t="n">
        <x:v>51</x:v>
      </x:c>
      <x:c r="AK371" s="18" t="n">
        <x:v>1</x:v>
      </x:c>
      <x:c r="AL371" s="18" t="n">
        <x:v>14</x:v>
      </x:c>
      <x:c r="AM371" s="18" t="n">
        <x:v>111</x:v>
      </x:c>
      <x:c r="AN371" s="18" t="n">
        <x:v>20</x:v>
      </x:c>
      <x:c r="AO371" s="18" t="n">
        <x:v>0</x:v>
      </x:c>
      <x:c r="AP371" s="18" t="n">
        <x:v>0</x:v>
      </x:c>
      <x:c r="AQ371" s="18" t="n">
        <x:v>0</x:v>
      </x:c>
      <x:c r="AR371" s="18" t="n">
        <x:v>0</x:v>
      </x:c>
      <x:c r="AS371" s="18" t="n">
        <x:v>0</x:v>
      </x:c>
      <x:c r="AT371" s="18" t="n">
        <x:v>0</x:v>
      </x:c>
      <x:c r="AU371" s="18" t="n">
        <x:v>0</x:v>
      </x:c>
      <x:c r="AV371" s="18" t="n">
        <x:v>110</x:v>
      </x:c>
      <x:c r="AW371" s="18" t="n">
        <x:v>0</x:v>
      </x:c>
      <x:c r="AX371" s="18" t="n">
        <x:v>0</x:v>
      </x:c>
      <x:c r="AY371" s="18" t="n">
        <x:v>0</x:v>
      </x:c>
      <x:c r="AZ371" s="18" t="n">
        <x:v>0</x:v>
      </x:c>
      <x:c r="BA371" s="18" t="n">
        <x:v>0</x:v>
      </x:c>
      <x:c r="BB371" s="18" t="n">
        <x:v>0</x:v>
      </x:c>
      <x:c r="BC371" s="18" t="n">
        <x:v>0</x:v>
      </x:c>
      <x:c r="BD371" s="18" t="n">
        <x:v>0</x:v>
      </x:c>
      <x:c r="BE371" s="18" t="n">
        <x:v>0</x:v>
      </x:c>
      <x:c r="BF371" s="18" t="n">
        <x:v>5</x:v>
      </x:c>
      <x:c r="BG371" s="18" t="n">
        <x:v>0</x:v>
      </x:c>
    </x:row>
    <x:row r="372">
      <x:c r="A372" s="29" t="str">
        <x:v>463.4</x:v>
      </x:c>
      <x:c r="B372" s="17" t="n">
        <x:v>2978</x:v>
      </x:c>
      <x:c r="C372" s="17" t="str">
        <x:v>בי"ס אילנות</x:v>
      </x:c>
      <x:c r="D372" s="17" t="str">
        <x:v>הסנה 8</x:v>
      </x:c>
      <x:c r="E372" s="17" t="str">
        <x:v>גבוה מאוד</x:v>
      </x:c>
      <x:c r="F372" s="18" t="n">
        <x:v>595</x:v>
      </x:c>
      <x:c r="G372" s="18" t="n">
        <x:v>398</x:v>
      </x:c>
      <x:c r="H372" s="19" t="n">
        <x:f>IFERROR(G372/F372,0)</x:f>
        <x:v>0.66890756302521</x:v>
      </x:c>
      <x:c r="I372" s="18" t="n">
        <x:v>0</x:v>
      </x:c>
      <x:c r="J372" s="18" t="n">
        <x:v>398</x:v>
      </x:c>
      <x:c r="K372" s="18" t="n">
        <x:f>SUM(AM372,BF372,W372,AD372)</x:f>
        <x:v>149</x:v>
      </x:c>
      <x:c r="L372" s="18" t="n">
        <x:f>Q372+R372</x:f>
        <x:v>242</x:v>
      </x:c>
      <x:c r="M372" s="19" t="n">
        <x:f>IFERROR(K372/J372,0)</x:f>
        <x:v>0.3743718592964824</x:v>
      </x:c>
      <x:c r="N372" s="19" t="n">
        <x:f>IFERROR(L372/J372,0)</x:f>
        <x:v>0.6080402010050251</x:v>
      </x:c>
      <x:c r="O372" s="17" t="str">
        <x:f>IF(K372&gt;MAX(L372,S372),"קואליציית ההקמה 2022",IF(L372&gt;MAX(K372,S372),"אופוזיציה רחבה 2022","רשימות אחרות"))</x:f>
        <x:v>אופוזיציה רחבה 2022</x:v>
      </x:c>
      <x:c r="P372" s="17" t="str">
        <x:f>IF(AND(H372&lt;50%,N372&gt;50%),"כן","לא")</x:f>
        <x:v>לא</x:v>
      </x:c>
      <x:c r="Q372" s="18" t="n">
        <x:f>SUM(AV372,AJ372,AL372,T372,AN372)</x:f>
        <x:v>213</x:v>
      </x:c>
      <x:c r="R372" s="18" t="n">
        <x:f>SUM(Y372,AU372,X372)</x:f>
        <x:v>29</x:v>
      </x:c>
      <x:c r="S372" s="18" t="n">
        <x:f>J372-K372-L372</x:f>
        <x:v>7</x:v>
      </x:c>
      <x:c r="T372" s="18" t="n">
        <x:v>14</x:v>
      </x:c>
      <x:c r="U372" s="18" t="n">
        <x:v>1</x:v>
      </x:c>
      <x:c r="V372" s="18" t="n">
        <x:v>4</x:v>
      </x:c>
      <x:c r="W372" s="18" t="n">
        <x:v>0</x:v>
      </x:c>
      <x:c r="X372" s="18" t="n">
        <x:v>14</x:v>
      </x:c>
      <x:c r="Y372" s="18" t="n">
        <x:v>14</x:v>
      </x:c>
      <x:c r="Z372" s="18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29</x:v>
      </x:c>
      <x:c r="AE372" s="18" t="n">
        <x:v>0</x:v>
      </x:c>
      <x:c r="AF372" s="18" t="n">
        <x:v>1</x:v>
      </x:c>
      <x:c r="AG372" s="18" t="n">
        <x:v>0</x:v>
      </x:c>
      <x:c r="AH372" s="18" t="n">
        <x:v>0</x:v>
      </x:c>
      <x:c r="AI372" s="18" t="n">
        <x:v>0</x:v>
      </x:c>
      <x:c r="AJ372" s="18" t="n">
        <x:v>49</x:v>
      </x:c>
      <x:c r="AK372" s="18" t="n">
        <x:v>0</x:v>
      </x:c>
      <x:c r="AL372" s="18" t="n">
        <x:v>23</x:v>
      </x:c>
      <x:c r="AM372" s="18" t="n">
        <x:v>117</x:v>
      </x:c>
      <x:c r="AN372" s="18" t="n">
        <x:v>16</x:v>
      </x:c>
      <x:c r="AO372" s="18" t="n">
        <x:v>0</x:v>
      </x:c>
      <x:c r="AP372" s="18" t="n">
        <x:v>0</x:v>
      </x:c>
      <x:c r="AQ372" s="18" t="n">
        <x:v>0</x:v>
      </x:c>
      <x:c r="AR372" s="18" t="n">
        <x:v>0</x:v>
      </x:c>
      <x:c r="AS372" s="18" t="n">
        <x:v>0</x:v>
      </x:c>
      <x:c r="AT372" s="18" t="n">
        <x:v>0</x:v>
      </x:c>
      <x:c r="AU372" s="18" t="n">
        <x:v>1</x:v>
      </x:c>
      <x:c r="AV372" s="18" t="n">
        <x:v>111</x:v>
      </x:c>
      <x:c r="AW372" s="18" t="n">
        <x:v>0</x:v>
      </x:c>
      <x:c r="AX372" s="18" t="n">
        <x:v>0</x:v>
      </x:c>
      <x:c r="AY372" s="18" t="n">
        <x:v>0</x:v>
      </x:c>
      <x:c r="AZ372" s="18" t="n">
        <x:v>0</x:v>
      </x:c>
      <x:c r="BA372" s="18" t="n">
        <x:v>0</x:v>
      </x:c>
      <x:c r="BB372" s="18" t="n">
        <x:v>0</x:v>
      </x:c>
      <x:c r="BC372" s="18" t="n">
        <x:v>0</x:v>
      </x:c>
      <x:c r="BD372" s="18" t="n">
        <x:v>1</x:v>
      </x:c>
      <x:c r="BE372" s="18" t="n">
        <x:v>0</x:v>
      </x:c>
      <x:c r="BF372" s="18" t="n">
        <x:v>3</x:v>
      </x:c>
      <x:c r="BG372" s="18" t="n">
        <x:v>0</x:v>
      </x:c>
    </x:row>
    <x:row r="373">
      <x:c r="A373" s="29" t="str">
        <x:v>463.5</x:v>
      </x:c>
      <x:c r="B373" s="17" t="n">
        <x:v>2979</x:v>
      </x:c>
      <x:c r="C373" s="17" t="str">
        <x:v>בי"ס אילנות</x:v>
      </x:c>
      <x:c r="D373" s="17" t="str">
        <x:v>הסנה 8</x:v>
      </x:c>
      <x:c r="E373" s="17" t="str">
        <x:v>גבוה מאוד</x:v>
      </x:c>
      <x:c r="F373" s="18" t="n">
        <x:v>591</x:v>
      </x:c>
      <x:c r="G373" s="18" t="n">
        <x:v>398</x:v>
      </x:c>
      <x:c r="H373" s="19" t="n">
        <x:f>IFERROR(G373/F373,0)</x:f>
        <x:v>0.6734348561759729</x:v>
      </x:c>
      <x:c r="I373" s="18" t="n">
        <x:v>3</x:v>
      </x:c>
      <x:c r="J373" s="18" t="n">
        <x:v>395</x:v>
      </x:c>
      <x:c r="K373" s="18" t="n">
        <x:f>SUM(AM373,BF373,W373,AD373)</x:f>
        <x:v>125</x:v>
      </x:c>
      <x:c r="L373" s="18" t="n">
        <x:f>Q373+R373</x:f>
        <x:v>266</x:v>
      </x:c>
      <x:c r="M373" s="19" t="n">
        <x:f>IFERROR(K373/J373,0)</x:f>
        <x:v>0.31645569620253167</x:v>
      </x:c>
      <x:c r="N373" s="19" t="n">
        <x:f>IFERROR(L373/J373,0)</x:f>
        <x:v>0.6734177215189874</x:v>
      </x:c>
      <x:c r="O373" s="17" t="str">
        <x:f>IF(K373&gt;MAX(L373,S373),"קואליציית ההקמה 2022",IF(L373&gt;MAX(K373,S373),"אופוזיציה רחבה 2022","רשימות אחרות"))</x:f>
        <x:v>אופוזיציה רחבה 2022</x:v>
      </x:c>
      <x:c r="P373" s="17" t="str">
        <x:f>IF(AND(H373&lt;50%,N373&gt;50%),"כן","לא")</x:f>
        <x:v>לא</x:v>
      </x:c>
      <x:c r="Q373" s="18" t="n">
        <x:f>SUM(AV373,AJ373,AL373,T373,AN373)</x:f>
        <x:v>250</x:v>
      </x:c>
      <x:c r="R373" s="18" t="n">
        <x:f>SUM(Y373,AU373,X373)</x:f>
        <x:v>16</x:v>
      </x:c>
      <x:c r="S373" s="18" t="n">
        <x:f>J373-K373-L373</x:f>
        <x:v>4</x:v>
      </x:c>
      <x:c r="T373" s="18" t="n">
        <x:v>25</x:v>
      </x:c>
      <x:c r="U373" s="18" t="n">
        <x:v>0</x:v>
      </x:c>
      <x:c r="V373" s="18" t="n">
        <x:v>0</x:v>
      </x:c>
      <x:c r="W373" s="18" t="n">
        <x:v>0</x:v>
      </x:c>
      <x:c r="X373" s="18" t="n">
        <x:v>5</x:v>
      </x:c>
      <x:c r="Y373" s="18" t="n">
        <x:v>10</x:v>
      </x:c>
      <x:c r="Z373" s="18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26</x:v>
      </x:c>
      <x:c r="AE373" s="18" t="n">
        <x:v>0</x:v>
      </x:c>
      <x:c r="AF373" s="18" t="n">
        <x:v>2</x:v>
      </x:c>
      <x:c r="AG373" s="18" t="n">
        <x:v>0</x:v>
      </x:c>
      <x:c r="AH373" s="18" t="n">
        <x:v>0</x:v>
      </x:c>
      <x:c r="AI373" s="18" t="n">
        <x:v>0</x:v>
      </x:c>
      <x:c r="AJ373" s="18" t="n">
        <x:v>49</x:v>
      </x:c>
      <x:c r="AK373" s="18" t="n">
        <x:v>0</x:v>
      </x:c>
      <x:c r="AL373" s="18" t="n">
        <x:v>21</x:v>
      </x:c>
      <x:c r="AM373" s="18" t="n">
        <x:v>91</x:v>
      </x:c>
      <x:c r="AN373" s="18" t="n">
        <x:v>21</x:v>
      </x:c>
      <x:c r="AO373" s="18" t="n">
        <x:v>0</x:v>
      </x:c>
      <x:c r="AP373" s="18" t="n">
        <x:v>0</x:v>
      </x:c>
      <x:c r="AQ373" s="18" t="n">
        <x:v>0</x:v>
      </x:c>
      <x:c r="AR373" s="18" t="n">
        <x:v>0</x:v>
      </x:c>
      <x:c r="AS373" s="18" t="n">
        <x:v>0</x:v>
      </x:c>
      <x:c r="AT373" s="18" t="n">
        <x:v>0</x:v>
      </x:c>
      <x:c r="AU373" s="18" t="n">
        <x:v>1</x:v>
      </x:c>
      <x:c r="AV373" s="18" t="n">
        <x:v>134</x:v>
      </x:c>
      <x:c r="AW373" s="18" t="n">
        <x:v>0</x:v>
      </x:c>
      <x:c r="AX373" s="18" t="n">
        <x:v>0</x:v>
      </x:c>
      <x:c r="AY373" s="18" t="n">
        <x:v>0</x:v>
      </x:c>
      <x:c r="AZ373" s="18" t="n">
        <x:v>0</x:v>
      </x:c>
      <x:c r="BA373" s="18" t="n">
        <x:v>0</x:v>
      </x:c>
      <x:c r="BB373" s="18" t="n">
        <x:v>0</x:v>
      </x:c>
      <x:c r="BC373" s="18" t="n">
        <x:v>1</x:v>
      </x:c>
      <x:c r="BD373" s="18" t="n">
        <x:v>1</x:v>
      </x:c>
      <x:c r="BE373" s="18" t="n">
        <x:v>0</x:v>
      </x:c>
      <x:c r="BF373" s="18" t="n">
        <x:v>8</x:v>
      </x:c>
      <x:c r="BG373" s="18" t="n">
        <x:v>0</x:v>
      </x:c>
    </x:row>
    <x:row r="374">
      <x:c r="A374" s="29" t="str">
        <x:v>465</x:v>
      </x:c>
      <x:c r="B374" s="17" t="n">
        <x:v>3129</x:v>
      </x:c>
      <x:c r="C374" s="17" t="str">
        <x:v>בי"ס הבונים</x:v>
      </x:c>
      <x:c r="D374" s="17" t="str">
        <x:v>חביבה רייך 16</x:v>
      </x:c>
      <x:c r="E374" s="17" t="str">
        <x:v>גבוה מאוד</x:v>
      </x:c>
      <x:c r="F374" s="18" t="n">
        <x:v>603</x:v>
      </x:c>
      <x:c r="G374" s="18" t="n">
        <x:v>441</x:v>
      </x:c>
      <x:c r="H374" s="19" t="n">
        <x:f>IFERROR(G374/F374,0)</x:f>
        <x:v>0.7313432835820896</x:v>
      </x:c>
      <x:c r="I374" s="18" t="n">
        <x:v>2</x:v>
      </x:c>
      <x:c r="J374" s="18" t="n">
        <x:v>439</x:v>
      </x:c>
      <x:c r="K374" s="18" t="n">
        <x:f>SUM(AM374,BF374,W374,AD374)</x:f>
        <x:v>139</x:v>
      </x:c>
      <x:c r="L374" s="18" t="n">
        <x:f>Q374+R374</x:f>
        <x:v>290</x:v>
      </x:c>
      <x:c r="M374" s="19" t="n">
        <x:f>IFERROR(K374/J374,0)</x:f>
        <x:v>0.31662870159453305</x:v>
      </x:c>
      <x:c r="N374" s="19" t="n">
        <x:f>IFERROR(L374/J374,0)</x:f>
        <x:v>0.6605922551252847</x:v>
      </x:c>
      <x:c r="O374" s="17" t="str">
        <x:f>IF(K374&gt;MAX(L374,S374),"קואליציית ההקמה 2022",IF(L374&gt;MAX(K374,S374),"אופוזיציה רחבה 2022","רשימות אחרות"))</x:f>
        <x:v>אופוזיציה רחבה 2022</x:v>
      </x:c>
      <x:c r="P374" s="17" t="str">
        <x:f>IF(AND(H374&lt;50%,N374&gt;50%),"כן","לא")</x:f>
        <x:v>לא</x:v>
      </x:c>
      <x:c r="Q374" s="18" t="n">
        <x:f>SUM(AV374,AJ374,AL374,T374,AN374)</x:f>
        <x:v>290</x:v>
      </x:c>
      <x:c r="R374" s="18" t="n">
        <x:f>SUM(Y374,AU374,X374)</x:f>
        <x:v>0</x:v>
      </x:c>
      <x:c r="S374" s="18" t="n">
        <x:f>J374-K374-L374</x:f>
        <x:v>10</x:v>
      </x:c>
      <x:c r="T374" s="18" t="n">
        <x:v>21</x:v>
      </x:c>
      <x:c r="U374" s="18" t="n">
        <x:v>5</x:v>
      </x:c>
      <x:c r="V374" s="18" t="n">
        <x:v>3</x:v>
      </x:c>
      <x:c r="W374" s="18" t="n">
        <x:v>0</x:v>
      </x:c>
      <x:c r="X374" s="18" t="n">
        <x:v>0</x:v>
      </x:c>
      <x:c r="Y374" s="18" t="n">
        <x:v>0</x:v>
      </x:c>
      <x:c r="Z374" s="18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28</x:v>
      </x:c>
      <x:c r="AE374" s="18" t="n">
        <x:v>0</x:v>
      </x:c>
      <x:c r="AF374" s="18" t="n">
        <x:v>0</x:v>
      </x:c>
      <x:c r="AG374" s="18" t="n">
        <x:v>0</x:v>
      </x:c>
      <x:c r="AH374" s="18" t="n">
        <x:v>0</x:v>
      </x:c>
      <x:c r="AI374" s="18" t="n">
        <x:v>0</x:v>
      </x:c>
      <x:c r="AJ374" s="18" t="n">
        <x:v>78</x:v>
      </x:c>
      <x:c r="AK374" s="18" t="n">
        <x:v>0</x:v>
      </x:c>
      <x:c r="AL374" s="18" t="n">
        <x:v>13</x:v>
      </x:c>
      <x:c r="AM374" s="18" t="n">
        <x:v>104</x:v>
      </x:c>
      <x:c r="AN374" s="18" t="n">
        <x:v>10</x:v>
      </x:c>
      <x:c r="AO374" s="18" t="n">
        <x:v>0</x:v>
      </x:c>
      <x:c r="AP374" s="18" t="n">
        <x:v>0</x:v>
      </x:c>
      <x:c r="AQ374" s="18" t="n">
        <x:v>0</x:v>
      </x:c>
      <x:c r="AR374" s="18" t="n">
        <x:v>1</x:v>
      </x:c>
      <x:c r="AS374" s="18" t="n">
        <x:v>0</x:v>
      </x:c>
      <x:c r="AT374" s="18" t="n">
        <x:v>0</x:v>
      </x:c>
      <x:c r="AU374" s="18" t="n">
        <x:v>0</x:v>
      </x:c>
      <x:c r="AV374" s="18" t="n">
        <x:v>168</x:v>
      </x:c>
      <x:c r="AW374" s="18" t="n">
        <x:v>0</x:v>
      </x:c>
      <x:c r="AX374" s="18" t="n">
        <x:v>0</x:v>
      </x:c>
      <x:c r="AY374" s="18" t="n">
        <x:v>0</x:v>
      </x:c>
      <x:c r="AZ374" s="18" t="n">
        <x:v>0</x:v>
      </x:c>
      <x:c r="BA374" s="18" t="n">
        <x:v>0</x:v>
      </x:c>
      <x:c r="BB374" s="18" t="n">
        <x:v>0</x:v>
      </x:c>
      <x:c r="BC374" s="18" t="n">
        <x:v>1</x:v>
      </x:c>
      <x:c r="BD374" s="18" t="n">
        <x:v>0</x:v>
      </x:c>
      <x:c r="BE374" s="18" t="n">
        <x:v>0</x:v>
      </x:c>
      <x:c r="BF374" s="18" t="n">
        <x:v>7</x:v>
      </x:c>
      <x:c r="BG374" s="18" t="n">
        <x:v>0</x:v>
      </x:c>
    </x:row>
    <x:row r="375">
      <x:c r="A375" s="29" t="str">
        <x:v>466</x:v>
      </x:c>
      <x:c r="B375" s="17" t="n">
        <x:v>3006</x:v>
      </x:c>
      <x:c r="C375" s="17" t="str">
        <x:v>אשכול גני ילדים</x:v>
      </x:c>
      <x:c r="D375" s="17" t="str">
        <x:v>שונית 12</x:v>
      </x:c>
      <x:c r="E375" s="17" t="str">
        <x:v>גבוה מאוד</x:v>
      </x:c>
      <x:c r="F375" s="18" t="n">
        <x:v>677</x:v>
      </x:c>
      <x:c r="G375" s="18" t="n">
        <x:v>474</x:v>
      </x:c>
      <x:c r="H375" s="19" t="n">
        <x:f>IFERROR(G375/F375,0)</x:f>
        <x:v>0.7001477104874446</x:v>
      </x:c>
      <x:c r="I375" s="18" t="n">
        <x:v>3</x:v>
      </x:c>
      <x:c r="J375" s="18" t="n">
        <x:v>471</x:v>
      </x:c>
      <x:c r="K375" s="18" t="n">
        <x:f>SUM(AM375,BF375,W375,AD375)</x:f>
        <x:v>150</x:v>
      </x:c>
      <x:c r="L375" s="18" t="n">
        <x:f>Q375+R375</x:f>
        <x:v>312</x:v>
      </x:c>
      <x:c r="M375" s="19" t="n">
        <x:f>IFERROR(K375/J375,0)</x:f>
        <x:v>0.3184713375796178</x:v>
      </x:c>
      <x:c r="N375" s="19" t="n">
        <x:f>IFERROR(L375/J375,0)</x:f>
        <x:v>0.6624203821656051</x:v>
      </x:c>
      <x:c r="O375" s="17" t="str">
        <x:f>IF(K375&gt;MAX(L375,S375),"קואליציית ההקמה 2022",IF(L375&gt;MAX(K375,S375),"אופוזיציה רחבה 2022","רשימות אחרות"))</x:f>
        <x:v>אופוזיציה רחבה 2022</x:v>
      </x:c>
      <x:c r="P375" s="17" t="str">
        <x:f>IF(AND(H375&lt;50%,N375&gt;50%),"כן","לא")</x:f>
        <x:v>לא</x:v>
      </x:c>
      <x:c r="Q375" s="18" t="n">
        <x:f>SUM(AV375,AJ375,AL375,T375,AN375)</x:f>
        <x:v>262</x:v>
      </x:c>
      <x:c r="R375" s="18" t="n">
        <x:f>SUM(Y375,AU375,X375)</x:f>
        <x:v>50</x:v>
      </x:c>
      <x:c r="S375" s="18" t="n">
        <x:f>J375-K375-L375</x:f>
        <x:v>9</x:v>
      </x:c>
      <x:c r="T375" s="18" t="n">
        <x:v>16</x:v>
      </x:c>
      <x:c r="U375" s="18" t="n">
        <x:v>0</x:v>
      </x:c>
      <x:c r="V375" s="18" t="n">
        <x:v>2</x:v>
      </x:c>
      <x:c r="W375" s="18" t="n">
        <x:v>0</x:v>
      </x:c>
      <x:c r="X375" s="18" t="n">
        <x:v>12</x:v>
      </x:c>
      <x:c r="Y375" s="18" t="n">
        <x:v>29</x:v>
      </x:c>
      <x:c r="Z375" s="18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23</x:v>
      </x:c>
      <x:c r="AE375" s="18" t="n">
        <x:v>0</x:v>
      </x:c>
      <x:c r="AF375" s="18" t="n">
        <x:v>0</x:v>
      </x:c>
      <x:c r="AG375" s="18" t="n">
        <x:v>0</x:v>
      </x:c>
      <x:c r="AH375" s="18" t="n">
        <x:v>0</x:v>
      </x:c>
      <x:c r="AI375" s="18" t="n">
        <x:v>1</x:v>
      </x:c>
      <x:c r="AJ375" s="18" t="n">
        <x:v>54</x:v>
      </x:c>
      <x:c r="AK375" s="18" t="n">
        <x:v>0</x:v>
      </x:c>
      <x:c r="AL375" s="18" t="n">
        <x:v>53</x:v>
      </x:c>
      <x:c r="AM375" s="18" t="n">
        <x:v>114</x:v>
      </x:c>
      <x:c r="AN375" s="18" t="n">
        <x:v>10</x:v>
      </x:c>
      <x:c r="AO375" s="18" t="n">
        <x:v>0</x:v>
      </x:c>
      <x:c r="AP375" s="18" t="n">
        <x:v>0</x:v>
      </x:c>
      <x:c r="AQ375" s="18" t="n">
        <x:v>0</x:v>
      </x:c>
      <x:c r="AR375" s="18" t="n">
        <x:v>1</x:v>
      </x:c>
      <x:c r="AS375" s="18" t="n">
        <x:v>0</x:v>
      </x:c>
      <x:c r="AT375" s="18" t="n">
        <x:v>0</x:v>
      </x:c>
      <x:c r="AU375" s="18" t="n">
        <x:v>9</x:v>
      </x:c>
      <x:c r="AV375" s="18" t="n">
        <x:v>129</x:v>
      </x:c>
      <x:c r="AW375" s="18" t="n">
        <x:v>0</x:v>
      </x:c>
      <x:c r="AX375" s="18" t="n">
        <x:v>0</x:v>
      </x:c>
      <x:c r="AY375" s="18" t="n">
        <x:v>0</x:v>
      </x:c>
      <x:c r="AZ375" s="18" t="n">
        <x:v>0</x:v>
      </x:c>
      <x:c r="BA375" s="18" t="n">
        <x:v>0</x:v>
      </x:c>
      <x:c r="BB375" s="18" t="n">
        <x:v>0</x:v>
      </x:c>
      <x:c r="BC375" s="18" t="n">
        <x:v>0</x:v>
      </x:c>
      <x:c r="BD375" s="18" t="n">
        <x:v>3</x:v>
      </x:c>
      <x:c r="BE375" s="18" t="n">
        <x:v>0</x:v>
      </x:c>
      <x:c r="BF375" s="18" t="n">
        <x:v>13</x:v>
      </x:c>
      <x:c r="BG375" s="18" t="n">
        <x:v>2</x:v>
      </x:c>
    </x:row>
    <x:row r="376">
      <x:c r="A376" s="29" t="str">
        <x:v>701</x:v>
      </x:c>
      <x:c r="B376" s="17" t="n">
        <x:v>3195</x:v>
      </x:c>
      <x:c r="C376" s="17" t="str">
        <x:v>מרכז יום לקשיש</x:v>
      </x:c>
      <x:c r="D376" s="17" t="str">
        <x:v>בית אלפא 80</x:v>
      </x:c>
      <x:c r="E376" s="17" t="str">
        <x:v>גבוה מאוד</x:v>
      </x:c>
      <x:c r="F376" s="18" t="n">
        <x:v>605</x:v>
      </x:c>
      <x:c r="G376" s="18" t="n">
        <x:v>328</x:v>
      </x:c>
      <x:c r="H376" s="19" t="n">
        <x:f>IFERROR(G376/F376,0)</x:f>
        <x:v>0.5421487603305785</x:v>
      </x:c>
      <x:c r="I376" s="18" t="n">
        <x:v>6</x:v>
      </x:c>
      <x:c r="J376" s="18" t="n">
        <x:v>322</x:v>
      </x:c>
      <x:c r="K376" s="18" t="n">
        <x:f>SUM(AM376,BF376,W376,AD376)</x:f>
        <x:v>163</x:v>
      </x:c>
      <x:c r="L376" s="18" t="n">
        <x:f>Q376+R376</x:f>
        <x:v>155</x:v>
      </x:c>
      <x:c r="M376" s="19" t="n">
        <x:f>IFERROR(K376/J376,0)</x:f>
        <x:v>0.5062111801242236</x:v>
      </x:c>
      <x:c r="N376" s="19" t="n">
        <x:f>IFERROR(L376/J376,0)</x:f>
        <x:v>0.4813664596273292</x:v>
      </x:c>
      <x:c r="O376" s="17" t="str">
        <x:f>IF(K376&gt;MAX(L376,S376),"קואליציית ההקמה 2022",IF(L376&gt;MAX(K376,S376),"אופוזיציה רחבה 2022","רשימות אחרות"))</x:f>
        <x:v>קואליציית ההקמה 2022</x:v>
      </x:c>
      <x:c r="P376" s="17" t="str">
        <x:f>IF(AND(H376&lt;50%,N376&gt;50%),"כן","לא")</x:f>
        <x:v>לא</x:v>
      </x:c>
      <x:c r="Q376" s="18" t="n">
        <x:f>SUM(AV376,AJ376,AL376,T376,AN376)</x:f>
        <x:v>155</x:v>
      </x:c>
      <x:c r="R376" s="18" t="n">
        <x:f>SUM(Y376,AU376,X376)</x:f>
        <x:v>0</x:v>
      </x:c>
      <x:c r="S376" s="18" t="n">
        <x:f>J376-K376-L376</x:f>
        <x:v>4</x:v>
      </x:c>
      <x:c r="T376" s="18" t="n">
        <x:v>11</x:v>
      </x:c>
      <x:c r="U376" s="18" t="n">
        <x:v>1</x:v>
      </x:c>
      <x:c r="V376" s="18" t="n">
        <x:v>1</x:v>
      </x:c>
      <x:c r="W376" s="18" t="n">
        <x:v>1</x:v>
      </x:c>
      <x:c r="X376" s="18" t="n">
        <x:v>0</x:v>
      </x:c>
      <x:c r="Y376" s="18" t="n">
        <x:v>0</x:v>
      </x:c>
      <x:c r="Z376" s="18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30</x:v>
      </x:c>
      <x:c r="AE376" s="18" t="n">
        <x:v>0</x:v>
      </x:c>
      <x:c r="AF376" s="18" t="n">
        <x:v>1</x:v>
      </x:c>
      <x:c r="AG376" s="18" t="n">
        <x:v>0</x:v>
      </x:c>
      <x:c r="AH376" s="18" t="n">
        <x:v>0</x:v>
      </x:c>
      <x:c r="AI376" s="18" t="n">
        <x:v>0</x:v>
      </x:c>
      <x:c r="AJ376" s="18" t="n">
        <x:v>34</x:v>
      </x:c>
      <x:c r="AK376" s="18" t="n">
        <x:v>1</x:v>
      </x:c>
      <x:c r="AL376" s="18" t="n">
        <x:v>35</x:v>
      </x:c>
      <x:c r="AM376" s="18" t="n">
        <x:v>120</x:v>
      </x:c>
      <x:c r="AN376" s="18" t="n">
        <x:v>8</x:v>
      </x:c>
      <x:c r="AO376" s="18" t="n">
        <x:v>0</x:v>
      </x:c>
      <x:c r="AP376" s="18" t="n">
        <x:v>0</x:v>
      </x:c>
      <x:c r="AQ376" s="18" t="n">
        <x:v>0</x:v>
      </x:c>
      <x:c r="AR376" s="18" t="n">
        <x:v>0</x:v>
      </x:c>
      <x:c r="AS376" s="18" t="n">
        <x:v>0</x:v>
      </x:c>
      <x:c r="AT376" s="18" t="n">
        <x:v>0</x:v>
      </x:c>
      <x:c r="AU376" s="18" t="n">
        <x:v>0</x:v>
      </x:c>
      <x:c r="AV376" s="18" t="n">
        <x:v>67</x:v>
      </x:c>
      <x:c r="AW376" s="18" t="n">
        <x:v>0</x:v>
      </x:c>
      <x:c r="AX376" s="18" t="n">
        <x:v>0</x:v>
      </x:c>
      <x:c r="AY376" s="18" t="n">
        <x:v>0</x:v>
      </x:c>
      <x:c r="AZ376" s="18" t="n">
        <x:v>0</x:v>
      </x:c>
      <x:c r="BA376" s="18" t="n">
        <x:v>0</x:v>
      </x:c>
      <x:c r="BB376" s="18" t="n">
        <x:v>0</x:v>
      </x:c>
      <x:c r="BC376" s="18" t="n">
        <x:v>0</x:v>
      </x:c>
      <x:c r="BD376" s="18" t="n">
        <x:v>0</x:v>
      </x:c>
      <x:c r="BE376" s="18" t="n">
        <x:v>0</x:v>
      </x:c>
      <x:c r="BF376" s="18" t="n">
        <x:v>12</x:v>
      </x:c>
      <x:c r="BG376" s="18" t="n">
        <x:v>0</x:v>
      </x:c>
    </x:row>
    <x:row r="377">
      <x:c r="A377" s="29" t="str">
        <x:v>702</x:v>
      </x:c>
      <x:c r="B377" s="17" t="n">
        <x:v>3196</x:v>
      </x:c>
      <x:c r="C377" s="17" t="str">
        <x:v>מדע קט</x:v>
      </x:c>
      <x:c r="D377" s="17" t="str">
        <x:v>הקונגרס 43</x:v>
      </x:c>
      <x:c r="E377" s="17" t="str">
        <x:v>גבוה מאוד</x:v>
      </x:c>
      <x:c r="F377" s="18" t="n">
        <x:v>626</x:v>
      </x:c>
      <x:c r="G377" s="18" t="n">
        <x:v>282</x:v>
      </x:c>
      <x:c r="H377" s="19" t="n">
        <x:f>IFERROR(G377/F377,0)</x:f>
        <x:v>0.4504792332268371</x:v>
      </x:c>
      <x:c r="I377" s="18" t="n">
        <x:v>3</x:v>
      </x:c>
      <x:c r="J377" s="18" t="n">
        <x:v>279</x:v>
      </x:c>
      <x:c r="K377" s="18" t="n">
        <x:f>SUM(AM377,BF377,W377,AD377)</x:f>
        <x:v>145</x:v>
      </x:c>
      <x:c r="L377" s="18" t="n">
        <x:f>Q377+R377</x:f>
        <x:v>128</x:v>
      </x:c>
      <x:c r="M377" s="19" t="n">
        <x:f>IFERROR(K377/J377,0)</x:f>
        <x:v>0.5197132616487455</x:v>
      </x:c>
      <x:c r="N377" s="19" t="n">
        <x:f>IFERROR(L377/J377,0)</x:f>
        <x:v>0.45878136200716846</x:v>
      </x:c>
      <x:c r="O377" s="17" t="str">
        <x:f>IF(K377&gt;MAX(L377,S377),"קואליציית ההקמה 2022",IF(L377&gt;MAX(K377,S377),"אופוזיציה רחבה 2022","רשימות אחרות"))</x:f>
        <x:v>קואליציית ההקמה 2022</x:v>
      </x:c>
      <x:c r="P377" s="17" t="str">
        <x:f>IF(AND(H377&lt;50%,N377&gt;50%),"כן","לא")</x:f>
        <x:v>לא</x:v>
      </x:c>
      <x:c r="Q377" s="18" t="n">
        <x:f>SUM(AV377,AJ377,AL377,T377,AN377)</x:f>
        <x:v>127</x:v>
      </x:c>
      <x:c r="R377" s="18" t="n">
        <x:f>SUM(Y377,AU377,X377)</x:f>
        <x:v>1</x:v>
      </x:c>
      <x:c r="S377" s="18" t="n">
        <x:f>J377-K377-L377</x:f>
        <x:v>6</x:v>
      </x:c>
      <x:c r="T377" s="18" t="n">
        <x:v>3</x:v>
      </x:c>
      <x:c r="U377" s="18" t="n">
        <x:v>0</x:v>
      </x:c>
      <x:c r="V377" s="18" t="n">
        <x:v>2</x:v>
      </x:c>
      <x:c r="W377" s="18" t="n">
        <x:v>1</x:v>
      </x:c>
      <x:c r="X377" s="18" t="n">
        <x:v>1</x:v>
      </x:c>
      <x:c r="Y377" s="18" t="n">
        <x:v>0</x:v>
      </x:c>
      <x:c r="Z377" s="18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14</x:v>
      </x:c>
      <x:c r="AE377" s="18" t="n">
        <x:v>0</x:v>
      </x:c>
      <x:c r="AF377" s="18" t="n">
        <x:v>0</x:v>
      </x:c>
      <x:c r="AG377" s="18" t="n">
        <x:v>0</x:v>
      </x:c>
      <x:c r="AH377" s="18" t="n">
        <x:v>0</x:v>
      </x:c>
      <x:c r="AI377" s="18" t="n">
        <x:v>0</x:v>
      </x:c>
      <x:c r="AJ377" s="18" t="n">
        <x:v>18</x:v>
      </x:c>
      <x:c r="AK377" s="18" t="n">
        <x:v>0</x:v>
      </x:c>
      <x:c r="AL377" s="18" t="n">
        <x:v>64</x:v>
      </x:c>
      <x:c r="AM377" s="18" t="n">
        <x:v>124</x:v>
      </x:c>
      <x:c r="AN377" s="18" t="n">
        <x:v>4</x:v>
      </x:c>
      <x:c r="AO377" s="18" t="n">
        <x:v>1</x:v>
      </x:c>
      <x:c r="AP377" s="18" t="n">
        <x:v>0</x:v>
      </x:c>
      <x:c r="AQ377" s="18" t="n">
        <x:v>0</x:v>
      </x:c>
      <x:c r="AR377" s="18" t="n">
        <x:v>0</x:v>
      </x:c>
      <x:c r="AS377" s="18" t="n">
        <x:v>0</x:v>
      </x:c>
      <x:c r="AT377" s="18" t="n">
        <x:v>0</x:v>
      </x:c>
      <x:c r="AU377" s="18" t="n">
        <x:v>0</x:v>
      </x:c>
      <x:c r="AV377" s="18" t="n">
        <x:v>38</x:v>
      </x:c>
      <x:c r="AW377" s="18" t="n">
        <x:v>0</x:v>
      </x:c>
      <x:c r="AX377" s="18" t="n">
        <x:v>1</x:v>
      </x:c>
      <x:c r="AY377" s="18" t="n">
        <x:v>0</x:v>
      </x:c>
      <x:c r="AZ377" s="18" t="n">
        <x:v>0</x:v>
      </x:c>
      <x:c r="BA377" s="18" t="n">
        <x:v>0</x:v>
      </x:c>
      <x:c r="BB377" s="18" t="n">
        <x:v>0</x:v>
      </x:c>
      <x:c r="BC377" s="18" t="n">
        <x:v>0</x:v>
      </x:c>
      <x:c r="BD377" s="18" t="n">
        <x:v>1</x:v>
      </x:c>
      <x:c r="BE377" s="18" t="n">
        <x:v>1</x:v>
      </x:c>
      <x:c r="BF377" s="18" t="n">
        <x:v>6</x:v>
      </x:c>
      <x:c r="BG377" s="18" t="n">
        <x:v>0</x:v>
      </x:c>
    </x:row>
    <x:row r="378">
      <x:c r="A378" s="29" t="str">
        <x:v>703</x:v>
      </x:c>
      <x:c r="B378" s="17" t="n">
        <x:v>3197</x:v>
      </x:c>
      <x:c r="C378" s="17" t="str">
        <x:v>מדע קט</x:v>
      </x:c>
      <x:c r="D378" s="17" t="str">
        <x:v>הקונגרס 43</x:v>
      </x:c>
      <x:c r="E378" s="17" t="str">
        <x:v>גבוה מאוד</x:v>
      </x:c>
      <x:c r="F378" s="18" t="n">
        <x:v>625</x:v>
      </x:c>
      <x:c r="G378" s="18" t="n">
        <x:v>370</x:v>
      </x:c>
      <x:c r="H378" s="19" t="n">
        <x:f>IFERROR(G378/F378,0)</x:f>
        <x:v>0.592</x:v>
      </x:c>
      <x:c r="I378" s="18" t="n">
        <x:v>4</x:v>
      </x:c>
      <x:c r="J378" s="18" t="n">
        <x:v>366</x:v>
      </x:c>
      <x:c r="K378" s="18" t="n">
        <x:f>SUM(AM378,BF378,W378,AD378)</x:f>
        <x:v>216</x:v>
      </x:c>
      <x:c r="L378" s="18" t="n">
        <x:f>Q378+R378</x:f>
        <x:v>146</x:v>
      </x:c>
      <x:c r="M378" s="19" t="n">
        <x:f>IFERROR(K378/J378,0)</x:f>
        <x:v>0.5901639344262295</x:v>
      </x:c>
      <x:c r="N378" s="19" t="n">
        <x:f>IFERROR(L378/J378,0)</x:f>
        <x:v>0.3989071038251366</x:v>
      </x:c>
      <x:c r="O378" s="17" t="str">
        <x:f>IF(K378&gt;MAX(L378,S378),"קואליציית ההקמה 2022",IF(L378&gt;MAX(K378,S378),"אופוזיציה רחבה 2022","רשימות אחרות"))</x:f>
        <x:v>קואליציית ההקמה 2022</x:v>
      </x:c>
      <x:c r="P378" s="17" t="str">
        <x:f>IF(AND(H378&lt;50%,N378&gt;50%),"כן","לא")</x:f>
        <x:v>לא</x:v>
      </x:c>
      <x:c r="Q378" s="18" t="n">
        <x:f>SUM(AV378,AJ378,AL378,T378,AN378)</x:f>
        <x:v>145</x:v>
      </x:c>
      <x:c r="R378" s="18" t="n">
        <x:f>SUM(Y378,AU378,X378)</x:f>
        <x:v>1</x:v>
      </x:c>
      <x:c r="S378" s="18" t="n">
        <x:f>J378-K378-L378</x:f>
        <x:v>4</x:v>
      </x:c>
      <x:c r="T378" s="18" t="n">
        <x:v>5</x:v>
      </x:c>
      <x:c r="U378" s="18" t="n">
        <x:v>0</x:v>
      </x:c>
      <x:c r="V378" s="18" t="n">
        <x:v>1</x:v>
      </x:c>
      <x:c r="W378" s="18" t="n">
        <x:v>0</x:v>
      </x:c>
      <x:c r="X378" s="18" t="n">
        <x:v>0</x:v>
      </x:c>
      <x:c r="Y378" s="18" t="n">
        <x:v>0</x:v>
      </x:c>
      <x:c r="Z378" s="18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42</x:v>
      </x:c>
      <x:c r="AE378" s="18" t="n">
        <x:v>0</x:v>
      </x:c>
      <x:c r="AF378" s="18" t="n">
        <x:v>1</x:v>
      </x:c>
      <x:c r="AG378" s="18" t="n">
        <x:v>0</x:v>
      </x:c>
      <x:c r="AH378" s="18" t="n">
        <x:v>0</x:v>
      </x:c>
      <x:c r="AI378" s="18" t="n">
        <x:v>0</x:v>
      </x:c>
      <x:c r="AJ378" s="18" t="n">
        <x:v>31</x:v>
      </x:c>
      <x:c r="AK378" s="18" t="n">
        <x:v>0</x:v>
      </x:c>
      <x:c r="AL378" s="18" t="n">
        <x:v>39</x:v>
      </x:c>
      <x:c r="AM378" s="18" t="n">
        <x:v>149</x:v>
      </x:c>
      <x:c r="AN378" s="18" t="n">
        <x:v>1</x:v>
      </x:c>
      <x:c r="AO378" s="18" t="n">
        <x:v>0</x:v>
      </x:c>
      <x:c r="AP378" s="18" t="n">
        <x:v>0</x:v>
      </x:c>
      <x:c r="AQ378" s="18" t="n">
        <x:v>0</x:v>
      </x:c>
      <x:c r="AR378" s="18" t="n">
        <x:v>0</x:v>
      </x:c>
      <x:c r="AS378" s="18" t="n">
        <x:v>0</x:v>
      </x:c>
      <x:c r="AT378" s="18" t="n">
        <x:v>0</x:v>
      </x:c>
      <x:c r="AU378" s="18" t="n">
        <x:v>1</x:v>
      </x:c>
      <x:c r="AV378" s="18" t="n">
        <x:v>69</x:v>
      </x:c>
      <x:c r="AW378" s="18" t="n">
        <x:v>0</x:v>
      </x:c>
      <x:c r="AX378" s="18" t="n">
        <x:v>0</x:v>
      </x:c>
      <x:c r="AY378" s="18" t="n">
        <x:v>0</x:v>
      </x:c>
      <x:c r="AZ378" s="18" t="n">
        <x:v>0</x:v>
      </x:c>
      <x:c r="BA378" s="18" t="n">
        <x:v>0</x:v>
      </x:c>
      <x:c r="BB378" s="18" t="n">
        <x:v>0</x:v>
      </x:c>
      <x:c r="BC378" s="18" t="n">
        <x:v>0</x:v>
      </x:c>
      <x:c r="BD378" s="18" t="n">
        <x:v>2</x:v>
      </x:c>
      <x:c r="BE378" s="18" t="n">
        <x:v>0</x:v>
      </x:c>
      <x:c r="BF378" s="18" t="n">
        <x:v>25</x:v>
      </x:c>
      <x:c r="BG378" s="18" t="n">
        <x:v>0</x:v>
      </x:c>
    </x:row>
    <x:row r="379">
      <x:c r="A379" s="29" t="str">
        <x:v>704</x:v>
      </x:c>
      <x:c r="B379" s="17" t="n">
        <x:v>3198</x:v>
      </x:c>
      <x:c r="C379" s="17" t="str">
        <x:v>בי"ס רגבים</x:v>
      </x:c>
      <x:c r="D379" s="17" t="str">
        <x:v>שד דגניה 53</x:v>
      </x:c>
      <x:c r="E379" s="17" t="str">
        <x:v>גבוה מאוד</x:v>
      </x:c>
      <x:c r="F379" s="18" t="n">
        <x:v>533</x:v>
      </x:c>
      <x:c r="G379" s="18" t="n">
        <x:v>240</x:v>
      </x:c>
      <x:c r="H379" s="19" t="n">
        <x:f>IFERROR(G379/F379,0)</x:f>
        <x:v>0.450281425891182</x:v>
      </x:c>
      <x:c r="I379" s="18" t="n">
        <x:v>4</x:v>
      </x:c>
      <x:c r="J379" s="18" t="n">
        <x:v>236</x:v>
      </x:c>
      <x:c r="K379" s="18" t="n">
        <x:f>SUM(AM379,BF379,W379,AD379)</x:f>
        <x:v>106</x:v>
      </x:c>
      <x:c r="L379" s="18" t="n">
        <x:f>Q379+R379</x:f>
        <x:v>123</x:v>
      </x:c>
      <x:c r="M379" s="19" t="n">
        <x:f>IFERROR(K379/J379,0)</x:f>
        <x:v>0.4491525423728814</x:v>
      </x:c>
      <x:c r="N379" s="19" t="n">
        <x:f>IFERROR(L379/J379,0)</x:f>
        <x:v>0.5211864406779662</x:v>
      </x:c>
      <x:c r="O379" s="17" t="str">
        <x:f>IF(K379&gt;MAX(L379,S379),"קואליציית ההקמה 2022",IF(L379&gt;MAX(K379,S379),"אופוזיציה רחבה 2022","רשימות אחרות"))</x:f>
        <x:v>אופוזיציה רחבה 2022</x:v>
      </x:c>
      <x:c r="P379" s="17" t="str">
        <x:f>IF(AND(H379&lt;50%,N379&gt;50%),"כן","לא")</x:f>
        <x:v>כן</x:v>
      </x:c>
      <x:c r="Q379" s="18" t="n">
        <x:f>SUM(AV379,AJ379,AL379,T379,AN379)</x:f>
        <x:v>123</x:v>
      </x:c>
      <x:c r="R379" s="18" t="n">
        <x:f>SUM(Y379,AU379,X379)</x:f>
        <x:v>0</x:v>
      </x:c>
      <x:c r="S379" s="18" t="n">
        <x:f>J379-K379-L379</x:f>
        <x:v>7</x:v>
      </x:c>
      <x:c r="T379" s="18" t="n">
        <x:v>3</x:v>
      </x:c>
      <x:c r="U379" s="18" t="n">
        <x:v>1</x:v>
      </x:c>
      <x:c r="V379" s="18" t="n">
        <x:v>2</x:v>
      </x:c>
      <x:c r="W379" s="18" t="n">
        <x:v>0</x:v>
      </x:c>
      <x:c r="X379" s="18" t="n">
        <x:v>0</x:v>
      </x:c>
      <x:c r="Y379" s="18" t="n">
        <x:v>0</x:v>
      </x:c>
      <x:c r="Z379" s="18" t="n">
        <x:v>1</x:v>
      </x:c>
      <x:c r="AA379" s="18" t="n">
        <x:v>0</x:v>
      </x:c>
      <x:c r="AB379" s="18" t="n">
        <x:v>0</x:v>
      </x:c>
      <x:c r="AC379" s="18" t="n">
        <x:v>0</x:v>
      </x:c>
      <x:c r="AD379" s="18" t="n">
        <x:v>7</x:v>
      </x:c>
      <x:c r="AE379" s="18" t="n">
        <x:v>0</x:v>
      </x:c>
      <x:c r="AF379" s="18" t="n">
        <x:v>0</x:v>
      </x:c>
      <x:c r="AG379" s="18" t="n">
        <x:v>0</x:v>
      </x:c>
      <x:c r="AH379" s="18" t="n">
        <x:v>0</x:v>
      </x:c>
      <x:c r="AI379" s="18" t="n">
        <x:v>0</x:v>
      </x:c>
      <x:c r="AJ379" s="18" t="n">
        <x:v>16</x:v>
      </x:c>
      <x:c r="AK379" s="18" t="n">
        <x:v>1</x:v>
      </x:c>
      <x:c r="AL379" s="18" t="n">
        <x:v>54</x:v>
      </x:c>
      <x:c r="AM379" s="18" t="n">
        <x:v>96</x:v>
      </x:c>
      <x:c r="AN379" s="18" t="n">
        <x:v>1</x:v>
      </x:c>
      <x:c r="AO379" s="18" t="n">
        <x:v>0</x:v>
      </x:c>
      <x:c r="AP379" s="18" t="n">
        <x:v>0</x:v>
      </x:c>
      <x:c r="AQ379" s="18" t="n">
        <x:v>0</x:v>
      </x:c>
      <x:c r="AR379" s="18" t="n">
        <x:v>0</x:v>
      </x:c>
      <x:c r="AS379" s="18" t="n">
        <x:v>0</x:v>
      </x:c>
      <x:c r="AT379" s="18" t="n">
        <x:v>0</x:v>
      </x:c>
      <x:c r="AU379" s="18" t="n">
        <x:v>0</x:v>
      </x:c>
      <x:c r="AV379" s="18" t="n">
        <x:v>49</x:v>
      </x:c>
      <x:c r="AW379" s="18" t="n">
        <x:v>0</x:v>
      </x:c>
      <x:c r="AX379" s="18" t="n">
        <x:v>0</x:v>
      </x:c>
      <x:c r="AY379" s="18" t="n">
        <x:v>0</x:v>
      </x:c>
      <x:c r="AZ379" s="18" t="n">
        <x:v>0</x:v>
      </x:c>
      <x:c r="BA379" s="18" t="n">
        <x:v>0</x:v>
      </x:c>
      <x:c r="BB379" s="18" t="n">
        <x:v>0</x:v>
      </x:c>
      <x:c r="BC379" s="18" t="n">
        <x:v>0</x:v>
      </x:c>
      <x:c r="BD379" s="18" t="n">
        <x:v>1</x:v>
      </x:c>
      <x:c r="BE379" s="18" t="n">
        <x:v>0</x:v>
      </x:c>
      <x:c r="BF379" s="18" t="n">
        <x:v>3</x:v>
      </x:c>
      <x:c r="BG379" s="18" t="n">
        <x:v>1</x:v>
      </x:c>
    </x:row>
    <x:row r="380">
      <x:c r="A380" s="29" t="str">
        <x:v>705</x:v>
      </x:c>
      <x:c r="B380" s="17" t="n">
        <x:v>3199</x:v>
      </x:c>
      <x:c r="C380" s="17" t="str">
        <x:v>בי"ס רגבים</x:v>
      </x:c>
      <x:c r="D380" s="17" t="str">
        <x:v>שד דגניה 53</x:v>
      </x:c>
      <x:c r="E380" s="17" t="str">
        <x:v>גבוה מאוד</x:v>
      </x:c>
      <x:c r="F380" s="18" t="n">
        <x:v>583</x:v>
      </x:c>
      <x:c r="G380" s="18" t="n">
        <x:v>270</x:v>
      </x:c>
      <x:c r="H380" s="19" t="n">
        <x:f>IFERROR(G380/F380,0)</x:f>
        <x:v>0.4631217838765009</x:v>
      </x:c>
      <x:c r="I380" s="18" t="n">
        <x:v>4</x:v>
      </x:c>
      <x:c r="J380" s="18" t="n">
        <x:v>266</x:v>
      </x:c>
      <x:c r="K380" s="18" t="n">
        <x:f>SUM(AM380,BF380,W380,AD380)</x:f>
        <x:v>158</x:v>
      </x:c>
      <x:c r="L380" s="18" t="n">
        <x:f>Q380+R380</x:f>
        <x:v>100</x:v>
      </x:c>
      <x:c r="M380" s="19" t="n">
        <x:f>IFERROR(K380/J380,0)</x:f>
        <x:v>0.5939849624060151</x:v>
      </x:c>
      <x:c r="N380" s="19" t="n">
        <x:f>IFERROR(L380/J380,0)</x:f>
        <x:v>0.37593984962406013</x:v>
      </x:c>
      <x:c r="O380" s="17" t="str">
        <x:f>IF(K380&gt;MAX(L380,S380),"קואליציית ההקמה 2022",IF(L380&gt;MAX(K380,S380),"אופוזיציה רחבה 2022","רשימות אחרות"))</x:f>
        <x:v>קואליציית ההקמה 2022</x:v>
      </x:c>
      <x:c r="P380" s="17" t="str">
        <x:f>IF(AND(H380&lt;50%,N380&gt;50%),"כן","לא")</x:f>
        <x:v>לא</x:v>
      </x:c>
      <x:c r="Q380" s="18" t="n">
        <x:f>SUM(AV380,AJ380,AL380,T380,AN380)</x:f>
        <x:v>99</x:v>
      </x:c>
      <x:c r="R380" s="18" t="n">
        <x:f>SUM(Y380,AU380,X380)</x:f>
        <x:v>1</x:v>
      </x:c>
      <x:c r="S380" s="18" t="n">
        <x:f>J380-K380-L380</x:f>
        <x:v>8</x:v>
      </x:c>
      <x:c r="T380" s="18" t="n">
        <x:v>3</x:v>
      </x:c>
      <x:c r="U380" s="18" t="n">
        <x:v>0</x:v>
      </x:c>
      <x:c r="V380" s="18" t="n">
        <x:v>1</x:v>
      </x:c>
      <x:c r="W380" s="18" t="n">
        <x:v>1</x:v>
      </x:c>
      <x:c r="X380" s="18" t="n">
        <x:v>1</x:v>
      </x:c>
      <x:c r="Y380" s="18" t="n">
        <x:v>0</x:v>
      </x:c>
      <x:c r="Z380" s="18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32</x:v>
      </x:c>
      <x:c r="AE380" s="18" t="n">
        <x:v>1</x:v>
      </x:c>
      <x:c r="AF380" s="18" t="n">
        <x:v>1</x:v>
      </x:c>
      <x:c r="AG380" s="18" t="n">
        <x:v>0</x:v>
      </x:c>
      <x:c r="AH380" s="18" t="n">
        <x:v>0</x:v>
      </x:c>
      <x:c r="AI380" s="18" t="n">
        <x:v>0</x:v>
      </x:c>
      <x:c r="AJ380" s="18" t="n">
        <x:v>21</x:v>
      </x:c>
      <x:c r="AK380" s="18" t="n">
        <x:v>0</x:v>
      </x:c>
      <x:c r="AL380" s="18" t="n">
        <x:v>21</x:v>
      </x:c>
      <x:c r="AM380" s="18" t="n">
        <x:v>116</x:v>
      </x:c>
      <x:c r="AN380" s="18" t="n">
        <x:v>3</x:v>
      </x:c>
      <x:c r="AO380" s="18" t="n">
        <x:v>1</x:v>
      </x:c>
      <x:c r="AP380" s="18" t="n">
        <x:v>0</x:v>
      </x:c>
      <x:c r="AQ380" s="18" t="n">
        <x:v>0</x:v>
      </x:c>
      <x:c r="AR380" s="18" t="n">
        <x:v>0</x:v>
      </x:c>
      <x:c r="AS380" s="18" t="n">
        <x:v>0</x:v>
      </x:c>
      <x:c r="AT380" s="18" t="n">
        <x:v>0</x:v>
      </x:c>
      <x:c r="AU380" s="18" t="n">
        <x:v>0</x:v>
      </x:c>
      <x:c r="AV380" s="18" t="n">
        <x:v>51</x:v>
      </x:c>
      <x:c r="AW380" s="18" t="n">
        <x:v>0</x:v>
      </x:c>
      <x:c r="AX380" s="18" t="n">
        <x:v>3</x:v>
      </x:c>
      <x:c r="AY380" s="18" t="n">
        <x:v>0</x:v>
      </x:c>
      <x:c r="AZ380" s="18" t="n">
        <x:v>0</x:v>
      </x:c>
      <x:c r="BA380" s="18" t="n">
        <x:v>0</x:v>
      </x:c>
      <x:c r="BB380" s="18" t="n">
        <x:v>1</x:v>
      </x:c>
      <x:c r="BC380" s="18" t="n">
        <x:v>0</x:v>
      </x:c>
      <x:c r="BD380" s="18" t="n">
        <x:v>0</x:v>
      </x:c>
      <x:c r="BE380" s="18" t="n">
        <x:v>0</x:v>
      </x:c>
      <x:c r="BF380" s="18" t="n">
        <x:v>9</x:v>
      </x:c>
      <x:c r="BG380" s="18" t="n">
        <x:v>0</x:v>
      </x:c>
    </x:row>
    <x:row r="381">
      <x:c r="A381" s="29" t="str">
        <x:v>706</x:v>
      </x:c>
      <x:c r="B381" s="17" t="n">
        <x:v>3207</x:v>
      </x:c>
      <x:c r="C381" s="17" t="str">
        <x:v>בי"ס גורדון</x:v>
      </x:c>
      <x:c r="D381" s="17" t="str">
        <x:v>ארן זלמן 43</x:v>
      </x:c>
      <x:c r="E381" s="17" t="str">
        <x:v>גבוה מאוד</x:v>
      </x:c>
      <x:c r="F381" s="18" t="n">
        <x:v>645</x:v>
      </x:c>
      <x:c r="G381" s="18" t="n">
        <x:v>434</x:v>
      </x:c>
      <x:c r="H381" s="19" t="n">
        <x:f>IFERROR(G381/F381,0)</x:f>
        <x:v>0.6728682170542636</x:v>
      </x:c>
      <x:c r="I381" s="18" t="n">
        <x:v>4</x:v>
      </x:c>
      <x:c r="J381" s="18" t="n">
        <x:v>430</x:v>
      </x:c>
      <x:c r="K381" s="18" t="n">
        <x:f>SUM(AM381,BF381,W381,AD381)</x:f>
        <x:v>244</x:v>
      </x:c>
      <x:c r="L381" s="18" t="n">
        <x:f>Q381+R381</x:f>
        <x:v>172</x:v>
      </x:c>
      <x:c r="M381" s="19" t="n">
        <x:f>IFERROR(K381/J381,0)</x:f>
        <x:v>0.5674418604651162</x:v>
      </x:c>
      <x:c r="N381" s="19" t="n">
        <x:f>IFERROR(L381/J381,0)</x:f>
        <x:v>0.4</x:v>
      </x:c>
      <x:c r="O381" s="17" t="str">
        <x:f>IF(K381&gt;MAX(L381,S381),"קואליציית ההקמה 2022",IF(L381&gt;MAX(K381,S381),"אופוזיציה רחבה 2022","רשימות אחרות"))</x:f>
        <x:v>קואליציית ההקמה 2022</x:v>
      </x:c>
      <x:c r="P381" s="17" t="str">
        <x:f>IF(AND(H381&lt;50%,N381&gt;50%),"כן","לא")</x:f>
        <x:v>לא</x:v>
      </x:c>
      <x:c r="Q381" s="18" t="n">
        <x:f>SUM(AV381,AJ381,AL381,T381,AN381)</x:f>
        <x:v>172</x:v>
      </x:c>
      <x:c r="R381" s="18" t="n">
        <x:f>SUM(Y381,AU381,X381)</x:f>
        <x:v>0</x:v>
      </x:c>
      <x:c r="S381" s="18" t="n">
        <x:f>J381-K381-L381</x:f>
        <x:v>14</x:v>
      </x:c>
      <x:c r="T381" s="18" t="n">
        <x:v>9</x:v>
      </x:c>
      <x:c r="U381" s="18" t="n">
        <x:v>1</x:v>
      </x:c>
      <x:c r="V381" s="18" t="n">
        <x:v>4</x:v>
      </x:c>
      <x:c r="W381" s="18" t="n">
        <x:v>6</x:v>
      </x:c>
      <x:c r="X381" s="18" t="n">
        <x:v>0</x:v>
      </x:c>
      <x:c r="Y381" s="18" t="n">
        <x:v>0</x:v>
      </x:c>
      <x:c r="Z381" s="18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47</x:v>
      </x:c>
      <x:c r="AE381" s="18" t="n">
        <x:v>0</x:v>
      </x:c>
      <x:c r="AF381" s="18" t="n">
        <x:v>4</x:v>
      </x:c>
      <x:c r="AG381" s="18" t="n">
        <x:v>0</x:v>
      </x:c>
      <x:c r="AH381" s="18" t="n">
        <x:v>0</x:v>
      </x:c>
      <x:c r="AI381" s="18" t="n">
        <x:v>0</x:v>
      </x:c>
      <x:c r="AJ381" s="18" t="n">
        <x:v>53</x:v>
      </x:c>
      <x:c r="AK381" s="18" t="n">
        <x:v>0</x:v>
      </x:c>
      <x:c r="AL381" s="18" t="n">
        <x:v>16</x:v>
      </x:c>
      <x:c r="AM381" s="18" t="n">
        <x:v>181</x:v>
      </x:c>
      <x:c r="AN381" s="18" t="n">
        <x:v>7</x:v>
      </x:c>
      <x:c r="AO381" s="18" t="n">
        <x:v>0</x:v>
      </x:c>
      <x:c r="AP381" s="18" t="n">
        <x:v>0</x:v>
      </x:c>
      <x:c r="AQ381" s="18" t="n">
        <x:v>1</x:v>
      </x:c>
      <x:c r="AR381" s="18" t="n">
        <x:v>0</x:v>
      </x:c>
      <x:c r="AS381" s="18" t="n">
        <x:v>0</x:v>
      </x:c>
      <x:c r="AT381" s="18" t="n">
        <x:v>0</x:v>
      </x:c>
      <x:c r="AU381" s="18" t="n">
        <x:v>0</x:v>
      </x:c>
      <x:c r="AV381" s="18" t="n">
        <x:v>87</x:v>
      </x:c>
      <x:c r="AW381" s="18" t="n">
        <x:v>0</x:v>
      </x:c>
      <x:c r="AX381" s="18" t="n">
        <x:v>3</x:v>
      </x:c>
      <x:c r="AY381" s="18" t="n">
        <x:v>0</x:v>
      </x:c>
      <x:c r="AZ381" s="18" t="n">
        <x:v>0</x:v>
      </x:c>
      <x:c r="BA381" s="18" t="n">
        <x:v>0</x:v>
      </x:c>
      <x:c r="BB381" s="18" t="n">
        <x:v>0</x:v>
      </x:c>
      <x:c r="BC381" s="18" t="n">
        <x:v>0</x:v>
      </x:c>
      <x:c r="BD381" s="18" t="n">
        <x:v>1</x:v>
      </x:c>
      <x:c r="BE381" s="18" t="n">
        <x:v>0</x:v>
      </x:c>
      <x:c r="BF381" s="18" t="n">
        <x:v>10</x:v>
      </x:c>
      <x:c r="BG381" s="18" t="n">
        <x:v>0</x:v>
      </x:c>
    </x:row>
    <x:row r="382">
      <x:c r="A382" s="29" t="str">
        <x:v>707</x:v>
      </x:c>
      <x:c r="B382" s="17" t="n">
        <x:v>3200</x:v>
      </x:c>
      <x:c r="C382" s="17" t="str">
        <x:v>בית היינה</x:v>
      </x:c>
      <x:c r="D382" s="17" t="str">
        <x:v>הקונגרס 43א</x:v>
      </x:c>
      <x:c r="E382" s="17" t="str">
        <x:v>גבוה מאוד</x:v>
      </x:c>
      <x:c r="F382" s="18" t="n">
        <x:v>533</x:v>
      </x:c>
      <x:c r="G382" s="18" t="n">
        <x:v>248</x:v>
      </x:c>
      <x:c r="H382" s="19" t="n">
        <x:f>IFERROR(G382/F382,0)</x:f>
        <x:v>0.4652908067542214</x:v>
      </x:c>
      <x:c r="I382" s="18" t="n">
        <x:v>4</x:v>
      </x:c>
      <x:c r="J382" s="18" t="n">
        <x:v>244</x:v>
      </x:c>
      <x:c r="K382" s="18" t="n">
        <x:f>SUM(AM382,BF382,W382,AD382)</x:f>
        <x:v>108</x:v>
      </x:c>
      <x:c r="L382" s="18" t="n">
        <x:f>Q382+R382</x:f>
        <x:v>126</x:v>
      </x:c>
      <x:c r="M382" s="19" t="n">
        <x:f>IFERROR(K382/J382,0)</x:f>
        <x:v>0.4426229508196721</x:v>
      </x:c>
      <x:c r="N382" s="19" t="n">
        <x:f>IFERROR(L382/J382,0)</x:f>
        <x:v>0.5163934426229508</x:v>
      </x:c>
      <x:c r="O382" s="17" t="str">
        <x:f>IF(K382&gt;MAX(L382,S382),"קואליציית ההקמה 2022",IF(L382&gt;MAX(K382,S382),"אופוזיציה רחבה 2022","רשימות אחרות"))</x:f>
        <x:v>אופוזיציה רחבה 2022</x:v>
      </x:c>
      <x:c r="P382" s="17" t="str">
        <x:f>IF(AND(H382&lt;50%,N382&gt;50%),"כן","לא")</x:f>
        <x:v>כן</x:v>
      </x:c>
      <x:c r="Q382" s="18" t="n">
        <x:f>SUM(AV382,AJ382,AL382,T382,AN382)</x:f>
        <x:v>125</x:v>
      </x:c>
      <x:c r="R382" s="18" t="n">
        <x:f>SUM(Y382,AU382,X382)</x:f>
        <x:v>1</x:v>
      </x:c>
      <x:c r="S382" s="18" t="n">
        <x:f>J382-K382-L382</x:f>
        <x:v>10</x:v>
      </x:c>
      <x:c r="T382" s="18" t="n">
        <x:v>3</x:v>
      </x:c>
      <x:c r="U382" s="18" t="n">
        <x:v>0</x:v>
      </x:c>
      <x:c r="V382" s="18" t="n">
        <x:v>3</x:v>
      </x:c>
      <x:c r="W382" s="18" t="n">
        <x:v>1</x:v>
      </x:c>
      <x:c r="X382" s="18" t="n">
        <x:v>0</x:v>
      </x:c>
      <x:c r="Y382" s="18" t="n">
        <x:v>0</x:v>
      </x:c>
      <x:c r="Z382" s="18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20</x:v>
      </x:c>
      <x:c r="AE382" s="18" t="n">
        <x:v>0</x:v>
      </x:c>
      <x:c r="AF382" s="18" t="n">
        <x:v>1</x:v>
      </x:c>
      <x:c r="AG382" s="18" t="n">
        <x:v>0</x:v>
      </x:c>
      <x:c r="AH382" s="18" t="n">
        <x:v>1</x:v>
      </x:c>
      <x:c r="AI382" s="18" t="n">
        <x:v>0</x:v>
      </x:c>
      <x:c r="AJ382" s="18" t="n">
        <x:v>11</x:v>
      </x:c>
      <x:c r="AK382" s="18" t="n">
        <x:v>0</x:v>
      </x:c>
      <x:c r="AL382" s="18" t="n">
        <x:v>74</x:v>
      </x:c>
      <x:c r="AM382" s="18" t="n">
        <x:v>78</x:v>
      </x:c>
      <x:c r="AN382" s="18" t="n">
        <x:v>0</x:v>
      </x:c>
      <x:c r="AO382" s="18" t="n">
        <x:v>1</x:v>
      </x:c>
      <x:c r="AP382" s="18" t="n">
        <x:v>0</x:v>
      </x:c>
      <x:c r="AQ382" s="18" t="n">
        <x:v>0</x:v>
      </x:c>
      <x:c r="AR382" s="18" t="n">
        <x:v>0</x:v>
      </x:c>
      <x:c r="AS382" s="18" t="n">
        <x:v>0</x:v>
      </x:c>
      <x:c r="AT382" s="18" t="n">
        <x:v>0</x:v>
      </x:c>
      <x:c r="AU382" s="18" t="n">
        <x:v>1</x:v>
      </x:c>
      <x:c r="AV382" s="18" t="n">
        <x:v>37</x:v>
      </x:c>
      <x:c r="AW382" s="18" t="n">
        <x:v>0</x:v>
      </x:c>
      <x:c r="AX382" s="18" t="n">
        <x:v>0</x:v>
      </x:c>
      <x:c r="AY382" s="18" t="n">
        <x:v>0</x:v>
      </x:c>
      <x:c r="AZ382" s="18" t="n">
        <x:v>0</x:v>
      </x:c>
      <x:c r="BA382" s="18" t="n">
        <x:v>0</x:v>
      </x:c>
      <x:c r="BB382" s="18" t="n">
        <x:v>0</x:v>
      </x:c>
      <x:c r="BC382" s="18" t="n">
        <x:v>0</x:v>
      </x:c>
      <x:c r="BD382" s="18" t="n">
        <x:v>3</x:v>
      </x:c>
      <x:c r="BE382" s="18" t="n">
        <x:v>0</x:v>
      </x:c>
      <x:c r="BF382" s="18" t="n">
        <x:v>9</x:v>
      </x:c>
      <x:c r="BG382" s="18" t="n">
        <x:v>1</x:v>
      </x:c>
    </x:row>
    <x:row r="383">
      <x:c r="A383" s="29" t="str">
        <x:v>708</x:v>
      </x:c>
      <x:c r="B383" s="17" t="n">
        <x:v>3201</x:v>
      </x:c>
      <x:c r="C383" s="17" t="str">
        <x:v>בית היינה</x:v>
      </x:c>
      <x:c r="D383" s="17" t="str">
        <x:v>הקונגרס 43א</x:v>
      </x:c>
      <x:c r="E383" s="17" t="str">
        <x:v>גבוה מאוד</x:v>
      </x:c>
      <x:c r="F383" s="18" t="n">
        <x:v>477</x:v>
      </x:c>
      <x:c r="G383" s="18" t="n">
        <x:v>298</x:v>
      </x:c>
      <x:c r="H383" s="19" t="n">
        <x:f>IFERROR(G383/F383,0)</x:f>
        <x:v>0.6247379454926625</x:v>
      </x:c>
      <x:c r="I383" s="18" t="n">
        <x:v>1</x:v>
      </x:c>
      <x:c r="J383" s="18" t="n">
        <x:v>297</x:v>
      </x:c>
      <x:c r="K383" s="18" t="n">
        <x:f>SUM(AM383,BF383,W383,AD383)</x:f>
        <x:v>134</x:v>
      </x:c>
      <x:c r="L383" s="18" t="n">
        <x:f>Q383+R383</x:f>
        <x:v>158</x:v>
      </x:c>
      <x:c r="M383" s="19" t="n">
        <x:f>IFERROR(K383/J383,0)</x:f>
        <x:v>0.4511784511784512</x:v>
      </x:c>
      <x:c r="N383" s="19" t="n">
        <x:f>IFERROR(L383/J383,0)</x:f>
        <x:v>0.531986531986532</x:v>
      </x:c>
      <x:c r="O383" s="17" t="str">
        <x:f>IF(K383&gt;MAX(L383,S383),"קואליציית ההקמה 2022",IF(L383&gt;MAX(K383,S383),"אופוזיציה רחבה 2022","רשימות אחרות"))</x:f>
        <x:v>אופוזיציה רחבה 2022</x:v>
      </x:c>
      <x:c r="P383" s="17" t="str">
        <x:f>IF(AND(H383&lt;50%,N383&gt;50%),"כן","לא")</x:f>
        <x:v>לא</x:v>
      </x:c>
      <x:c r="Q383" s="18" t="n">
        <x:f>SUM(AV383,AJ383,AL383,T383,AN383)</x:f>
        <x:v>158</x:v>
      </x:c>
      <x:c r="R383" s="18" t="n">
        <x:f>SUM(Y383,AU383,X383)</x:f>
        <x:v>0</x:v>
      </x:c>
      <x:c r="S383" s="18" t="n">
        <x:f>J383-K383-L383</x:f>
        <x:v>5</x:v>
      </x:c>
      <x:c r="T383" s="18" t="n">
        <x:v>10</x:v>
      </x:c>
      <x:c r="U383" s="18" t="n">
        <x:v>0</x:v>
      </x:c>
      <x:c r="V383" s="18" t="n">
        <x:v>2</x:v>
      </x:c>
      <x:c r="W383" s="18" t="n">
        <x:v>0</x:v>
      </x:c>
      <x:c r="X383" s="18" t="n">
        <x:v>0</x:v>
      </x:c>
      <x:c r="Y383" s="18" t="n">
        <x:v>0</x:v>
      </x:c>
      <x:c r="Z383" s="18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21</x:v>
      </x:c>
      <x:c r="AE383" s="18" t="n">
        <x:v>0</x:v>
      </x:c>
      <x:c r="AF383" s="18" t="n">
        <x:v>1</x:v>
      </x:c>
      <x:c r="AG383" s="18" t="n">
        <x:v>0</x:v>
      </x:c>
      <x:c r="AH383" s="18" t="n">
        <x:v>0</x:v>
      </x:c>
      <x:c r="AI383" s="18" t="n">
        <x:v>0</x:v>
      </x:c>
      <x:c r="AJ383" s="18" t="n">
        <x:v>43</x:v>
      </x:c>
      <x:c r="AK383" s="18" t="n">
        <x:v>0</x:v>
      </x:c>
      <x:c r="AL383" s="18" t="n">
        <x:v>11</x:v>
      </x:c>
      <x:c r="AM383" s="18" t="n">
        <x:v>107</x:v>
      </x:c>
      <x:c r="AN383" s="18" t="n">
        <x:v>4</x:v>
      </x:c>
      <x:c r="AO383" s="18" t="n">
        <x:v>0</x:v>
      </x:c>
      <x:c r="AP383" s="18" t="n">
        <x:v>0</x:v>
      </x:c>
      <x:c r="AQ383" s="18" t="n">
        <x:v>0</x:v>
      </x:c>
      <x:c r="AR383" s="18" t="n">
        <x:v>0</x:v>
      </x:c>
      <x:c r="AS383" s="18" t="n">
        <x:v>0</x:v>
      </x:c>
      <x:c r="AT383" s="18" t="n">
        <x:v>0</x:v>
      </x:c>
      <x:c r="AU383" s="18" t="n">
        <x:v>0</x:v>
      </x:c>
      <x:c r="AV383" s="18" t="n">
        <x:v>90</x:v>
      </x:c>
      <x:c r="AW383" s="18" t="n">
        <x:v>0</x:v>
      </x:c>
      <x:c r="AX383" s="18" t="n">
        <x:v>2</x:v>
      </x:c>
      <x:c r="AY383" s="18" t="n">
        <x:v>0</x:v>
      </x:c>
      <x:c r="AZ383" s="18" t="n">
        <x:v>0</x:v>
      </x:c>
      <x:c r="BA383" s="18" t="n">
        <x:v>0</x:v>
      </x:c>
      <x:c r="BB383" s="18" t="n">
        <x:v>0</x:v>
      </x:c>
      <x:c r="BC383" s="18" t="n">
        <x:v>0</x:v>
      </x:c>
      <x:c r="BD383" s="18" t="n">
        <x:v>0</x:v>
      </x:c>
      <x:c r="BE383" s="18" t="n">
        <x:v>0</x:v>
      </x:c>
      <x:c r="BF383" s="18" t="n">
        <x:v>6</x:v>
      </x:c>
      <x:c r="BG383" s="18" t="n">
        <x:v>0</x:v>
      </x:c>
    </x:row>
    <x:row r="384">
      <x:c r="A384" s="29" t="str">
        <x:v>711</x:v>
      </x:c>
      <x:c r="B384" s="17" t="n">
        <x:v>3208</x:v>
      </x:c>
      <x:c r="C384" s="17" t="str">
        <x:v>בי"ס גורדון</x:v>
      </x:c>
      <x:c r="D384" s="17" t="str">
        <x:v>ארן זלמן 43</x:v>
      </x:c>
      <x:c r="E384" s="17" t="str">
        <x:v>גבוה מאוד</x:v>
      </x:c>
      <x:c r="F384" s="18" t="n">
        <x:v>492</x:v>
      </x:c>
      <x:c r="G384" s="18" t="n">
        <x:v>248</x:v>
      </x:c>
      <x:c r="H384" s="19" t="n">
        <x:f>IFERROR(G384/F384,0)</x:f>
        <x:v>0.5040650406504065</x:v>
      </x:c>
      <x:c r="I384" s="18" t="n">
        <x:v>4</x:v>
      </x:c>
      <x:c r="J384" s="18" t="n">
        <x:v>244</x:v>
      </x:c>
      <x:c r="K384" s="18" t="n">
        <x:f>SUM(AM384,BF384,W384,AD384)</x:f>
        <x:v>147</x:v>
      </x:c>
      <x:c r="L384" s="18" t="n">
        <x:f>Q384+R384</x:f>
        <x:v>94</x:v>
      </x:c>
      <x:c r="M384" s="19" t="n">
        <x:f>IFERROR(K384/J384,0)</x:f>
        <x:v>0.6024590163934426</x:v>
      </x:c>
      <x:c r="N384" s="19" t="n">
        <x:f>IFERROR(L384/J384,0)</x:f>
        <x:v>0.38524590163934425</x:v>
      </x:c>
      <x:c r="O384" s="17" t="str">
        <x:f>IF(K384&gt;MAX(L384,S384),"קואליציית ההקמה 2022",IF(L384&gt;MAX(K384,S384),"אופוזיציה רחבה 2022","רשימות אחרות"))</x:f>
        <x:v>קואליציית ההקמה 2022</x:v>
      </x:c>
      <x:c r="P384" s="17" t="str">
        <x:f>IF(AND(H384&lt;50%,N384&gt;50%),"כן","לא")</x:f>
        <x:v>לא</x:v>
      </x:c>
      <x:c r="Q384" s="18" t="n">
        <x:f>SUM(AV384,AJ384,AL384,T384,AN384)</x:f>
        <x:v>94</x:v>
      </x:c>
      <x:c r="R384" s="18" t="n">
        <x:f>SUM(Y384,AU384,X384)</x:f>
        <x:v>0</x:v>
      </x:c>
      <x:c r="S384" s="18" t="n">
        <x:f>J384-K384-L384</x:f>
        <x:v>3</x:v>
      </x:c>
      <x:c r="T384" s="18" t="n">
        <x:v>8</x:v>
      </x:c>
      <x:c r="U384" s="18" t="n">
        <x:v>1</x:v>
      </x:c>
      <x:c r="V384" s="18" t="n">
        <x:v>1</x:v>
      </x:c>
      <x:c r="W384" s="18" t="n">
        <x:v>0</x:v>
      </x:c>
      <x:c r="X384" s="18" t="n">
        <x:v>0</x:v>
      </x:c>
      <x:c r="Y384" s="18" t="n">
        <x:v>0</x:v>
      </x:c>
      <x:c r="Z384" s="18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26</x:v>
      </x:c>
      <x:c r="AE384" s="18" t="n">
        <x:v>0</x:v>
      </x:c>
      <x:c r="AF384" s="18" t="n">
        <x:v>0</x:v>
      </x:c>
      <x:c r="AG384" s="18" t="n">
        <x:v>0</x:v>
      </x:c>
      <x:c r="AH384" s="18" t="n">
        <x:v>0</x:v>
      </x:c>
      <x:c r="AI384" s="18" t="n">
        <x:v>0</x:v>
      </x:c>
      <x:c r="AJ384" s="18" t="n">
        <x:v>27</x:v>
      </x:c>
      <x:c r="AK384" s="18" t="n">
        <x:v>0</x:v>
      </x:c>
      <x:c r="AL384" s="18" t="n">
        <x:v>20</x:v>
      </x:c>
      <x:c r="AM384" s="18" t="n">
        <x:v>111</x:v>
      </x:c>
      <x:c r="AN384" s="18" t="n">
        <x:v>2</x:v>
      </x:c>
      <x:c r="AO384" s="18" t="n">
        <x:v>0</x:v>
      </x:c>
      <x:c r="AP384" s="18" t="n">
        <x:v>0</x:v>
      </x:c>
      <x:c r="AQ384" s="18" t="n">
        <x:v>0</x:v>
      </x:c>
      <x:c r="AR384" s="18" t="n">
        <x:v>0</x:v>
      </x:c>
      <x:c r="AS384" s="18" t="n">
        <x:v>0</x:v>
      </x:c>
      <x:c r="AT384" s="18" t="n">
        <x:v>0</x:v>
      </x:c>
      <x:c r="AU384" s="18" t="n">
        <x:v>0</x:v>
      </x:c>
      <x:c r="AV384" s="18" t="n">
        <x:v>37</x:v>
      </x:c>
      <x:c r="AW384" s="18" t="n">
        <x:v>0</x:v>
      </x:c>
      <x:c r="AX384" s="18" t="n">
        <x:v>0</x:v>
      </x:c>
      <x:c r="AY384" s="18" t="n">
        <x:v>0</x:v>
      </x:c>
      <x:c r="AZ384" s="18" t="n">
        <x:v>1</x:v>
      </x:c>
      <x:c r="BA384" s="18" t="n">
        <x:v>0</x:v>
      </x:c>
      <x:c r="BB384" s="18" t="n">
        <x:v>0</x:v>
      </x:c>
      <x:c r="BC384" s="18" t="n">
        <x:v>0</x:v>
      </x:c>
      <x:c r="BD384" s="18" t="n">
        <x:v>0</x:v>
      </x:c>
      <x:c r="BE384" s="18" t="n">
        <x:v>0</x:v>
      </x:c>
      <x:c r="BF384" s="18" t="n">
        <x:v>10</x:v>
      </x:c>
      <x:c r="BG384" s="18" t="n">
        <x:v>0</x:v>
      </x:c>
    </x:row>
    <x:row r="385">
      <x:c r="A385" s="29" t="str">
        <x:v>712</x:v>
      </x:c>
      <x:c r="B385" s="17" t="n">
        <x:v>3209</x:v>
      </x:c>
      <x:c r="C385" s="17" t="str">
        <x:v>בי"ס גורדון</x:v>
      </x:c>
      <x:c r="D385" s="17" t="str">
        <x:v>ארן זלמן 43</x:v>
      </x:c>
      <x:c r="E385" s="17" t="str">
        <x:v>גבוה מאוד</x:v>
      </x:c>
      <x:c r="F385" s="18" t="n">
        <x:v>519</x:v>
      </x:c>
      <x:c r="G385" s="18" t="n">
        <x:v>335</x:v>
      </x:c>
      <x:c r="H385" s="19" t="n">
        <x:f>IFERROR(G385/F385,0)</x:f>
        <x:v>0.6454720616570327</x:v>
      </x:c>
      <x:c r="I385" s="18" t="n">
        <x:v>1</x:v>
      </x:c>
      <x:c r="J385" s="18" t="n">
        <x:v>334</x:v>
      </x:c>
      <x:c r="K385" s="18" t="n">
        <x:f>SUM(AM385,BF385,W385,AD385)</x:f>
        <x:v>192</x:v>
      </x:c>
      <x:c r="L385" s="18" t="n">
        <x:f>Q385+R385</x:f>
        <x:v>130</x:v>
      </x:c>
      <x:c r="M385" s="19" t="n">
        <x:f>IFERROR(K385/J385,0)</x:f>
        <x:v>0.5748502994011976</x:v>
      </x:c>
      <x:c r="N385" s="19" t="n">
        <x:f>IFERROR(L385/J385,0)</x:f>
        <x:v>0.38922155688622756</x:v>
      </x:c>
      <x:c r="O385" s="17" t="str">
        <x:f>IF(K385&gt;MAX(L385,S385),"קואליציית ההקמה 2022",IF(L385&gt;MAX(K385,S385),"אופוזיציה רחבה 2022","רשימות אחרות"))</x:f>
        <x:v>קואליציית ההקמה 2022</x:v>
      </x:c>
      <x:c r="P385" s="17" t="str">
        <x:f>IF(AND(H385&lt;50%,N385&gt;50%),"כן","לא")</x:f>
        <x:v>לא</x:v>
      </x:c>
      <x:c r="Q385" s="18" t="n">
        <x:f>SUM(AV385,AJ385,AL385,T385,AN385)</x:f>
        <x:v>130</x:v>
      </x:c>
      <x:c r="R385" s="18" t="n">
        <x:f>SUM(Y385,AU385,X385)</x:f>
        <x:v>0</x:v>
      </x:c>
      <x:c r="S385" s="18" t="n">
        <x:f>J385-K385-L385</x:f>
        <x:v>12</x:v>
      </x:c>
      <x:c r="T385" s="18" t="n">
        <x:v>8</x:v>
      </x:c>
      <x:c r="U385" s="18" t="n">
        <x:v>0</x:v>
      </x:c>
      <x:c r="V385" s="18" t="n">
        <x:v>6</x:v>
      </x:c>
      <x:c r="W385" s="18" t="n">
        <x:v>2</x:v>
      </x:c>
      <x:c r="X385" s="18" t="n">
        <x:v>0</x:v>
      </x:c>
      <x:c r="Y385" s="18" t="n">
        <x:v>0</x:v>
      </x:c>
      <x:c r="Z385" s="18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39</x:v>
      </x:c>
      <x:c r="AE385" s="18" t="n">
        <x:v>0</x:v>
      </x:c>
      <x:c r="AF385" s="18" t="n">
        <x:v>1</x:v>
      </x:c>
      <x:c r="AG385" s="18" t="n">
        <x:v>0</x:v>
      </x:c>
      <x:c r="AH385" s="18" t="n">
        <x:v>0</x:v>
      </x:c>
      <x:c r="AI385" s="18" t="n">
        <x:v>0</x:v>
      </x:c>
      <x:c r="AJ385" s="18" t="n">
        <x:v>36</x:v>
      </x:c>
      <x:c r="AK385" s="18" t="n">
        <x:v>0</x:v>
      </x:c>
      <x:c r="AL385" s="18" t="n">
        <x:v>13</x:v>
      </x:c>
      <x:c r="AM385" s="18" t="n">
        <x:v>140</x:v>
      </x:c>
      <x:c r="AN385" s="18" t="n">
        <x:v>2</x:v>
      </x:c>
      <x:c r="AO385" s="18" t="n">
        <x:v>0</x:v>
      </x:c>
      <x:c r="AP385" s="18" t="n">
        <x:v>0</x:v>
      </x:c>
      <x:c r="AQ385" s="18" t="n">
        <x:v>0</x:v>
      </x:c>
      <x:c r="AR385" s="18" t="n">
        <x:v>0</x:v>
      </x:c>
      <x:c r="AS385" s="18" t="n">
        <x:v>1</x:v>
      </x:c>
      <x:c r="AT385" s="18" t="n">
        <x:v>0</x:v>
      </x:c>
      <x:c r="AU385" s="18" t="n">
        <x:v>0</x:v>
      </x:c>
      <x:c r="AV385" s="18" t="n">
        <x:v>71</x:v>
      </x:c>
      <x:c r="AW385" s="18" t="n">
        <x:v>0</x:v>
      </x:c>
      <x:c r="AX385" s="18" t="n">
        <x:v>1</x:v>
      </x:c>
      <x:c r="AY385" s="18" t="n">
        <x:v>0</x:v>
      </x:c>
      <x:c r="AZ385" s="18" t="n">
        <x:v>0</x:v>
      </x:c>
      <x:c r="BA385" s="18" t="n">
        <x:v>0</x:v>
      </x:c>
      <x:c r="BB385" s="18" t="n">
        <x:v>0</x:v>
      </x:c>
      <x:c r="BC385" s="18" t="n">
        <x:v>0</x:v>
      </x:c>
      <x:c r="BD385" s="18" t="n">
        <x:v>3</x:v>
      </x:c>
      <x:c r="BE385" s="18" t="n">
        <x:v>0</x:v>
      </x:c>
      <x:c r="BF385" s="18" t="n">
        <x:v>11</x:v>
      </x:c>
      <x:c r="BG385" s="18" t="n">
        <x:v>0</x:v>
      </x:c>
    </x:row>
    <x:row r="386">
      <x:c r="A386" s="29" t="str">
        <x:v>715.1</x:v>
      </x:c>
      <x:c r="B386" s="17" t="n">
        <x:v>3202</x:v>
      </x:c>
      <x:c r="C386" s="17" t="str">
        <x:v>בי"ס דגניה</x:v>
      </x:c>
      <x:c r="D386" s="17" t="str">
        <x:v>שד דגניה 33</x:v>
      </x:c>
      <x:c r="E386" s="17" t="str">
        <x:v>גבוה מאוד</x:v>
      </x:c>
      <x:c r="F386" s="18" t="n">
        <x:v>615</x:v>
      </x:c>
      <x:c r="G386" s="18" t="n">
        <x:v>316</x:v>
      </x:c>
      <x:c r="H386" s="19" t="n">
        <x:f>IFERROR(G386/F386,0)</x:f>
        <x:v>0.5138211382113821</x:v>
      </x:c>
      <x:c r="I386" s="18" t="n">
        <x:v>6</x:v>
      </x:c>
      <x:c r="J386" s="18" t="n">
        <x:v>310</x:v>
      </x:c>
      <x:c r="K386" s="18" t="n">
        <x:f>SUM(AM386,BF386,W386,AD386)</x:f>
        <x:v>190</x:v>
      </x:c>
      <x:c r="L386" s="18" t="n">
        <x:f>Q386+R386</x:f>
        <x:v>116</x:v>
      </x:c>
      <x:c r="M386" s="19" t="n">
        <x:f>IFERROR(K386/J386,0)</x:f>
        <x:v>0.6129032258064516</x:v>
      </x:c>
      <x:c r="N386" s="19" t="n">
        <x:f>IFERROR(L386/J386,0)</x:f>
        <x:v>0.3741935483870968</x:v>
      </x:c>
      <x:c r="O386" s="17" t="str">
        <x:f>IF(K386&gt;MAX(L386,S386),"קואליציית ההקמה 2022",IF(L386&gt;MAX(K386,S386),"אופוזיציה רחבה 2022","רשימות אחרות"))</x:f>
        <x:v>קואליציית ההקמה 2022</x:v>
      </x:c>
      <x:c r="P386" s="17" t="str">
        <x:f>IF(AND(H386&lt;50%,N386&gt;50%),"כן","לא")</x:f>
        <x:v>לא</x:v>
      </x:c>
      <x:c r="Q386" s="18" t="n">
        <x:f>SUM(AV386,AJ386,AL386,T386,AN386)</x:f>
        <x:v>116</x:v>
      </x:c>
      <x:c r="R386" s="18" t="n">
        <x:f>SUM(Y386,AU386,X386)</x:f>
        <x:v>0</x:v>
      </x:c>
      <x:c r="S386" s="18" t="n">
        <x:f>J386-K386-L386</x:f>
        <x:v>4</x:v>
      </x:c>
      <x:c r="T386" s="18" t="n">
        <x:v>4</x:v>
      </x:c>
      <x:c r="U386" s="18" t="n">
        <x:v>1</x:v>
      </x:c>
      <x:c r="V386" s="18" t="n">
        <x:v>0</x:v>
      </x:c>
      <x:c r="W386" s="18" t="n">
        <x:v>0</x:v>
      </x:c>
      <x:c r="X386" s="18" t="n">
        <x:v>0</x:v>
      </x:c>
      <x:c r="Y386" s="18" t="n">
        <x:v>0</x:v>
      </x:c>
      <x:c r="Z386" s="18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27</x:v>
      </x:c>
      <x:c r="AE386" s="18" t="n">
        <x:v>0</x:v>
      </x:c>
      <x:c r="AF386" s="18" t="n">
        <x:v>0</x:v>
      </x:c>
      <x:c r="AG386" s="18" t="n">
        <x:v>0</x:v>
      </x:c>
      <x:c r="AH386" s="18" t="n">
        <x:v>0</x:v>
      </x:c>
      <x:c r="AI386" s="18" t="n">
        <x:v>0</x:v>
      </x:c>
      <x:c r="AJ386" s="18" t="n">
        <x:v>22</x:v>
      </x:c>
      <x:c r="AK386" s="18" t="n">
        <x:v>0</x:v>
      </x:c>
      <x:c r="AL386" s="18" t="n">
        <x:v>34</x:v>
      </x:c>
      <x:c r="AM386" s="18" t="n">
        <x:v>154</x:v>
      </x:c>
      <x:c r="AN386" s="18" t="n">
        <x:v>4</x:v>
      </x:c>
      <x:c r="AO386" s="18" t="n">
        <x:v>0</x:v>
      </x:c>
      <x:c r="AP386" s="18" t="n">
        <x:v>0</x:v>
      </x:c>
      <x:c r="AQ386" s="18" t="n">
        <x:v>0</x:v>
      </x:c>
      <x:c r="AR386" s="18" t="n">
        <x:v>0</x:v>
      </x:c>
      <x:c r="AS386" s="18" t="n">
        <x:v>1</x:v>
      </x:c>
      <x:c r="AT386" s="18" t="n">
        <x:v>0</x:v>
      </x:c>
      <x:c r="AU386" s="18" t="n">
        <x:v>0</x:v>
      </x:c>
      <x:c r="AV386" s="18" t="n">
        <x:v>52</x:v>
      </x:c>
      <x:c r="AW386" s="18" t="n">
        <x:v>0</x:v>
      </x:c>
      <x:c r="AX386" s="18" t="n">
        <x:v>1</x:v>
      </x:c>
      <x:c r="AY386" s="18" t="n">
        <x:v>0</x:v>
      </x:c>
      <x:c r="AZ386" s="18" t="n">
        <x:v>0</x:v>
      </x:c>
      <x:c r="BA386" s="18" t="n">
        <x:v>0</x:v>
      </x:c>
      <x:c r="BB386" s="18" t="n">
        <x:v>0</x:v>
      </x:c>
      <x:c r="BC386" s="18" t="n">
        <x:v>0</x:v>
      </x:c>
      <x:c r="BD386" s="18" t="n">
        <x:v>1</x:v>
      </x:c>
      <x:c r="BE386" s="18" t="n">
        <x:v>0</x:v>
      </x:c>
      <x:c r="BF386" s="18" t="n">
        <x:v>9</x:v>
      </x:c>
      <x:c r="BG386" s="18" t="n">
        <x:v>0</x:v>
      </x:c>
    </x:row>
    <x:row r="387">
      <x:c r="A387" s="29" t="str">
        <x:v>715.2</x:v>
      </x:c>
      <x:c r="B387" s="17" t="n">
        <x:v>3203</x:v>
      </x:c>
      <x:c r="C387" s="17" t="str">
        <x:v>בי"ס דגניה</x:v>
      </x:c>
      <x:c r="D387" s="17" t="str">
        <x:v>שד דגניה 33</x:v>
      </x:c>
      <x:c r="E387" s="17" t="str">
        <x:v>גבוה מאוד</x:v>
      </x:c>
      <x:c r="F387" s="18" t="n">
        <x:v>615</x:v>
      </x:c>
      <x:c r="G387" s="18" t="n">
        <x:v>297</x:v>
      </x:c>
      <x:c r="H387" s="19" t="n">
        <x:f>IFERROR(G387/F387,0)</x:f>
        <x:v>0.48292682926829267</x:v>
      </x:c>
      <x:c r="I387" s="18" t="n">
        <x:v>6</x:v>
      </x:c>
      <x:c r="J387" s="18" t="n">
        <x:v>291</x:v>
      </x:c>
      <x:c r="K387" s="18" t="n">
        <x:f>SUM(AM387,BF387,W387,AD387)</x:f>
        <x:v>154</x:v>
      </x:c>
      <x:c r="L387" s="18" t="n">
        <x:f>Q387+R387</x:f>
        <x:v>127</x:v>
      </x:c>
      <x:c r="M387" s="19" t="n">
        <x:f>IFERROR(K387/J387,0)</x:f>
        <x:v>0.5292096219931272</x:v>
      </x:c>
      <x:c r="N387" s="19" t="n">
        <x:f>IFERROR(L387/J387,0)</x:f>
        <x:v>0.436426116838488</x:v>
      </x:c>
      <x:c r="O387" s="17" t="str">
        <x:f>IF(K387&gt;MAX(L387,S387),"קואליציית ההקמה 2022",IF(L387&gt;MAX(K387,S387),"אופוזיציה רחבה 2022","רשימות אחרות"))</x:f>
        <x:v>קואליציית ההקמה 2022</x:v>
      </x:c>
      <x:c r="P387" s="17" t="str">
        <x:f>IF(AND(H387&lt;50%,N387&gt;50%),"כן","לא")</x:f>
        <x:v>לא</x:v>
      </x:c>
      <x:c r="Q387" s="18" t="n">
        <x:f>SUM(AV387,AJ387,AL387,T387,AN387)</x:f>
        <x:v>127</x:v>
      </x:c>
      <x:c r="R387" s="18" t="n">
        <x:f>SUM(Y387,AU387,X387)</x:f>
        <x:v>0</x:v>
      </x:c>
      <x:c r="S387" s="18" t="n">
        <x:f>J387-K387-L387</x:f>
        <x:v>10</x:v>
      </x:c>
      <x:c r="T387" s="18" t="n">
        <x:v>8</x:v>
      </x:c>
      <x:c r="U387" s="18" t="n">
        <x:v>0</x:v>
      </x:c>
      <x:c r="V387" s="18" t="n">
        <x:v>1</x:v>
      </x:c>
      <x:c r="W387" s="18" t="n">
        <x:v>2</x:v>
      </x:c>
      <x:c r="X387" s="18" t="n">
        <x:v>0</x:v>
      </x:c>
      <x:c r="Y387" s="18" t="n">
        <x:v>0</x:v>
      </x:c>
      <x:c r="Z387" s="18" t="n">
        <x:v>1</x:v>
      </x:c>
      <x:c r="AA387" s="18" t="n">
        <x:v>0</x:v>
      </x:c>
      <x:c r="AB387" s="18" t="n">
        <x:v>0</x:v>
      </x:c>
      <x:c r="AC387" s="18" t="n">
        <x:v>0</x:v>
      </x:c>
      <x:c r="AD387" s="18" t="n">
        <x:v>22</x:v>
      </x:c>
      <x:c r="AE387" s="18" t="n">
        <x:v>0</x:v>
      </x:c>
      <x:c r="AF387" s="18" t="n">
        <x:v>1</x:v>
      </x:c>
      <x:c r="AG387" s="18" t="n">
        <x:v>0</x:v>
      </x:c>
      <x:c r="AH387" s="18" t="n">
        <x:v>0</x:v>
      </x:c>
      <x:c r="AI387" s="18" t="n">
        <x:v>0</x:v>
      </x:c>
      <x:c r="AJ387" s="18" t="n">
        <x:v>24</x:v>
      </x:c>
      <x:c r="AK387" s="18" t="n">
        <x:v>0</x:v>
      </x:c>
      <x:c r="AL387" s="18" t="n">
        <x:v>31</x:v>
      </x:c>
      <x:c r="AM387" s="18" t="n">
        <x:v>122</x:v>
      </x:c>
      <x:c r="AN387" s="18" t="n">
        <x:v>3</x:v>
      </x:c>
      <x:c r="AO387" s="18" t="n">
        <x:v>0</x:v>
      </x:c>
      <x:c r="AP387" s="18" t="n">
        <x:v>0</x:v>
      </x:c>
      <x:c r="AQ387" s="18" t="n">
        <x:v>0</x:v>
      </x:c>
      <x:c r="AR387" s="18" t="n">
        <x:v>0</x:v>
      </x:c>
      <x:c r="AS387" s="18" t="n">
        <x:v>0</x:v>
      </x:c>
      <x:c r="AT387" s="18" t="n">
        <x:v>0</x:v>
      </x:c>
      <x:c r="AU387" s="18" t="n">
        <x:v>0</x:v>
      </x:c>
      <x:c r="AV387" s="18" t="n">
        <x:v>61</x:v>
      </x:c>
      <x:c r="AW387" s="18" t="n">
        <x:v>0</x:v>
      </x:c>
      <x:c r="AX387" s="18" t="n">
        <x:v>2</x:v>
      </x:c>
      <x:c r="AY387" s="18" t="n">
        <x:v>0</x:v>
      </x:c>
      <x:c r="AZ387" s="18" t="n">
        <x:v>0</x:v>
      </x:c>
      <x:c r="BA387" s="18" t="n">
        <x:v>0</x:v>
      </x:c>
      <x:c r="BB387" s="18" t="n">
        <x:v>2</x:v>
      </x:c>
      <x:c r="BC387" s="18" t="n">
        <x:v>0</x:v>
      </x:c>
      <x:c r="BD387" s="18" t="n">
        <x:v>3</x:v>
      </x:c>
      <x:c r="BE387" s="18" t="n">
        <x:v>0</x:v>
      </x:c>
      <x:c r="BF387" s="18" t="n">
        <x:v>8</x:v>
      </x:c>
      <x:c r="BG387" s="18" t="n">
        <x:v>0</x:v>
      </x:c>
    </x:row>
    <x:row r="388">
      <x:c r="A388" s="29" t="str">
        <x:v>715.3</x:v>
      </x:c>
      <x:c r="B388" s="17" t="n">
        <x:v>3204</x:v>
      </x:c>
      <x:c r="C388" s="17" t="str">
        <x:v>בי"ס דגניה</x:v>
      </x:c>
      <x:c r="D388" s="17" t="str">
        <x:v>שד דגניה 33</x:v>
      </x:c>
      <x:c r="E388" s="17" t="str">
        <x:v>גבוה מאוד</x:v>
      </x:c>
      <x:c r="F388" s="18" t="n">
        <x:v>615</x:v>
      </x:c>
      <x:c r="G388" s="18" t="n">
        <x:v>291</x:v>
      </x:c>
      <x:c r="H388" s="19" t="n">
        <x:f>IFERROR(G388/F388,0)</x:f>
        <x:v>0.47317073170731705</x:v>
      </x:c>
      <x:c r="I388" s="18" t="n">
        <x:v>2</x:v>
      </x:c>
      <x:c r="J388" s="18" t="n">
        <x:v>289</x:v>
      </x:c>
      <x:c r="K388" s="18" t="n">
        <x:f>SUM(AM388,BF388,W388,AD388)</x:f>
        <x:v>141</x:v>
      </x:c>
      <x:c r="L388" s="18" t="n">
        <x:f>Q388+R388</x:f>
        <x:v>142</x:v>
      </x:c>
      <x:c r="M388" s="19" t="n">
        <x:f>IFERROR(K388/J388,0)</x:f>
        <x:v>0.48788927335640137</x:v>
      </x:c>
      <x:c r="N388" s="19" t="n">
        <x:f>IFERROR(L388/J388,0)</x:f>
        <x:v>0.4913494809688581</x:v>
      </x:c>
      <x:c r="O388" s="17" t="str">
        <x:f>IF(K388&gt;MAX(L388,S388),"קואליציית ההקמה 2022",IF(L388&gt;MAX(K388,S388),"אופוזיציה רחבה 2022","רשימות אחרות"))</x:f>
        <x:v>אופוזיציה רחבה 2022</x:v>
      </x:c>
      <x:c r="P388" s="17" t="str">
        <x:f>IF(AND(H388&lt;50%,N388&gt;50%),"כן","לא")</x:f>
        <x:v>לא</x:v>
      </x:c>
      <x:c r="Q388" s="18" t="n">
        <x:f>SUM(AV388,AJ388,AL388,T388,AN388)</x:f>
        <x:v>141</x:v>
      </x:c>
      <x:c r="R388" s="18" t="n">
        <x:f>SUM(Y388,AU388,X388)</x:f>
        <x:v>1</x:v>
      </x:c>
      <x:c r="S388" s="18" t="n">
        <x:f>J388-K388-L388</x:f>
        <x:v>6</x:v>
      </x:c>
      <x:c r="T388" s="18" t="n">
        <x:v>6</x:v>
      </x:c>
      <x:c r="U388" s="18" t="n">
        <x:v>0</x:v>
      </x:c>
      <x:c r="V388" s="18" t="n">
        <x:v>1</x:v>
      </x:c>
      <x:c r="W388" s="18" t="n">
        <x:v>1</x:v>
      </x:c>
      <x:c r="X388" s="18" t="n">
        <x:v>0</x:v>
      </x:c>
      <x:c r="Y388" s="18" t="n">
        <x:v>1</x:v>
      </x:c>
      <x:c r="Z388" s="18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26</x:v>
      </x:c>
      <x:c r="AE388" s="18" t="n">
        <x:v>0</x:v>
      </x:c>
      <x:c r="AF388" s="18" t="n">
        <x:v>3</x:v>
      </x:c>
      <x:c r="AG388" s="18" t="n">
        <x:v>0</x:v>
      </x:c>
      <x:c r="AH388" s="18" t="n">
        <x:v>0</x:v>
      </x:c>
      <x:c r="AI388" s="18" t="n">
        <x:v>0</x:v>
      </x:c>
      <x:c r="AJ388" s="18" t="n">
        <x:v>22</x:v>
      </x:c>
      <x:c r="AK388" s="18" t="n">
        <x:v>0</x:v>
      </x:c>
      <x:c r="AL388" s="18" t="n">
        <x:v>46</x:v>
      </x:c>
      <x:c r="AM388" s="18" t="n">
        <x:v>107</x:v>
      </x:c>
      <x:c r="AN388" s="18" t="n">
        <x:v>3</x:v>
      </x:c>
      <x:c r="AO388" s="18" t="n">
        <x:v>0</x:v>
      </x:c>
      <x:c r="AP388" s="18" t="n">
        <x:v>0</x:v>
      </x:c>
      <x:c r="AQ388" s="18" t="n">
        <x:v>0</x:v>
      </x:c>
      <x:c r="AR388" s="18" t="n">
        <x:v>0</x:v>
      </x:c>
      <x:c r="AS388" s="18" t="n">
        <x:v>0</x:v>
      </x:c>
      <x:c r="AT388" s="18" t="n">
        <x:v>0</x:v>
      </x:c>
      <x:c r="AU388" s="18" t="n">
        <x:v>0</x:v>
      </x:c>
      <x:c r="AV388" s="18" t="n">
        <x:v>64</x:v>
      </x:c>
      <x:c r="AW388" s="18" t="n">
        <x:v>0</x:v>
      </x:c>
      <x:c r="AX388" s="18" t="n">
        <x:v>0</x:v>
      </x:c>
      <x:c r="AY388" s="18" t="n">
        <x:v>0</x:v>
      </x:c>
      <x:c r="AZ388" s="18" t="n">
        <x:v>1</x:v>
      </x:c>
      <x:c r="BA388" s="18" t="n">
        <x:v>0</x:v>
      </x:c>
      <x:c r="BB388" s="18" t="n">
        <x:v>0</x:v>
      </x:c>
      <x:c r="BC388" s="18" t="n">
        <x:v>0</x:v>
      </x:c>
      <x:c r="BD388" s="18" t="n">
        <x:v>1</x:v>
      </x:c>
      <x:c r="BE388" s="18" t="n">
        <x:v>0</x:v>
      </x:c>
      <x:c r="BF388" s="18" t="n">
        <x:v>7</x:v>
      </x:c>
      <x:c r="BG388" s="18" t="n">
        <x:v>0</x:v>
      </x:c>
    </x:row>
    <x:row r="389">
      <x:c r="A389" s="29" t="str">
        <x:v>716</x:v>
      </x:c>
      <x:c r="B389" s="17" t="n">
        <x:v>3205</x:v>
      </x:c>
      <x:c r="C389" s="17" t="str">
        <x:v>בי"ס אהרן הרואה</x:v>
      </x:c>
      <x:c r="D389" s="17" t="str">
        <x:v>שד הרא"ה 10</x:v>
      </x:c>
      <x:c r="E389" s="17" t="str">
        <x:v>גבוה מאוד</x:v>
      </x:c>
      <x:c r="F389" s="18" t="n">
        <x:v>643</x:v>
      </x:c>
      <x:c r="G389" s="18" t="n">
        <x:v>390</x:v>
      </x:c>
      <x:c r="H389" s="19" t="n">
        <x:f>IFERROR(G389/F389,0)</x:f>
        <x:v>0.6065318818040435</x:v>
      </x:c>
      <x:c r="I389" s="18" t="n">
        <x:v>3</x:v>
      </x:c>
      <x:c r="J389" s="18" t="n">
        <x:v>387</x:v>
      </x:c>
      <x:c r="K389" s="18" t="n">
        <x:f>SUM(AM389,BF389,W389,AD389)</x:f>
        <x:v>228</x:v>
      </x:c>
      <x:c r="L389" s="18" t="n">
        <x:f>Q389+R389</x:f>
        <x:v>153</x:v>
      </x:c>
      <x:c r="M389" s="19" t="n">
        <x:f>IFERROR(K389/J389,0)</x:f>
        <x:v>0.5891472868217055</x:v>
      </x:c>
      <x:c r="N389" s="19" t="n">
        <x:f>IFERROR(L389/J389,0)</x:f>
        <x:v>0.3953488372093023</x:v>
      </x:c>
      <x:c r="O389" s="17" t="str">
        <x:f>IF(K389&gt;MAX(L389,S389),"קואליציית ההקמה 2022",IF(L389&gt;MAX(K389,S389),"אופוזיציה רחבה 2022","רשימות אחרות"))</x:f>
        <x:v>קואליציית ההקמה 2022</x:v>
      </x:c>
      <x:c r="P389" s="17" t="str">
        <x:f>IF(AND(H389&lt;50%,N389&gt;50%),"כן","לא")</x:f>
        <x:v>לא</x:v>
      </x:c>
      <x:c r="Q389" s="18" t="n">
        <x:f>SUM(AV389,AJ389,AL389,T389,AN389)</x:f>
        <x:v>153</x:v>
      </x:c>
      <x:c r="R389" s="18" t="n">
        <x:f>SUM(Y389,AU389,X389)</x:f>
        <x:v>0</x:v>
      </x:c>
      <x:c r="S389" s="18" t="n">
        <x:f>J389-K389-L389</x:f>
        <x:v>6</x:v>
      </x:c>
      <x:c r="T389" s="18" t="n">
        <x:v>12</x:v>
      </x:c>
      <x:c r="U389" s="18" t="n">
        <x:v>0</x:v>
      </x:c>
      <x:c r="V389" s="18" t="n">
        <x:v>0</x:v>
      </x:c>
      <x:c r="W389" s="18" t="n">
        <x:v>4</x:v>
      </x:c>
      <x:c r="X389" s="18" t="n">
        <x:v>0</x:v>
      </x:c>
      <x:c r="Y389" s="18" t="n">
        <x:v>0</x:v>
      </x:c>
      <x:c r="Z389" s="18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66</x:v>
      </x:c>
      <x:c r="AE389" s="18" t="n">
        <x:v>0</x:v>
      </x:c>
      <x:c r="AF389" s="18" t="n">
        <x:v>4</x:v>
      </x:c>
      <x:c r="AG389" s="18" t="n">
        <x:v>0</x:v>
      </x:c>
      <x:c r="AH389" s="18" t="n">
        <x:v>0</x:v>
      </x:c>
      <x:c r="AI389" s="18" t="n">
        <x:v>0</x:v>
      </x:c>
      <x:c r="AJ389" s="18" t="n">
        <x:v>44</x:v>
      </x:c>
      <x:c r="AK389" s="18" t="n">
        <x:v>0</x:v>
      </x:c>
      <x:c r="AL389" s="18" t="n">
        <x:v>18</x:v>
      </x:c>
      <x:c r="AM389" s="18" t="n">
        <x:v>128</x:v>
      </x:c>
      <x:c r="AN389" s="18" t="n">
        <x:v>2</x:v>
      </x:c>
      <x:c r="AO389" s="18" t="n">
        <x:v>0</x:v>
      </x:c>
      <x:c r="AP389" s="18" t="n">
        <x:v>0</x:v>
      </x:c>
      <x:c r="AQ389" s="18" t="n">
        <x:v>0</x:v>
      </x:c>
      <x:c r="AR389" s="18" t="n">
        <x:v>0</x:v>
      </x:c>
      <x:c r="AS389" s="18" t="n">
        <x:v>0</x:v>
      </x:c>
      <x:c r="AT389" s="18" t="n">
        <x:v>0</x:v>
      </x:c>
      <x:c r="AU389" s="18" t="n">
        <x:v>0</x:v>
      </x:c>
      <x:c r="AV389" s="18" t="n">
        <x:v>77</x:v>
      </x:c>
      <x:c r="AW389" s="18" t="n">
        <x:v>0</x:v>
      </x:c>
      <x:c r="AX389" s="18" t="n">
        <x:v>0</x:v>
      </x:c>
      <x:c r="AY389" s="18" t="n">
        <x:v>0</x:v>
      </x:c>
      <x:c r="AZ389" s="18" t="n">
        <x:v>1</x:v>
      </x:c>
      <x:c r="BA389" s="18" t="n">
        <x:v>0</x:v>
      </x:c>
      <x:c r="BB389" s="18" t="n">
        <x:v>0</x:v>
      </x:c>
      <x:c r="BC389" s="18" t="n">
        <x:v>0</x:v>
      </x:c>
      <x:c r="BD389" s="18" t="n">
        <x:v>0</x:v>
      </x:c>
      <x:c r="BE389" s="18" t="n">
        <x:v>1</x:v>
      </x:c>
      <x:c r="BF389" s="18" t="n">
        <x:v>30</x:v>
      </x:c>
      <x:c r="BG389" s="18" t="n">
        <x:v>0</x:v>
      </x:c>
    </x:row>
    <x:row r="390">
      <x:c r="A390" s="29" t="str">
        <x:v>717</x:v>
      </x:c>
      <x:c r="B390" s="17" t="n">
        <x:v>3206</x:v>
      </x:c>
      <x:c r="C390" s="17" t="str">
        <x:v>מרכז יום לקשיש</x:v>
      </x:c>
      <x:c r="D390" s="17" t="str">
        <x:v>בית אלפא 80</x:v>
      </x:c>
      <x:c r="E390" s="17" t="str">
        <x:v>גבוה מאוד</x:v>
      </x:c>
      <x:c r="F390" s="18" t="n">
        <x:v>525</x:v>
      </x:c>
      <x:c r="G390" s="18" t="n">
        <x:v>304</x:v>
      </x:c>
      <x:c r="H390" s="19" t="n">
        <x:f>IFERROR(G390/F390,0)</x:f>
        <x:v>0.579047619047619</x:v>
      </x:c>
      <x:c r="I390" s="18" t="n">
        <x:v>2</x:v>
      </x:c>
      <x:c r="J390" s="18" t="n">
        <x:v>302</x:v>
      </x:c>
      <x:c r="K390" s="18" t="n">
        <x:f>SUM(AM390,BF390,W390,AD390)</x:f>
        <x:v>140</x:v>
      </x:c>
      <x:c r="L390" s="18" t="n">
        <x:f>Q390+R390</x:f>
        <x:v>161</x:v>
      </x:c>
      <x:c r="M390" s="19" t="n">
        <x:f>IFERROR(K390/J390,0)</x:f>
        <x:v>0.46357615894039733</x:v>
      </x:c>
      <x:c r="N390" s="19" t="n">
        <x:f>IFERROR(L390/J390,0)</x:f>
        <x:v>0.5331125827814569</x:v>
      </x:c>
      <x:c r="O390" s="17" t="str">
        <x:f>IF(K390&gt;MAX(L390,S390),"קואליציית ההקמה 2022",IF(L390&gt;MAX(K390,S390),"אופוזיציה רחבה 2022","רשימות אחרות"))</x:f>
        <x:v>אופוזיציה רחבה 2022</x:v>
      </x:c>
      <x:c r="P390" s="17" t="str">
        <x:f>IF(AND(H390&lt;50%,N390&gt;50%),"כן","לא")</x:f>
        <x:v>לא</x:v>
      </x:c>
      <x:c r="Q390" s="18" t="n">
        <x:f>SUM(AV390,AJ390,AL390,T390,AN390)</x:f>
        <x:v>160</x:v>
      </x:c>
      <x:c r="R390" s="18" t="n">
        <x:f>SUM(Y390,AU390,X390)</x:f>
        <x:v>1</x:v>
      </x:c>
      <x:c r="S390" s="18" t="n">
        <x:f>J390-K390-L390</x:f>
        <x:v>1</x:v>
      </x:c>
      <x:c r="T390" s="18" t="n">
        <x:v>7</x:v>
      </x:c>
      <x:c r="U390" s="18" t="n">
        <x:v>0</x:v>
      </x:c>
      <x:c r="V390" s="18" t="n">
        <x:v>0</x:v>
      </x:c>
      <x:c r="W390" s="18" t="n">
        <x:v>3</x:v>
      </x:c>
      <x:c r="X390" s="18" t="n">
        <x:v>0</x:v>
      </x:c>
      <x:c r="Y390" s="18" t="n">
        <x:v>1</x:v>
      </x:c>
      <x:c r="Z390" s="18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32</x:v>
      </x:c>
      <x:c r="AE390" s="18" t="n">
        <x:v>0</x:v>
      </x:c>
      <x:c r="AF390" s="18" t="n">
        <x:v>1</x:v>
      </x:c>
      <x:c r="AG390" s="18" t="n">
        <x:v>0</x:v>
      </x:c>
      <x:c r="AH390" s="18" t="n">
        <x:v>0</x:v>
      </x:c>
      <x:c r="AI390" s="18" t="n">
        <x:v>0</x:v>
      </x:c>
      <x:c r="AJ390" s="18" t="n">
        <x:v>31</x:v>
      </x:c>
      <x:c r="AK390" s="18" t="n">
        <x:v>0</x:v>
      </x:c>
      <x:c r="AL390" s="18" t="n">
        <x:v>33</x:v>
      </x:c>
      <x:c r="AM390" s="18" t="n">
        <x:v>99</x:v>
      </x:c>
      <x:c r="AN390" s="18" t="n">
        <x:v>3</x:v>
      </x:c>
      <x:c r="AO390" s="18" t="n">
        <x:v>0</x:v>
      </x:c>
      <x:c r="AP390" s="18" t="n">
        <x:v>0</x:v>
      </x:c>
      <x:c r="AQ390" s="18" t="n">
        <x:v>0</x:v>
      </x:c>
      <x:c r="AR390" s="18" t="n">
        <x:v>0</x:v>
      </x:c>
      <x:c r="AS390" s="18" t="n">
        <x:v>0</x:v>
      </x:c>
      <x:c r="AT390" s="18" t="n">
        <x:v>0</x:v>
      </x:c>
      <x:c r="AU390" s="18" t="n">
        <x:v>0</x:v>
      </x:c>
      <x:c r="AV390" s="18" t="n">
        <x:v>86</x:v>
      </x:c>
      <x:c r="AW390" s="18" t="n">
        <x:v>0</x:v>
      </x:c>
      <x:c r="AX390" s="18" t="n">
        <x:v>0</x:v>
      </x:c>
      <x:c r="AY390" s="18" t="n">
        <x:v>0</x:v>
      </x:c>
      <x:c r="AZ390" s="18" t="n">
        <x:v>0</x:v>
      </x:c>
      <x:c r="BA390" s="18" t="n">
        <x:v>0</x:v>
      </x:c>
      <x:c r="BB390" s="18" t="n">
        <x:v>0</x:v>
      </x:c>
      <x:c r="BC390" s="18" t="n">
        <x:v>0</x:v>
      </x:c>
      <x:c r="BD390" s="18" t="n">
        <x:v>0</x:v>
      </x:c>
      <x:c r="BE390" s="18" t="n">
        <x:v>0</x:v>
      </x:c>
      <x:c r="BF390" s="18" t="n">
        <x:v>6</x:v>
      </x:c>
      <x:c r="BG390" s="18" t="n">
        <x:v>0</x:v>
      </x:c>
    </x:row>
    <x:row r="391">
      <x:c r="A391" s="29" t="str">
        <x:v>721.1</x:v>
      </x:c>
      <x:c r="B391" s="17" t="n">
        <x:v>3210</x:v>
      </x:c>
      <x:c r="C391" s="17" t="str">
        <x:v>תיכון ק.חיים בניין שקד</x:v>
      </x:c>
      <x:c r="D391" s="17" t="str">
        <x:v>הגדוד העברי 48</x:v>
      </x:c>
      <x:c r="E391" s="17" t="str">
        <x:v>גבוה מאוד</x:v>
      </x:c>
      <x:c r="F391" s="18" t="n">
        <x:v>656</x:v>
      </x:c>
      <x:c r="G391" s="18" t="n">
        <x:v>457</x:v>
      </x:c>
      <x:c r="H391" s="19" t="n">
        <x:f>IFERROR(G391/F391,0)</x:f>
        <x:v>0.6966463414634146</x:v>
      </x:c>
      <x:c r="I391" s="18" t="n">
        <x:v>1</x:v>
      </x:c>
      <x:c r="J391" s="18" t="n">
        <x:v>456</x:v>
      </x:c>
      <x:c r="K391" s="18" t="n">
        <x:f>SUM(AM391,BF391,W391,AD391)</x:f>
        <x:v>251</x:v>
      </x:c>
      <x:c r="L391" s="18" t="n">
        <x:f>Q391+R391</x:f>
        <x:v>192</x:v>
      </x:c>
      <x:c r="M391" s="19" t="n">
        <x:f>IFERROR(K391/J391,0)</x:f>
        <x:v>0.5504385964912281</x:v>
      </x:c>
      <x:c r="N391" s="19" t="n">
        <x:f>IFERROR(L391/J391,0)</x:f>
        <x:v>0.42105263157894735</x:v>
      </x:c>
      <x:c r="O391" s="17" t="str">
        <x:f>IF(K391&gt;MAX(L391,S391),"קואליציית ההקמה 2022",IF(L391&gt;MAX(K391,S391),"אופוזיציה רחבה 2022","רשימות אחרות"))</x:f>
        <x:v>קואליציית ההקמה 2022</x:v>
      </x:c>
      <x:c r="P391" s="17" t="str">
        <x:f>IF(AND(H391&lt;50%,N391&gt;50%),"כן","לא")</x:f>
        <x:v>לא</x:v>
      </x:c>
      <x:c r="Q391" s="18" t="n">
        <x:f>SUM(AV391,AJ391,AL391,T391,AN391)</x:f>
        <x:v>192</x:v>
      </x:c>
      <x:c r="R391" s="18" t="n">
        <x:f>SUM(Y391,AU391,X391)</x:f>
        <x:v>0</x:v>
      </x:c>
      <x:c r="S391" s="18" t="n">
        <x:f>J391-K391-L391</x:f>
        <x:v>13</x:v>
      </x:c>
      <x:c r="T391" s="18" t="n">
        <x:v>18</x:v>
      </x:c>
      <x:c r="U391" s="18" t="n">
        <x:v>3</x:v>
      </x:c>
      <x:c r="V391" s="18" t="n">
        <x:v>6</x:v>
      </x:c>
      <x:c r="W391" s="18" t="n">
        <x:v>3</x:v>
      </x:c>
      <x:c r="X391" s="18" t="n">
        <x:v>0</x:v>
      </x:c>
      <x:c r="Y391" s="18" t="n">
        <x:v>0</x:v>
      </x:c>
      <x:c r="Z391" s="18" t="n">
        <x:v>0</x:v>
      </x:c>
      <x:c r="AA391" s="18" t="n">
        <x:v>0</x:v>
      </x:c>
      <x:c r="AB391" s="18" t="n">
        <x:v>0</x:v>
      </x:c>
      <x:c r="AC391" s="18" t="n">
        <x:v>1</x:v>
      </x:c>
      <x:c r="AD391" s="18" t="n">
        <x:v>44</x:v>
      </x:c>
      <x:c r="AE391" s="18" t="n">
        <x:v>0</x:v>
      </x:c>
      <x:c r="AF391" s="18" t="n">
        <x:v>0</x:v>
      </x:c>
      <x:c r="AG391" s="18" t="n">
        <x:v>0</x:v>
      </x:c>
      <x:c r="AH391" s="18" t="n">
        <x:v>0</x:v>
      </x:c>
      <x:c r="AI391" s="18" t="n">
        <x:v>0</x:v>
      </x:c>
      <x:c r="AJ391" s="18" t="n">
        <x:v>48</x:v>
      </x:c>
      <x:c r="AK391" s="18" t="n">
        <x:v>0</x:v>
      </x:c>
      <x:c r="AL391" s="18" t="n">
        <x:v>11</x:v>
      </x:c>
      <x:c r="AM391" s="18" t="n">
        <x:v>194</x:v>
      </x:c>
      <x:c r="AN391" s="18" t="n">
        <x:v>8</x:v>
      </x:c>
      <x:c r="AO391" s="18" t="n">
        <x:v>0</x:v>
      </x:c>
      <x:c r="AP391" s="18" t="n">
        <x:v>0</x:v>
      </x:c>
      <x:c r="AQ391" s="18" t="n">
        <x:v>0</x:v>
      </x:c>
      <x:c r="AR391" s="18" t="n">
        <x:v>0</x:v>
      </x:c>
      <x:c r="AS391" s="18" t="n">
        <x:v>0</x:v>
      </x:c>
      <x:c r="AT391" s="18" t="n">
        <x:v>0</x:v>
      </x:c>
      <x:c r="AU391" s="18" t="n">
        <x:v>0</x:v>
      </x:c>
      <x:c r="AV391" s="18" t="n">
        <x:v>107</x:v>
      </x:c>
      <x:c r="AW391" s="18" t="n">
        <x:v>0</x:v>
      </x:c>
      <x:c r="AX391" s="18" t="n">
        <x:v>2</x:v>
      </x:c>
      <x:c r="AY391" s="18" t="n">
        <x:v>0</x:v>
      </x:c>
      <x:c r="AZ391" s="18" t="n">
        <x:v>0</x:v>
      </x:c>
      <x:c r="BA391" s="18" t="n">
        <x:v>1</x:v>
      </x:c>
      <x:c r="BB391" s="18" t="n">
        <x:v>0</x:v>
      </x:c>
      <x:c r="BC391" s="18" t="n">
        <x:v>0</x:v>
      </x:c>
      <x:c r="BD391" s="18" t="n">
        <x:v>0</x:v>
      </x:c>
      <x:c r="BE391" s="18" t="n">
        <x:v>0</x:v>
      </x:c>
      <x:c r="BF391" s="18" t="n">
        <x:v>10</x:v>
      </x:c>
      <x:c r="BG391" s="18" t="n">
        <x:v>0</x:v>
      </x:c>
    </x:row>
    <x:row r="392">
      <x:c r="A392" s="29" t="str">
        <x:v>721.2</x:v>
      </x:c>
      <x:c r="B392" s="17" t="n">
        <x:v>3211</x:v>
      </x:c>
      <x:c r="C392" s="17" t="str">
        <x:v>תיכון ק.חיים בניין שקד</x:v>
      </x:c>
      <x:c r="D392" s="17" t="str">
        <x:v>הגדוד העברי 48</x:v>
      </x:c>
      <x:c r="E392" s="17" t="str">
        <x:v>גבוה מאוד</x:v>
      </x:c>
      <x:c r="F392" s="18" t="n">
        <x:v>656</x:v>
      </x:c>
      <x:c r="G392" s="18" t="n">
        <x:v>463</x:v>
      </x:c>
      <x:c r="H392" s="19" t="n">
        <x:f>IFERROR(G392/F392,0)</x:f>
        <x:v>0.7057926829268293</x:v>
      </x:c>
      <x:c r="I392" s="18" t="n">
        <x:v>4</x:v>
      </x:c>
      <x:c r="J392" s="18" t="n">
        <x:v>459</x:v>
      </x:c>
      <x:c r="K392" s="18" t="n">
        <x:f>SUM(AM392,BF392,W392,AD392)</x:f>
        <x:v>187</x:v>
      </x:c>
      <x:c r="L392" s="18" t="n">
        <x:f>Q392+R392</x:f>
        <x:v>254</x:v>
      </x:c>
      <x:c r="M392" s="19" t="n">
        <x:f>IFERROR(K392/J392,0)</x:f>
        <x:v>0.4074074074074074</x:v>
      </x:c>
      <x:c r="N392" s="19" t="n">
        <x:f>IFERROR(L392/J392,0)</x:f>
        <x:v>0.5533769063180828</x:v>
      </x:c>
      <x:c r="O392" s="17" t="str">
        <x:f>IF(K392&gt;MAX(L392,S392),"קואליציית ההקמה 2022",IF(L392&gt;MAX(K392,S392),"אופוזיציה רחבה 2022","רשימות אחרות"))</x:f>
        <x:v>אופוזיציה רחבה 2022</x:v>
      </x:c>
      <x:c r="P392" s="17" t="str">
        <x:f>IF(AND(H392&lt;50%,N392&gt;50%),"כן","לא")</x:f>
        <x:v>לא</x:v>
      </x:c>
      <x:c r="Q392" s="18" t="n">
        <x:f>SUM(AV392,AJ392,AL392,T392,AN392)</x:f>
        <x:v>254</x:v>
      </x:c>
      <x:c r="R392" s="18" t="n">
        <x:f>SUM(Y392,AU392,X392)</x:f>
        <x:v>0</x:v>
      </x:c>
      <x:c r="S392" s="18" t="n">
        <x:f>J392-K392-L392</x:f>
        <x:v>18</x:v>
      </x:c>
      <x:c r="T392" s="18" t="n">
        <x:v>35</x:v>
      </x:c>
      <x:c r="U392" s="18" t="n">
        <x:v>4</x:v>
      </x:c>
      <x:c r="V392" s="18" t="n">
        <x:v>5</x:v>
      </x:c>
      <x:c r="W392" s="18" t="n">
        <x:v>2</x:v>
      </x:c>
      <x:c r="X392" s="18" t="n">
        <x:v>0</x:v>
      </x:c>
      <x:c r="Y392" s="18" t="n">
        <x:v>0</x:v>
      </x:c>
      <x:c r="Z392" s="18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45</x:v>
      </x:c>
      <x:c r="AE392" s="18" t="n">
        <x:v>0</x:v>
      </x:c>
      <x:c r="AF392" s="18" t="n">
        <x:v>3</x:v>
      </x:c>
      <x:c r="AG392" s="18" t="n">
        <x:v>0</x:v>
      </x:c>
      <x:c r="AH392" s="18" t="n">
        <x:v>0</x:v>
      </x:c>
      <x:c r="AI392" s="18" t="n">
        <x:v>0</x:v>
      </x:c>
      <x:c r="AJ392" s="18" t="n">
        <x:v>52</x:v>
      </x:c>
      <x:c r="AK392" s="18" t="n">
        <x:v>0</x:v>
      </x:c>
      <x:c r="AL392" s="18" t="n">
        <x:v>18</x:v>
      </x:c>
      <x:c r="AM392" s="18" t="n">
        <x:v>128</x:v>
      </x:c>
      <x:c r="AN392" s="18" t="n">
        <x:v>11</x:v>
      </x:c>
      <x:c r="AO392" s="18" t="n">
        <x:v>0</x:v>
      </x:c>
      <x:c r="AP392" s="18" t="n">
        <x:v>0</x:v>
      </x:c>
      <x:c r="AQ392" s="18" t="n">
        <x:v>0</x:v>
      </x:c>
      <x:c r="AR392" s="18" t="n">
        <x:v>1</x:v>
      </x:c>
      <x:c r="AS392" s="18" t="n">
        <x:v>0</x:v>
      </x:c>
      <x:c r="AT392" s="18" t="n">
        <x:v>0</x:v>
      </x:c>
      <x:c r="AU392" s="18" t="n">
        <x:v>0</x:v>
      </x:c>
      <x:c r="AV392" s="18" t="n">
        <x:v>138</x:v>
      </x:c>
      <x:c r="AW392" s="18" t="n">
        <x:v>1</x:v>
      </x:c>
      <x:c r="AX392" s="18" t="n">
        <x:v>0</x:v>
      </x:c>
      <x:c r="AY392" s="18" t="n">
        <x:v>0</x:v>
      </x:c>
      <x:c r="AZ392" s="18" t="n">
        <x:v>0</x:v>
      </x:c>
      <x:c r="BA392" s="18" t="n">
        <x:v>0</x:v>
      </x:c>
      <x:c r="BB392" s="18" t="n">
        <x:v>0</x:v>
      </x:c>
      <x:c r="BC392" s="18" t="n">
        <x:v>0</x:v>
      </x:c>
      <x:c r="BD392" s="18" t="n">
        <x:v>3</x:v>
      </x:c>
      <x:c r="BE392" s="18" t="n">
        <x:v>0</x:v>
      </x:c>
      <x:c r="BF392" s="18" t="n">
        <x:v>12</x:v>
      </x:c>
      <x:c r="BG392" s="18" t="n">
        <x:v>1</x:v>
      </x:c>
    </x:row>
    <x:row r="393">
      <x:c r="A393" s="29" t="str">
        <x:v>721.3</x:v>
      </x:c>
      <x:c r="B393" s="17" t="n">
        <x:v>3212</x:v>
      </x:c>
      <x:c r="C393" s="17" t="str">
        <x:v>תיכון ק.חיים בניין שקד</x:v>
      </x:c>
      <x:c r="D393" s="17" t="str">
        <x:v>הגדוד העברי 48</x:v>
      </x:c>
      <x:c r="E393" s="17" t="str">
        <x:v>גבוה מאוד</x:v>
      </x:c>
      <x:c r="F393" s="18" t="n">
        <x:v>656</x:v>
      </x:c>
      <x:c r="G393" s="18" t="n">
        <x:v>455</x:v>
      </x:c>
      <x:c r="H393" s="19" t="n">
        <x:f>IFERROR(G393/F393,0)</x:f>
        <x:v>0.6935975609756098</x:v>
      </x:c>
      <x:c r="I393" s="18" t="n">
        <x:v>0</x:v>
      </x:c>
      <x:c r="J393" s="18" t="n">
        <x:v>455</x:v>
      </x:c>
      <x:c r="K393" s="18" t="n">
        <x:f>SUM(AM393,BF393,W393,AD393)</x:f>
        <x:v>197</x:v>
      </x:c>
      <x:c r="L393" s="18" t="n">
        <x:f>Q393+R393</x:f>
        <x:v>250</x:v>
      </x:c>
      <x:c r="M393" s="19" t="n">
        <x:f>IFERROR(K393/J393,0)</x:f>
        <x:v>0.432967032967033</x:v>
      </x:c>
      <x:c r="N393" s="19" t="n">
        <x:f>IFERROR(L393/J393,0)</x:f>
        <x:v>0.5494505494505495</x:v>
      </x:c>
      <x:c r="O393" s="17" t="str">
        <x:f>IF(K393&gt;MAX(L393,S393),"קואליציית ההקמה 2022",IF(L393&gt;MAX(K393,S393),"אופוזיציה רחבה 2022","רשימות אחרות"))</x:f>
        <x:v>אופוזיציה רחבה 2022</x:v>
      </x:c>
      <x:c r="P393" s="17" t="str">
        <x:f>IF(AND(H393&lt;50%,N393&gt;50%),"כן","לא")</x:f>
        <x:v>לא</x:v>
      </x:c>
      <x:c r="Q393" s="18" t="n">
        <x:f>SUM(AV393,AJ393,AL393,T393,AN393)</x:f>
        <x:v>250</x:v>
      </x:c>
      <x:c r="R393" s="18" t="n">
        <x:f>SUM(Y393,AU393,X393)</x:f>
        <x:v>0</x:v>
      </x:c>
      <x:c r="S393" s="18" t="n">
        <x:f>J393-K393-L393</x:f>
        <x:v>8</x:v>
      </x:c>
      <x:c r="T393" s="18" t="n">
        <x:v>15</x:v>
      </x:c>
      <x:c r="U393" s="18" t="n">
        <x:v>1</x:v>
      </x:c>
      <x:c r="V393" s="18" t="n">
        <x:v>3</x:v>
      </x:c>
      <x:c r="W393" s="18" t="n">
        <x:v>1</x:v>
      </x:c>
      <x:c r="X393" s="18" t="n">
        <x:v>0</x:v>
      </x:c>
      <x:c r="Y393" s="18" t="n">
        <x:v>0</x:v>
      </x:c>
      <x:c r="Z393" s="18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26</x:v>
      </x:c>
      <x:c r="AE393" s="18" t="n">
        <x:v>0</x:v>
      </x:c>
      <x:c r="AF393" s="18" t="n">
        <x:v>1</x:v>
      </x:c>
      <x:c r="AG393" s="18" t="n">
        <x:v>0</x:v>
      </x:c>
      <x:c r="AH393" s="18" t="n">
        <x:v>0</x:v>
      </x:c>
      <x:c r="AI393" s="18" t="n">
        <x:v>0</x:v>
      </x:c>
      <x:c r="AJ393" s="18" t="n">
        <x:v>74</x:v>
      </x:c>
      <x:c r="AK393" s="18" t="n">
        <x:v>0</x:v>
      </x:c>
      <x:c r="AL393" s="18" t="n">
        <x:v>16</x:v>
      </x:c>
      <x:c r="AM393" s="18" t="n">
        <x:v>157</x:v>
      </x:c>
      <x:c r="AN393" s="18" t="n">
        <x:v>7</x:v>
      </x:c>
      <x:c r="AO393" s="18" t="n">
        <x:v>0</x:v>
      </x:c>
      <x:c r="AP393" s="18" t="n">
        <x:v>0</x:v>
      </x:c>
      <x:c r="AQ393" s="18" t="n">
        <x:v>0</x:v>
      </x:c>
      <x:c r="AR393" s="18" t="n">
        <x:v>1</x:v>
      </x:c>
      <x:c r="AS393" s="18" t="n">
        <x:v>0</x:v>
      </x:c>
      <x:c r="AT393" s="18" t="n">
        <x:v>0</x:v>
      </x:c>
      <x:c r="AU393" s="18" t="n">
        <x:v>0</x:v>
      </x:c>
      <x:c r="AV393" s="18" t="n">
        <x:v>138</x:v>
      </x:c>
      <x:c r="AW393" s="18" t="n">
        <x:v>0</x:v>
      </x:c>
      <x:c r="AX393" s="18" t="n">
        <x:v>0</x:v>
      </x:c>
      <x:c r="AY393" s="18" t="n">
        <x:v>0</x:v>
      </x:c>
      <x:c r="AZ393" s="18" t="n">
        <x:v>0</x:v>
      </x:c>
      <x:c r="BA393" s="18" t="n">
        <x:v>0</x:v>
      </x:c>
      <x:c r="BB393" s="18" t="n">
        <x:v>0</x:v>
      </x:c>
      <x:c r="BC393" s="18" t="n">
        <x:v>0</x:v>
      </x:c>
      <x:c r="BD393" s="18" t="n">
        <x:v>2</x:v>
      </x:c>
      <x:c r="BE393" s="18" t="n">
        <x:v>0</x:v>
      </x:c>
      <x:c r="BF393" s="18" t="n">
        <x:v>13</x:v>
      </x:c>
      <x:c r="BG393" s="18" t="n">
        <x:v>0</x:v>
      </x:c>
    </x:row>
    <x:row r="394">
      <x:c r="A394" s="29" t="str">
        <x:v>721.4</x:v>
      </x:c>
      <x:c r="B394" s="17" t="n">
        <x:v>3213</x:v>
      </x:c>
      <x:c r="C394" s="17" t="str">
        <x:v>תיכון ק.חיים בניין שקד</x:v>
      </x:c>
      <x:c r="D394" s="17" t="str">
        <x:v>הגדוד העברי 48</x:v>
      </x:c>
      <x:c r="E394" s="17" t="str">
        <x:v>גבוה מאוד</x:v>
      </x:c>
      <x:c r="F394" s="18" t="n">
        <x:v>653</x:v>
      </x:c>
      <x:c r="G394" s="18" t="n">
        <x:v>441</x:v>
      </x:c>
      <x:c r="H394" s="19" t="n">
        <x:f>IFERROR(G394/F394,0)</x:f>
        <x:v>0.6753445635528331</x:v>
      </x:c>
      <x:c r="I394" s="18" t="n">
        <x:v>3</x:v>
      </x:c>
      <x:c r="J394" s="18" t="n">
        <x:v>438</x:v>
      </x:c>
      <x:c r="K394" s="18" t="n">
        <x:f>SUM(AM394,BF394,W394,AD394)</x:f>
        <x:v>158</x:v>
      </x:c>
      <x:c r="L394" s="18" t="n">
        <x:f>Q394+R394</x:f>
        <x:v>271</x:v>
      </x:c>
      <x:c r="M394" s="19" t="n">
        <x:f>IFERROR(K394/J394,0)</x:f>
        <x:v>0.3607305936073059</x:v>
      </x:c>
      <x:c r="N394" s="19" t="n">
        <x:f>IFERROR(L394/J394,0)</x:f>
        <x:v>0.6187214611872146</x:v>
      </x:c>
      <x:c r="O394" s="17" t="str">
        <x:f>IF(K394&gt;MAX(L394,S394),"קואליציית ההקמה 2022",IF(L394&gt;MAX(K394,S394),"אופוזיציה רחבה 2022","רשימות אחרות"))</x:f>
        <x:v>אופוזיציה רחבה 2022</x:v>
      </x:c>
      <x:c r="P394" s="17" t="str">
        <x:f>IF(AND(H394&lt;50%,N394&gt;50%),"כן","לא")</x:f>
        <x:v>לא</x:v>
      </x:c>
      <x:c r="Q394" s="18" t="n">
        <x:f>SUM(AV394,AJ394,AL394,T394,AN394)</x:f>
        <x:v>268</x:v>
      </x:c>
      <x:c r="R394" s="18" t="n">
        <x:f>SUM(Y394,AU394,X394)</x:f>
        <x:v>3</x:v>
      </x:c>
      <x:c r="S394" s="18" t="n">
        <x:f>J394-K394-L394</x:f>
        <x:v>9</x:v>
      </x:c>
      <x:c r="T394" s="18" t="n">
        <x:v>29</x:v>
      </x:c>
      <x:c r="U394" s="18" t="n">
        <x:v>0</x:v>
      </x:c>
      <x:c r="V394" s="18" t="n">
        <x:v>4</x:v>
      </x:c>
      <x:c r="W394" s="18" t="n">
        <x:v>2</x:v>
      </x:c>
      <x:c r="X394" s="18" t="n">
        <x:v>0</x:v>
      </x:c>
      <x:c r="Y394" s="18" t="n">
        <x:v>2</x:v>
      </x:c>
      <x:c r="Z394" s="18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26</x:v>
      </x:c>
      <x:c r="AE394" s="18" t="n">
        <x:v>0</x:v>
      </x:c>
      <x:c r="AF394" s="18" t="n">
        <x:v>1</x:v>
      </x:c>
      <x:c r="AG394" s="18" t="n">
        <x:v>0</x:v>
      </x:c>
      <x:c r="AH394" s="18" t="n">
        <x:v>0</x:v>
      </x:c>
      <x:c r="AI394" s="18" t="n">
        <x:v>0</x:v>
      </x:c>
      <x:c r="AJ394" s="18" t="n">
        <x:v>57</x:v>
      </x:c>
      <x:c r="AK394" s="18" t="n">
        <x:v>0</x:v>
      </x:c>
      <x:c r="AL394" s="18" t="n">
        <x:v>18</x:v>
      </x:c>
      <x:c r="AM394" s="18" t="n">
        <x:v>113</x:v>
      </x:c>
      <x:c r="AN394" s="18" t="n">
        <x:v>13</x:v>
      </x:c>
      <x:c r="AO394" s="18" t="n">
        <x:v>0</x:v>
      </x:c>
      <x:c r="AP394" s="18" t="n">
        <x:v>0</x:v>
      </x:c>
      <x:c r="AQ394" s="18" t="n">
        <x:v>0</x:v>
      </x:c>
      <x:c r="AR394" s="18" t="n">
        <x:v>0</x:v>
      </x:c>
      <x:c r="AS394" s="18" t="n">
        <x:v>0</x:v>
      </x:c>
      <x:c r="AT394" s="18" t="n">
        <x:v>0</x:v>
      </x:c>
      <x:c r="AU394" s="18" t="n">
        <x:v>1</x:v>
      </x:c>
      <x:c r="AV394" s="18" t="n">
        <x:v>151</x:v>
      </x:c>
      <x:c r="AW394" s="18" t="n">
        <x:v>0</x:v>
      </x:c>
      <x:c r="AX394" s="18" t="n">
        <x:v>0</x:v>
      </x:c>
      <x:c r="AY394" s="18" t="n">
        <x:v>1</x:v>
      </x:c>
      <x:c r="AZ394" s="18" t="n">
        <x:v>0</x:v>
      </x:c>
      <x:c r="BA394" s="18" t="n">
        <x:v>0</x:v>
      </x:c>
      <x:c r="BB394" s="18" t="n">
        <x:v>0</x:v>
      </x:c>
      <x:c r="BC394" s="18" t="n">
        <x:v>0</x:v>
      </x:c>
      <x:c r="BD394" s="18" t="n">
        <x:v>3</x:v>
      </x:c>
      <x:c r="BE394" s="18" t="n">
        <x:v>0</x:v>
      </x:c>
      <x:c r="BF394" s="18" t="n">
        <x:v>17</x:v>
      </x:c>
      <x:c r="BG394" s="18" t="n">
        <x:v>0</x:v>
      </x:c>
    </x:row>
    <x:row r="395">
      <x:c r="A395" s="29" t="str">
        <x:v>722.1</x:v>
      </x:c>
      <x:c r="B395" s="17" t="n">
        <x:v>3214</x:v>
      </x:c>
      <x:c r="C395" s="17" t="str">
        <x:v>בי"ס ארלוזורוב</x:v>
      </x:c>
      <x:c r="D395" s="17" t="str">
        <x:v>הקבוצים 65</x:v>
      </x:c>
      <x:c r="E395" s="17" t="str">
        <x:v>גבוה מאוד</x:v>
      </x:c>
      <x:c r="F395" s="18" t="n">
        <x:v>589</x:v>
      </x:c>
      <x:c r="G395" s="18" t="n">
        <x:v>415</x:v>
      </x:c>
      <x:c r="H395" s="19" t="n">
        <x:f>IFERROR(G395/F395,0)</x:f>
        <x:v>0.7045840407470289</x:v>
      </x:c>
      <x:c r="I395" s="18" t="n">
        <x:v>1</x:v>
      </x:c>
      <x:c r="J395" s="18" t="n">
        <x:v>414</x:v>
      </x:c>
      <x:c r="K395" s="18" t="n">
        <x:f>SUM(AM395,BF395,W395,AD395)</x:f>
        <x:v>214</x:v>
      </x:c>
      <x:c r="L395" s="18" t="n">
        <x:f>Q395+R395</x:f>
        <x:v>189</x:v>
      </x:c>
      <x:c r="M395" s="19" t="n">
        <x:f>IFERROR(K395/J395,0)</x:f>
        <x:v>0.5169082125603864</x:v>
      </x:c>
      <x:c r="N395" s="19" t="n">
        <x:f>IFERROR(L395/J395,0)</x:f>
        <x:v>0.45652173913043476</x:v>
      </x:c>
      <x:c r="O395" s="17" t="str">
        <x:f>IF(K395&gt;MAX(L395,S395),"קואליציית ההקמה 2022",IF(L395&gt;MAX(K395,S395),"אופוזיציה רחבה 2022","רשימות אחרות"))</x:f>
        <x:v>קואליציית ההקמה 2022</x:v>
      </x:c>
      <x:c r="P395" s="17" t="str">
        <x:f>IF(AND(H395&lt;50%,N395&gt;50%),"כן","לא")</x:f>
        <x:v>לא</x:v>
      </x:c>
      <x:c r="Q395" s="18" t="n">
        <x:f>SUM(AV395,AJ395,AL395,T395,AN395)</x:f>
        <x:v>188</x:v>
      </x:c>
      <x:c r="R395" s="18" t="n">
        <x:f>SUM(Y395,AU395,X395)</x:f>
        <x:v>1</x:v>
      </x:c>
      <x:c r="S395" s="18" t="n">
        <x:f>J395-K395-L395</x:f>
        <x:v>11</x:v>
      </x:c>
      <x:c r="T395" s="18" t="n">
        <x:v>16</x:v>
      </x:c>
      <x:c r="U395" s="18" t="n">
        <x:v>2</x:v>
      </x:c>
      <x:c r="V395" s="18" t="n">
        <x:v>1</x:v>
      </x:c>
      <x:c r="W395" s="18" t="n">
        <x:v>0</x:v>
      </x:c>
      <x:c r="X395" s="18" t="n">
        <x:v>0</x:v>
      </x:c>
      <x:c r="Y395" s="18" t="n">
        <x:v>1</x:v>
      </x:c>
      <x:c r="Z395" s="18" t="n">
        <x:v>0</x:v>
      </x:c>
      <x:c r="AA395" s="18" t="n">
        <x:v>0</x:v>
      </x:c>
      <x:c r="AB395" s="18" t="n">
        <x:v>0</x:v>
      </x:c>
      <x:c r="AC395" s="18" t="n">
        <x:v>1</x:v>
      </x:c>
      <x:c r="AD395" s="18" t="n">
        <x:v>42</x:v>
      </x:c>
      <x:c r="AE395" s="18" t="n">
        <x:v>0</x:v>
      </x:c>
      <x:c r="AF395" s="18" t="n">
        <x:v>4</x:v>
      </x:c>
      <x:c r="AG395" s="18" t="n">
        <x:v>0</x:v>
      </x:c>
      <x:c r="AH395" s="18" t="n">
        <x:v>0</x:v>
      </x:c>
      <x:c r="AI395" s="18" t="n">
        <x:v>0</x:v>
      </x:c>
      <x:c r="AJ395" s="18" t="n">
        <x:v>42</x:v>
      </x:c>
      <x:c r="AK395" s="18" t="n">
        <x:v>0</x:v>
      </x:c>
      <x:c r="AL395" s="18" t="n">
        <x:v>4</x:v>
      </x:c>
      <x:c r="AM395" s="18" t="n">
        <x:v>163</x:v>
      </x:c>
      <x:c r="AN395" s="18" t="n">
        <x:v>3</x:v>
      </x:c>
      <x:c r="AO395" s="18" t="n">
        <x:v>0</x:v>
      </x:c>
      <x:c r="AP395" s="18" t="n">
        <x:v>0</x:v>
      </x:c>
      <x:c r="AQ395" s="18" t="n">
        <x:v>0</x:v>
      </x:c>
      <x:c r="AR395" s="18" t="n">
        <x:v>0</x:v>
      </x:c>
      <x:c r="AS395" s="18" t="n">
        <x:v>0</x:v>
      </x:c>
      <x:c r="AT395" s="18" t="n">
        <x:v>0</x:v>
      </x:c>
      <x:c r="AU395" s="18" t="n">
        <x:v>0</x:v>
      </x:c>
      <x:c r="AV395" s="18" t="n">
        <x:v>123</x:v>
      </x:c>
      <x:c r="AW395" s="18" t="n">
        <x:v>1</x:v>
      </x:c>
      <x:c r="AX395" s="18" t="n">
        <x:v>1</x:v>
      </x:c>
      <x:c r="AY395" s="18" t="n">
        <x:v>0</x:v>
      </x:c>
      <x:c r="AZ395" s="18" t="n">
        <x:v>0</x:v>
      </x:c>
      <x:c r="BA395" s="18" t="n">
        <x:v>0</x:v>
      </x:c>
      <x:c r="BB395" s="18" t="n">
        <x:v>0</x:v>
      </x:c>
      <x:c r="BC395" s="18" t="n">
        <x:v>1</x:v>
      </x:c>
      <x:c r="BD395" s="18" t="n">
        <x:v>0</x:v>
      </x:c>
      <x:c r="BE395" s="18" t="n">
        <x:v>0</x:v>
      </x:c>
      <x:c r="BF395" s="18" t="n">
        <x:v>9</x:v>
      </x:c>
      <x:c r="BG395" s="18" t="n">
        <x:v>0</x:v>
      </x:c>
    </x:row>
    <x:row r="396">
      <x:c r="A396" s="29" t="str">
        <x:v>722.2</x:v>
      </x:c>
      <x:c r="B396" s="17" t="n">
        <x:v>3215</x:v>
      </x:c>
      <x:c r="C396" s="17" t="str">
        <x:v>בי"ס ארלוזורוב</x:v>
      </x:c>
      <x:c r="D396" s="17" t="str">
        <x:v>הקבוצים 65</x:v>
      </x:c>
      <x:c r="E396" s="17" t="str">
        <x:v>גבוה מאוד</x:v>
      </x:c>
      <x:c r="F396" s="18" t="n">
        <x:v>589</x:v>
      </x:c>
      <x:c r="G396" s="18" t="n">
        <x:v>389</x:v>
      </x:c>
      <x:c r="H396" s="19" t="n">
        <x:f>IFERROR(G396/F396,0)</x:f>
        <x:v>0.6604414261460102</x:v>
      </x:c>
      <x:c r="I396" s="18" t="n">
        <x:v>0</x:v>
      </x:c>
      <x:c r="J396" s="18" t="n">
        <x:v>389</x:v>
      </x:c>
      <x:c r="K396" s="18" t="n">
        <x:f>SUM(AM396,BF396,W396,AD396)</x:f>
        <x:v>183</x:v>
      </x:c>
      <x:c r="L396" s="18" t="n">
        <x:f>Q396+R396</x:f>
        <x:v>198</x:v>
      </x:c>
      <x:c r="M396" s="19" t="n">
        <x:f>IFERROR(K396/J396,0)</x:f>
        <x:v>0.4704370179948586</x:v>
      </x:c>
      <x:c r="N396" s="19" t="n">
        <x:f>IFERROR(L396/J396,0)</x:f>
        <x:v>0.5089974293059126</x:v>
      </x:c>
      <x:c r="O396" s="17" t="str">
        <x:f>IF(K396&gt;MAX(L396,S396),"קואליציית ההקמה 2022",IF(L396&gt;MAX(K396,S396),"אופוזיציה רחבה 2022","רשימות אחרות"))</x:f>
        <x:v>אופוזיציה רחבה 2022</x:v>
      </x:c>
      <x:c r="P396" s="17" t="str">
        <x:f>IF(AND(H396&lt;50%,N396&gt;50%),"כן","לא")</x:f>
        <x:v>לא</x:v>
      </x:c>
      <x:c r="Q396" s="18" t="n">
        <x:f>SUM(AV396,AJ396,AL396,T396,AN396)</x:f>
        <x:v>197</x:v>
      </x:c>
      <x:c r="R396" s="18" t="n">
        <x:f>SUM(Y396,AU396,X396)</x:f>
        <x:v>1</x:v>
      </x:c>
      <x:c r="S396" s="18" t="n">
        <x:f>J396-K396-L396</x:f>
        <x:v>8</x:v>
      </x:c>
      <x:c r="T396" s="18" t="n">
        <x:v>14</x:v>
      </x:c>
      <x:c r="U396" s="18" t="n">
        <x:v>2</x:v>
      </x:c>
      <x:c r="V396" s="18" t="n">
        <x:v>2</x:v>
      </x:c>
      <x:c r="W396" s="18" t="n">
        <x:v>2</x:v>
      </x:c>
      <x:c r="X396" s="18" t="n">
        <x:v>0</x:v>
      </x:c>
      <x:c r="Y396" s="18" t="n">
        <x:v>1</x:v>
      </x:c>
      <x:c r="Z396" s="18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32</x:v>
      </x:c>
      <x:c r="AE396" s="18" t="n">
        <x:v>0</x:v>
      </x:c>
      <x:c r="AF396" s="18" t="n">
        <x:v>1</x:v>
      </x:c>
      <x:c r="AG396" s="18" t="n">
        <x:v>0</x:v>
      </x:c>
      <x:c r="AH396" s="18" t="n">
        <x:v>0</x:v>
      </x:c>
      <x:c r="AI396" s="18" t="n">
        <x:v>0</x:v>
      </x:c>
      <x:c r="AJ396" s="18" t="n">
        <x:v>49</x:v>
      </x:c>
      <x:c r="AK396" s="18" t="n">
        <x:v>0</x:v>
      </x:c>
      <x:c r="AL396" s="18" t="n">
        <x:v>11</x:v>
      </x:c>
      <x:c r="AM396" s="18" t="n">
        <x:v>139</x:v>
      </x:c>
      <x:c r="AN396" s="18" t="n">
        <x:v>7</x:v>
      </x:c>
      <x:c r="AO396" s="18" t="n">
        <x:v>0</x:v>
      </x:c>
      <x:c r="AP396" s="18" t="n">
        <x:v>0</x:v>
      </x:c>
      <x:c r="AQ396" s="18" t="n">
        <x:v>0</x:v>
      </x:c>
      <x:c r="AR396" s="18" t="n">
        <x:v>0</x:v>
      </x:c>
      <x:c r="AS396" s="18" t="n">
        <x:v>0</x:v>
      </x:c>
      <x:c r="AT396" s="18" t="n">
        <x:v>0</x:v>
      </x:c>
      <x:c r="AU396" s="18" t="n">
        <x:v>0</x:v>
      </x:c>
      <x:c r="AV396" s="18" t="n">
        <x:v>116</x:v>
      </x:c>
      <x:c r="AW396" s="18" t="n">
        <x:v>0</x:v>
      </x:c>
      <x:c r="AX396" s="18" t="n">
        <x:v>2</x:v>
      </x:c>
      <x:c r="AY396" s="18" t="n">
        <x:v>0</x:v>
      </x:c>
      <x:c r="AZ396" s="18" t="n">
        <x:v>1</x:v>
      </x:c>
      <x:c r="BA396" s="18" t="n">
        <x:v>0</x:v>
      </x:c>
      <x:c r="BB396" s="18" t="n">
        <x:v>0</x:v>
      </x:c>
      <x:c r="BC396" s="18" t="n">
        <x:v>0</x:v>
      </x:c>
      <x:c r="BD396" s="18" t="n">
        <x:v>0</x:v>
      </x:c>
      <x:c r="BE396" s="18" t="n">
        <x:v>0</x:v>
      </x:c>
      <x:c r="BF396" s="18" t="n">
        <x:v>10</x:v>
      </x:c>
      <x:c r="BG396" s="18" t="n">
        <x:v>0</x:v>
      </x:c>
    </x:row>
    <x:row r="397">
      <x:c r="A397" s="29" t="str">
        <x:v>722.3</x:v>
      </x:c>
      <x:c r="B397" s="17" t="n">
        <x:v>3216</x:v>
      </x:c>
      <x:c r="C397" s="17" t="str">
        <x:v>בי"ס ארלוזורוב</x:v>
      </x:c>
      <x:c r="D397" s="17" t="str">
        <x:v>הקבוצים 65</x:v>
      </x:c>
      <x:c r="E397" s="17" t="str">
        <x:v>גבוה מאוד</x:v>
      </x:c>
      <x:c r="F397" s="18" t="n">
        <x:v>589</x:v>
      </x:c>
      <x:c r="G397" s="18" t="n">
        <x:v>399</x:v>
      </x:c>
      <x:c r="H397" s="19" t="n">
        <x:f>IFERROR(G397/F397,0)</x:f>
        <x:v>0.6774193548387096</x:v>
      </x:c>
      <x:c r="I397" s="18" t="n">
        <x:v>3</x:v>
      </x:c>
      <x:c r="J397" s="18" t="n">
        <x:v>396</x:v>
      </x:c>
      <x:c r="K397" s="18" t="n">
        <x:f>SUM(AM397,BF397,W397,AD397)</x:f>
        <x:v>173</x:v>
      </x:c>
      <x:c r="L397" s="18" t="n">
        <x:f>Q397+R397</x:f>
        <x:v>214</x:v>
      </x:c>
      <x:c r="M397" s="19" t="n">
        <x:f>IFERROR(K397/J397,0)</x:f>
        <x:v>0.43686868686868685</x:v>
      </x:c>
      <x:c r="N397" s="19" t="n">
        <x:f>IFERROR(L397/J397,0)</x:f>
        <x:v>0.5404040404040404</x:v>
      </x:c>
      <x:c r="O397" s="17" t="str">
        <x:f>IF(K397&gt;MAX(L397,S397),"קואליציית ההקמה 2022",IF(L397&gt;MAX(K397,S397),"אופוזיציה רחבה 2022","רשימות אחרות"))</x:f>
        <x:v>אופוזיציה רחבה 2022</x:v>
      </x:c>
      <x:c r="P397" s="17" t="str">
        <x:f>IF(AND(H397&lt;50%,N397&gt;50%),"כן","לא")</x:f>
        <x:v>לא</x:v>
      </x:c>
      <x:c r="Q397" s="18" t="n">
        <x:f>SUM(AV397,AJ397,AL397,T397,AN397)</x:f>
        <x:v>213</x:v>
      </x:c>
      <x:c r="R397" s="18" t="n">
        <x:f>SUM(Y397,AU397,X397)</x:f>
        <x:v>1</x:v>
      </x:c>
      <x:c r="S397" s="18" t="n">
        <x:f>J397-K397-L397</x:f>
        <x:v>9</x:v>
      </x:c>
      <x:c r="T397" s="18" t="n">
        <x:v>23</x:v>
      </x:c>
      <x:c r="U397" s="18" t="n">
        <x:v>3</x:v>
      </x:c>
      <x:c r="V397" s="18" t="n">
        <x:v>1</x:v>
      </x:c>
      <x:c r="W397" s="18" t="n">
        <x:v>2</x:v>
      </x:c>
      <x:c r="X397" s="18" t="n">
        <x:v>0</x:v>
      </x:c>
      <x:c r="Y397" s="18" t="n">
        <x:v>1</x:v>
      </x:c>
      <x:c r="Z397" s="18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31</x:v>
      </x:c>
      <x:c r="AE397" s="18" t="n">
        <x:v>0</x:v>
      </x:c>
      <x:c r="AF397" s="18" t="n">
        <x:v>2</x:v>
      </x:c>
      <x:c r="AG397" s="18" t="n">
        <x:v>0</x:v>
      </x:c>
      <x:c r="AH397" s="18" t="n">
        <x:v>0</x:v>
      </x:c>
      <x:c r="AI397" s="18" t="n">
        <x:v>0</x:v>
      </x:c>
      <x:c r="AJ397" s="18" t="n">
        <x:v>66</x:v>
      </x:c>
      <x:c r="AK397" s="18" t="n">
        <x:v>0</x:v>
      </x:c>
      <x:c r="AL397" s="18" t="n">
        <x:v>12</x:v>
      </x:c>
      <x:c r="AM397" s="18" t="n">
        <x:v>128</x:v>
      </x:c>
      <x:c r="AN397" s="18" t="n">
        <x:v>8</x:v>
      </x:c>
      <x:c r="AO397" s="18" t="n">
        <x:v>0</x:v>
      </x:c>
      <x:c r="AP397" s="18" t="n">
        <x:v>0</x:v>
      </x:c>
      <x:c r="AQ397" s="18" t="n">
        <x:v>0</x:v>
      </x:c>
      <x:c r="AR397" s="18" t="n">
        <x:v>0</x:v>
      </x:c>
      <x:c r="AS397" s="18" t="n">
        <x:v>0</x:v>
      </x:c>
      <x:c r="AT397" s="18" t="n">
        <x:v>0</x:v>
      </x:c>
      <x:c r="AU397" s="18" t="n">
        <x:v>0</x:v>
      </x:c>
      <x:c r="AV397" s="18" t="n">
        <x:v>104</x:v>
      </x:c>
      <x:c r="AW397" s="18" t="n">
        <x:v>0</x:v>
      </x:c>
      <x:c r="AX397" s="18" t="n">
        <x:v>1</x:v>
      </x:c>
      <x:c r="AY397" s="18" t="n">
        <x:v>0</x:v>
      </x:c>
      <x:c r="AZ397" s="18" t="n">
        <x:v>0</x:v>
      </x:c>
      <x:c r="BA397" s="18" t="n">
        <x:v>0</x:v>
      </x:c>
      <x:c r="BB397" s="18" t="n">
        <x:v>0</x:v>
      </x:c>
      <x:c r="BC397" s="18" t="n">
        <x:v>1</x:v>
      </x:c>
      <x:c r="BD397" s="18" t="n">
        <x:v>1</x:v>
      </x:c>
      <x:c r="BE397" s="18" t="n">
        <x:v>0</x:v>
      </x:c>
      <x:c r="BF397" s="18" t="n">
        <x:v>12</x:v>
      </x:c>
      <x:c r="BG397" s="18" t="n">
        <x:v>0</x:v>
      </x:c>
    </x:row>
    <x:row r="398">
      <x:c r="A398" s="29" t="str">
        <x:v>722.4</x:v>
      </x:c>
      <x:c r="B398" s="17" t="n">
        <x:v>3217</x:v>
      </x:c>
      <x:c r="C398" s="17" t="str">
        <x:v>בי"ס ארלוזורוב</x:v>
      </x:c>
      <x:c r="D398" s="17" t="str">
        <x:v>הקבוצים 65</x:v>
      </x:c>
      <x:c r="E398" s="17" t="str">
        <x:v>גבוה מאוד</x:v>
      </x:c>
      <x:c r="F398" s="18" t="n">
        <x:v>589</x:v>
      </x:c>
      <x:c r="G398" s="18" t="n">
        <x:v>405</x:v>
      </x:c>
      <x:c r="H398" s="19" t="n">
        <x:f>IFERROR(G398/F398,0)</x:f>
        <x:v>0.6876061120543294</x:v>
      </x:c>
      <x:c r="I398" s="18" t="n">
        <x:v>3</x:v>
      </x:c>
      <x:c r="J398" s="18" t="n">
        <x:v>402</x:v>
      </x:c>
      <x:c r="K398" s="18" t="n">
        <x:f>SUM(AM398,BF398,W398,AD398)</x:f>
        <x:v>160</x:v>
      </x:c>
      <x:c r="L398" s="18" t="n">
        <x:f>Q398+R398</x:f>
        <x:v>236</x:v>
      </x:c>
      <x:c r="M398" s="19" t="n">
        <x:f>IFERROR(K398/J398,0)</x:f>
        <x:v>0.39800995024875624</x:v>
      </x:c>
      <x:c r="N398" s="19" t="n">
        <x:f>IFERROR(L398/J398,0)</x:f>
        <x:v>0.5870646766169154</x:v>
      </x:c>
      <x:c r="O398" s="17" t="str">
        <x:f>IF(K398&gt;MAX(L398,S398),"קואליציית ההקמה 2022",IF(L398&gt;MAX(K398,S398),"אופוזיציה רחבה 2022","רשימות אחרות"))</x:f>
        <x:v>אופוזיציה רחבה 2022</x:v>
      </x:c>
      <x:c r="P398" s="17" t="str">
        <x:f>IF(AND(H398&lt;50%,N398&gt;50%),"כן","לא")</x:f>
        <x:v>לא</x:v>
      </x:c>
      <x:c r="Q398" s="18" t="n">
        <x:f>SUM(AV398,AJ398,AL398,T398,AN398)</x:f>
        <x:v>236</x:v>
      </x:c>
      <x:c r="R398" s="18" t="n">
        <x:f>SUM(Y398,AU398,X398)</x:f>
        <x:v>0</x:v>
      </x:c>
      <x:c r="S398" s="18" t="n">
        <x:f>J398-K398-L398</x:f>
        <x:v>6</x:v>
      </x:c>
      <x:c r="T398" s="18" t="n">
        <x:v>14</x:v>
      </x:c>
      <x:c r="U398" s="18" t="n">
        <x:v>1</x:v>
      </x:c>
      <x:c r="V398" s="18" t="n">
        <x:v>4</x:v>
      </x:c>
      <x:c r="W398" s="18" t="n">
        <x:v>1</x:v>
      </x:c>
      <x:c r="X398" s="18" t="n">
        <x:v>0</x:v>
      </x:c>
      <x:c r="Y398" s="18" t="n">
        <x:v>0</x:v>
      </x:c>
      <x:c r="Z398" s="18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35</x:v>
      </x:c>
      <x:c r="AE398" s="18" t="n">
        <x:v>0</x:v>
      </x:c>
      <x:c r="AF398" s="18" t="n">
        <x:v>0</x:v>
      </x:c>
      <x:c r="AG398" s="18" t="n">
        <x:v>0</x:v>
      </x:c>
      <x:c r="AH398" s="18" t="n">
        <x:v>0</x:v>
      </x:c>
      <x:c r="AI398" s="18" t="n">
        <x:v>0</x:v>
      </x:c>
      <x:c r="AJ398" s="18" t="n">
        <x:v>70</x:v>
      </x:c>
      <x:c r="AK398" s="18" t="n">
        <x:v>0</x:v>
      </x:c>
      <x:c r="AL398" s="18" t="n">
        <x:v>20</x:v>
      </x:c>
      <x:c r="AM398" s="18" t="n">
        <x:v>117</x:v>
      </x:c>
      <x:c r="AN398" s="18" t="n">
        <x:v>4</x:v>
      </x:c>
      <x:c r="AO398" s="18" t="n">
        <x:v>0</x:v>
      </x:c>
      <x:c r="AP398" s="18" t="n">
        <x:v>1</x:v>
      </x:c>
      <x:c r="AQ398" s="18" t="n">
        <x:v>0</x:v>
      </x:c>
      <x:c r="AR398" s="18" t="n">
        <x:v>0</x:v>
      </x:c>
      <x:c r="AS398" s="18" t="n">
        <x:v>0</x:v>
      </x:c>
      <x:c r="AT398" s="18" t="n">
        <x:v>0</x:v>
      </x:c>
      <x:c r="AU398" s="18" t="n">
        <x:v>0</x:v>
      </x:c>
      <x:c r="AV398" s="18" t="n">
        <x:v>128</x:v>
      </x:c>
      <x:c r="AW398" s="18" t="n">
        <x:v>0</x:v>
      </x:c>
      <x:c r="AX398" s="18" t="n">
        <x:v>0</x:v>
      </x:c>
      <x:c r="AY398" s="18" t="n">
        <x:v>0</x:v>
      </x:c>
      <x:c r="AZ398" s="18" t="n">
        <x:v>0</x:v>
      </x:c>
      <x:c r="BA398" s="18" t="n">
        <x:v>0</x:v>
      </x:c>
      <x:c r="BB398" s="18" t="n">
        <x:v>0</x:v>
      </x:c>
      <x:c r="BC398" s="18" t="n">
        <x:v>0</x:v>
      </x:c>
      <x:c r="BD398" s="18" t="n">
        <x:v>0</x:v>
      </x:c>
      <x:c r="BE398" s="18" t="n">
        <x:v>0</x:v>
      </x:c>
      <x:c r="BF398" s="18" t="n">
        <x:v>7</x:v>
      </x:c>
      <x:c r="BG398" s="18" t="n">
        <x:v>0</x:v>
      </x:c>
    </x:row>
    <x:row r="399">
      <x:c r="A399" s="29" t="str">
        <x:v>722.5</x:v>
      </x:c>
      <x:c r="B399" s="17" t="n">
        <x:v>3218</x:v>
      </x:c>
      <x:c r="C399" s="17" t="str">
        <x:v>בי"ס ארלוזורוב</x:v>
      </x:c>
      <x:c r="D399" s="17" t="str">
        <x:v>הקבוצים 65</x:v>
      </x:c>
      <x:c r="E399" s="17" t="str">
        <x:v>גבוה מאוד</x:v>
      </x:c>
      <x:c r="F399" s="18" t="n">
        <x:v>589</x:v>
      </x:c>
      <x:c r="G399" s="18" t="n">
        <x:v>387</x:v>
      </x:c>
      <x:c r="H399" s="19" t="n">
        <x:f>IFERROR(G399/F399,0)</x:f>
        <x:v>0.6570458404074703</x:v>
      </x:c>
      <x:c r="I399" s="18" t="n">
        <x:v>1</x:v>
      </x:c>
      <x:c r="J399" s="18" t="n">
        <x:v>386</x:v>
      </x:c>
      <x:c r="K399" s="18" t="n">
        <x:f>SUM(AM399,BF399,W399,AD399)</x:f>
        <x:v>159</x:v>
      </x:c>
      <x:c r="L399" s="18" t="n">
        <x:f>Q399+R399</x:f>
        <x:v>214</x:v>
      </x:c>
      <x:c r="M399" s="19" t="n">
        <x:f>IFERROR(K399/J399,0)</x:f>
        <x:v>0.4119170984455959</x:v>
      </x:c>
      <x:c r="N399" s="19" t="n">
        <x:f>IFERROR(L399/J399,0)</x:f>
        <x:v>0.5544041450777202</x:v>
      </x:c>
      <x:c r="O399" s="17" t="str">
        <x:f>IF(K399&gt;MAX(L399,S399),"קואליציית ההקמה 2022",IF(L399&gt;MAX(K399,S399),"אופוזיציה רחבה 2022","רשימות אחרות"))</x:f>
        <x:v>אופוזיציה רחבה 2022</x:v>
      </x:c>
      <x:c r="P399" s="17" t="str">
        <x:f>IF(AND(H399&lt;50%,N399&gt;50%),"כן","לא")</x:f>
        <x:v>לא</x:v>
      </x:c>
      <x:c r="Q399" s="18" t="n">
        <x:f>SUM(AV399,AJ399,AL399,T399,AN399)</x:f>
        <x:v>213</x:v>
      </x:c>
      <x:c r="R399" s="18" t="n">
        <x:f>SUM(Y399,AU399,X399)</x:f>
        <x:v>1</x:v>
      </x:c>
      <x:c r="S399" s="18" t="n">
        <x:f>J399-K399-L399</x:f>
        <x:v>13</x:v>
      </x:c>
      <x:c r="T399" s="18" t="n">
        <x:v>15</x:v>
      </x:c>
      <x:c r="U399" s="18" t="n">
        <x:v>3</x:v>
      </x:c>
      <x:c r="V399" s="18" t="n">
        <x:v>4</x:v>
      </x:c>
      <x:c r="W399" s="18" t="n">
        <x:v>0</x:v>
      </x:c>
      <x:c r="X399" s="18" t="n">
        <x:v>0</x:v>
      </x:c>
      <x:c r="Y399" s="18" t="n">
        <x:v>1</x:v>
      </x:c>
      <x:c r="Z399" s="18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31</x:v>
      </x:c>
      <x:c r="AE399" s="18" t="n">
        <x:v>0</x:v>
      </x:c>
      <x:c r="AF399" s="18" t="n">
        <x:v>1</x:v>
      </x:c>
      <x:c r="AG399" s="18" t="n">
        <x:v>0</x:v>
      </x:c>
      <x:c r="AH399" s="18" t="n">
        <x:v>0</x:v>
      </x:c>
      <x:c r="AI399" s="18" t="n">
        <x:v>0</x:v>
      </x:c>
      <x:c r="AJ399" s="18" t="n">
        <x:v>45</x:v>
      </x:c>
      <x:c r="AK399" s="18" t="n">
        <x:v>0</x:v>
      </x:c>
      <x:c r="AL399" s="18" t="n">
        <x:v>18</x:v>
      </x:c>
      <x:c r="AM399" s="18" t="n">
        <x:v>118</x:v>
      </x:c>
      <x:c r="AN399" s="18" t="n">
        <x:v>12</x:v>
      </x:c>
      <x:c r="AO399" s="18" t="n">
        <x:v>0</x:v>
      </x:c>
      <x:c r="AP399" s="18" t="n">
        <x:v>0</x:v>
      </x:c>
      <x:c r="AQ399" s="18" t="n">
        <x:v>0</x:v>
      </x:c>
      <x:c r="AR399" s="18" t="n">
        <x:v>0</x:v>
      </x:c>
      <x:c r="AS399" s="18" t="n">
        <x:v>0</x:v>
      </x:c>
      <x:c r="AT399" s="18" t="n">
        <x:v>0</x:v>
      </x:c>
      <x:c r="AU399" s="18" t="n">
        <x:v>0</x:v>
      </x:c>
      <x:c r="AV399" s="18" t="n">
        <x:v>123</x:v>
      </x:c>
      <x:c r="AW399" s="18" t="n">
        <x:v>0</x:v>
      </x:c>
      <x:c r="AX399" s="18" t="n">
        <x:v>2</x:v>
      </x:c>
      <x:c r="AY399" s="18" t="n">
        <x:v>1</x:v>
      </x:c>
      <x:c r="AZ399" s="18" t="n">
        <x:v>0</x:v>
      </x:c>
      <x:c r="BA399" s="18" t="n">
        <x:v>0</x:v>
      </x:c>
      <x:c r="BB399" s="18" t="n">
        <x:v>0</x:v>
      </x:c>
      <x:c r="BC399" s="18" t="n">
        <x:v>1</x:v>
      </x:c>
      <x:c r="BD399" s="18" t="n">
        <x:v>1</x:v>
      </x:c>
      <x:c r="BE399" s="18" t="n">
        <x:v>0</x:v>
      </x:c>
      <x:c r="BF399" s="18" t="n">
        <x:v>10</x:v>
      </x:c>
      <x:c r="BG399" s="18" t="n">
        <x:v>0</x:v>
      </x:c>
    </x:row>
    <x:row r="400">
      <x:c r="A400" s="29" t="str">
        <x:v>722.6</x:v>
      </x:c>
      <x:c r="B400" s="17" t="n">
        <x:v>3219</x:v>
      </x:c>
      <x:c r="C400" s="17" t="str">
        <x:v>בי"ס ארלוזורוב</x:v>
      </x:c>
      <x:c r="D400" s="17" t="str">
        <x:v>הקבוצים 65</x:v>
      </x:c>
      <x:c r="E400" s="17" t="str">
        <x:v>גבוה מאוד</x:v>
      </x:c>
      <x:c r="F400" s="18" t="n">
        <x:v>589</x:v>
      </x:c>
      <x:c r="G400" s="18" t="n">
        <x:v>373</x:v>
      </x:c>
      <x:c r="H400" s="19" t="n">
        <x:f>IFERROR(G400/F400,0)</x:f>
        <x:v>0.633276740237691</x:v>
      </x:c>
      <x:c r="I400" s="18" t="n">
        <x:v>1</x:v>
      </x:c>
      <x:c r="J400" s="18" t="n">
        <x:v>372</x:v>
      </x:c>
      <x:c r="K400" s="18" t="n">
        <x:f>SUM(AM400,BF400,W400,AD400)</x:f>
        <x:v>138</x:v>
      </x:c>
      <x:c r="L400" s="18" t="n">
        <x:f>Q400+R400</x:f>
        <x:v>218</x:v>
      </x:c>
      <x:c r="M400" s="19" t="n">
        <x:f>IFERROR(K400/J400,0)</x:f>
        <x:v>0.3709677419354839</x:v>
      </x:c>
      <x:c r="N400" s="19" t="n">
        <x:f>IFERROR(L400/J400,0)</x:f>
        <x:v>0.5860215053763441</x:v>
      </x:c>
      <x:c r="O400" s="17" t="str">
        <x:f>IF(K400&gt;MAX(L400,S400),"קואליציית ההקמה 2022",IF(L400&gt;MAX(K400,S400),"אופוזיציה רחבה 2022","רשימות אחרות"))</x:f>
        <x:v>אופוזיציה רחבה 2022</x:v>
      </x:c>
      <x:c r="P400" s="17" t="str">
        <x:f>IF(AND(H400&lt;50%,N400&gt;50%),"כן","לא")</x:f>
        <x:v>לא</x:v>
      </x:c>
      <x:c r="Q400" s="18" t="n">
        <x:f>SUM(AV400,AJ400,AL400,T400,AN400)</x:f>
        <x:v>218</x:v>
      </x:c>
      <x:c r="R400" s="18" t="n">
        <x:f>SUM(Y400,AU400,X400)</x:f>
        <x:v>0</x:v>
      </x:c>
      <x:c r="S400" s="18" t="n">
        <x:f>J400-K400-L400</x:f>
        <x:v>16</x:v>
      </x:c>
      <x:c r="T400" s="18" t="n">
        <x:v>16</x:v>
      </x:c>
      <x:c r="U400" s="18" t="n">
        <x:v>5</x:v>
      </x:c>
      <x:c r="V400" s="18" t="n">
        <x:v>7</x:v>
      </x:c>
      <x:c r="W400" s="18" t="n">
        <x:v>0</x:v>
      </x:c>
      <x:c r="X400" s="18" t="n">
        <x:v>0</x:v>
      </x:c>
      <x:c r="Y400" s="18" t="n">
        <x:v>0</x:v>
      </x:c>
      <x:c r="Z400" s="18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18</x:v>
      </x:c>
      <x:c r="AE400" s="18" t="n">
        <x:v>0</x:v>
      </x:c>
      <x:c r="AF400" s="18" t="n">
        <x:v>1</x:v>
      </x:c>
      <x:c r="AG400" s="18" t="n">
        <x:v>0</x:v>
      </x:c>
      <x:c r="AH400" s="18" t="n">
        <x:v>0</x:v>
      </x:c>
      <x:c r="AI400" s="18" t="n">
        <x:v>0</x:v>
      </x:c>
      <x:c r="AJ400" s="18" t="n">
        <x:v>61</x:v>
      </x:c>
      <x:c r="AK400" s="18" t="n">
        <x:v>0</x:v>
      </x:c>
      <x:c r="AL400" s="18" t="n">
        <x:v>21</x:v>
      </x:c>
      <x:c r="AM400" s="18" t="n">
        <x:v>110</x:v>
      </x:c>
      <x:c r="AN400" s="18" t="n">
        <x:v>7</x:v>
      </x:c>
      <x:c r="AO400" s="18" t="n">
        <x:v>0</x:v>
      </x:c>
      <x:c r="AP400" s="18" t="n">
        <x:v>0</x:v>
      </x:c>
      <x:c r="AQ400" s="18" t="n">
        <x:v>0</x:v>
      </x:c>
      <x:c r="AR400" s="18" t="n">
        <x:v>0</x:v>
      </x:c>
      <x:c r="AS400" s="18" t="n">
        <x:v>0</x:v>
      </x:c>
      <x:c r="AT400" s="18" t="n">
        <x:v>0</x:v>
      </x:c>
      <x:c r="AU400" s="18" t="n">
        <x:v>0</x:v>
      </x:c>
      <x:c r="AV400" s="18" t="n">
        <x:v>113</x:v>
      </x:c>
      <x:c r="AW400" s="18" t="n">
        <x:v>1</x:v>
      </x:c>
      <x:c r="AX400" s="18" t="n">
        <x:v>1</x:v>
      </x:c>
      <x:c r="AY400" s="18" t="n">
        <x:v>0</x:v>
      </x:c>
      <x:c r="AZ400" s="18" t="n">
        <x:v>0</x:v>
      </x:c>
      <x:c r="BA400" s="18" t="n">
        <x:v>0</x:v>
      </x:c>
      <x:c r="BB400" s="18" t="n">
        <x:v>1</x:v>
      </x:c>
      <x:c r="BC400" s="18" t="n">
        <x:v>0</x:v>
      </x:c>
      <x:c r="BD400" s="18" t="n">
        <x:v>0</x:v>
      </x:c>
      <x:c r="BE400" s="18" t="n">
        <x:v>0</x:v>
      </x:c>
      <x:c r="BF400" s="18" t="n">
        <x:v>10</x:v>
      </x:c>
      <x:c r="BG400" s="18" t="n">
        <x:v>0</x:v>
      </x:c>
    </x:row>
    <x:row r="401">
      <x:c r="A401" s="29" t="str">
        <x:v>723.1</x:v>
      </x:c>
      <x:c r="B401" s="17" t="n">
        <x:v>3220</x:v>
      </x:c>
      <x:c r="C401" s="17" t="str">
        <x:v>בי"ס תיכון קרית חיים</x:v>
      </x:c>
      <x:c r="D401" s="17" t="str">
        <x:v>הגדוד העברי 48</x:v>
      </x:c>
      <x:c r="E401" s="17" t="str">
        <x:v>גבוה מאוד</x:v>
      </x:c>
      <x:c r="F401" s="18" t="n">
        <x:v>646</x:v>
      </x:c>
      <x:c r="G401" s="18" t="n">
        <x:v>437</x:v>
      </x:c>
      <x:c r="H401" s="19" t="n">
        <x:f>IFERROR(G401/F401,0)</x:f>
        <x:v>0.6764705882352942</x:v>
      </x:c>
      <x:c r="I401" s="18" t="n">
        <x:v>0</x:v>
      </x:c>
      <x:c r="J401" s="18" t="n">
        <x:v>437</x:v>
      </x:c>
      <x:c r="K401" s="18" t="n">
        <x:f>SUM(AM401,BF401,W401,AD401)</x:f>
        <x:v>213</x:v>
      </x:c>
      <x:c r="L401" s="18" t="n">
        <x:f>Q401+R401</x:f>
        <x:v>213</x:v>
      </x:c>
      <x:c r="M401" s="19" t="n">
        <x:f>IFERROR(K401/J401,0)</x:f>
        <x:v>0.4874141876430206</x:v>
      </x:c>
      <x:c r="N401" s="19" t="n">
        <x:f>IFERROR(L401/J401,0)</x:f>
        <x:v>0.4874141876430206</x:v>
      </x:c>
      <x:c r="O401" s="17" t="str">
        <x:f>IF(K401&gt;MAX(L401,S401),"קואליציית ההקמה 2022",IF(L401&gt;MAX(K401,S401),"אופוזיציה רחבה 2022","רשימות אחרות"))</x:f>
        <x:v>רשימות אחרות</x:v>
      </x:c>
      <x:c r="P401" s="17" t="str">
        <x:f>IF(AND(H401&lt;50%,N401&gt;50%),"כן","לא")</x:f>
        <x:v>לא</x:v>
      </x:c>
      <x:c r="Q401" s="18" t="n">
        <x:f>SUM(AV401,AJ401,AL401,T401,AN401)</x:f>
        <x:v>213</x:v>
      </x:c>
      <x:c r="R401" s="18" t="n">
        <x:f>SUM(Y401,AU401,X401)</x:f>
        <x:v>0</x:v>
      </x:c>
      <x:c r="S401" s="18" t="n">
        <x:f>J401-K401-L401</x:f>
        <x:v>11</x:v>
      </x:c>
      <x:c r="T401" s="18" t="n">
        <x:v>10</x:v>
      </x:c>
      <x:c r="U401" s="18" t="n">
        <x:v>1</x:v>
      </x:c>
      <x:c r="V401" s="18" t="n">
        <x:v>3</x:v>
      </x:c>
      <x:c r="W401" s="18" t="n">
        <x:v>0</x:v>
      </x:c>
      <x:c r="X401" s="18" t="n">
        <x:v>0</x:v>
      </x:c>
      <x:c r="Y401" s="18" t="n">
        <x:v>0</x:v>
      </x:c>
      <x:c r="Z401" s="18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42</x:v>
      </x:c>
      <x:c r="AE401" s="18" t="n">
        <x:v>0</x:v>
      </x:c>
      <x:c r="AF401" s="18" t="n">
        <x:v>3</x:v>
      </x:c>
      <x:c r="AG401" s="18" t="n">
        <x:v>0</x:v>
      </x:c>
      <x:c r="AH401" s="18" t="n">
        <x:v>0</x:v>
      </x:c>
      <x:c r="AI401" s="18" t="n">
        <x:v>0</x:v>
      </x:c>
      <x:c r="AJ401" s="18" t="n">
        <x:v>81</x:v>
      </x:c>
      <x:c r="AK401" s="18" t="n">
        <x:v>0</x:v>
      </x:c>
      <x:c r="AL401" s="18" t="n">
        <x:v>4</x:v>
      </x:c>
      <x:c r="AM401" s="18" t="n">
        <x:v>164</x:v>
      </x:c>
      <x:c r="AN401" s="18" t="n">
        <x:v>13</x:v>
      </x:c>
      <x:c r="AO401" s="18" t="n">
        <x:v>0</x:v>
      </x:c>
      <x:c r="AP401" s="18" t="n">
        <x:v>1</x:v>
      </x:c>
      <x:c r="AQ401" s="18" t="n">
        <x:v>0</x:v>
      </x:c>
      <x:c r="AR401" s="18" t="n">
        <x:v>0</x:v>
      </x:c>
      <x:c r="AS401" s="18" t="n">
        <x:v>0</x:v>
      </x:c>
      <x:c r="AT401" s="18" t="n">
        <x:v>0</x:v>
      </x:c>
      <x:c r="AU401" s="18" t="n">
        <x:v>0</x:v>
      </x:c>
      <x:c r="AV401" s="18" t="n">
        <x:v>105</x:v>
      </x:c>
      <x:c r="AW401" s="18" t="n">
        <x:v>0</x:v>
      </x:c>
      <x:c r="AX401" s="18" t="n">
        <x:v>2</x:v>
      </x:c>
      <x:c r="AY401" s="18" t="n">
        <x:v>0</x:v>
      </x:c>
      <x:c r="AZ401" s="18" t="n">
        <x:v>0</x:v>
      </x:c>
      <x:c r="BA401" s="18" t="n">
        <x:v>0</x:v>
      </x:c>
      <x:c r="BB401" s="18" t="n">
        <x:v>0</x:v>
      </x:c>
      <x:c r="BC401" s="18" t="n">
        <x:v>0</x:v>
      </x:c>
      <x:c r="BD401" s="18" t="n">
        <x:v>1</x:v>
      </x:c>
      <x:c r="BE401" s="18" t="n">
        <x:v>0</x:v>
      </x:c>
      <x:c r="BF401" s="18" t="n">
        <x:v>7</x:v>
      </x:c>
      <x:c r="BG401" s="18" t="n">
        <x:v>0</x:v>
      </x:c>
    </x:row>
    <x:row r="402">
      <x:c r="A402" s="29" t="str">
        <x:v>723.2</x:v>
      </x:c>
      <x:c r="B402" s="17" t="n">
        <x:v>3221</x:v>
      </x:c>
      <x:c r="C402" s="17" t="str">
        <x:v>בי"ס תיכון קרית חיים</x:v>
      </x:c>
      <x:c r="D402" s="17" t="str">
        <x:v>הגדוד העברי 48</x:v>
      </x:c>
      <x:c r="E402" s="17" t="str">
        <x:v>גבוה מאוד</x:v>
      </x:c>
      <x:c r="F402" s="18" t="n">
        <x:v>646</x:v>
      </x:c>
      <x:c r="G402" s="18" t="n">
        <x:v>454</x:v>
      </x:c>
      <x:c r="H402" s="19" t="n">
        <x:f>IFERROR(G402/F402,0)</x:f>
        <x:v>0.7027863777089783</x:v>
      </x:c>
      <x:c r="I402" s="18" t="n">
        <x:v>1</x:v>
      </x:c>
      <x:c r="J402" s="18" t="n">
        <x:v>453</x:v>
      </x:c>
      <x:c r="K402" s="18" t="n">
        <x:f>SUM(AM402,BF402,W402,AD402)</x:f>
        <x:v>192</x:v>
      </x:c>
      <x:c r="L402" s="18" t="n">
        <x:f>Q402+R402</x:f>
        <x:v>252</x:v>
      </x:c>
      <x:c r="M402" s="19" t="n">
        <x:f>IFERROR(K402/J402,0)</x:f>
        <x:v>0.423841059602649</x:v>
      </x:c>
      <x:c r="N402" s="19" t="n">
        <x:f>IFERROR(L402/J402,0)</x:f>
        <x:v>0.5562913907284768</x:v>
      </x:c>
      <x:c r="O402" s="17" t="str">
        <x:f>IF(K402&gt;MAX(L402,S402),"קואליציית ההקמה 2022",IF(L402&gt;MAX(K402,S402),"אופוזיציה רחבה 2022","רשימות אחרות"))</x:f>
        <x:v>אופוזיציה רחבה 2022</x:v>
      </x:c>
      <x:c r="P402" s="17" t="str">
        <x:f>IF(AND(H402&lt;50%,N402&gt;50%),"כן","לא")</x:f>
        <x:v>לא</x:v>
      </x:c>
      <x:c r="Q402" s="18" t="n">
        <x:f>SUM(AV402,AJ402,AL402,T402,AN402)</x:f>
        <x:v>251</x:v>
      </x:c>
      <x:c r="R402" s="18" t="n">
        <x:f>SUM(Y402,AU402,X402)</x:f>
        <x:v>1</x:v>
      </x:c>
      <x:c r="S402" s="18" t="n">
        <x:f>J402-K402-L402</x:f>
        <x:v>9</x:v>
      </x:c>
      <x:c r="T402" s="18" t="n">
        <x:v>24</x:v>
      </x:c>
      <x:c r="U402" s="18" t="n">
        <x:v>3</x:v>
      </x:c>
      <x:c r="V402" s="18" t="n">
        <x:v>0</x:v>
      </x:c>
      <x:c r="W402" s="18" t="n">
        <x:v>1</x:v>
      </x:c>
      <x:c r="X402" s="18" t="n">
        <x:v>0</x:v>
      </x:c>
      <x:c r="Y402" s="18" t="n">
        <x:v>0</x:v>
      </x:c>
      <x:c r="Z402" s="18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33</x:v>
      </x:c>
      <x:c r="AE402" s="18" t="n">
        <x:v>0</x:v>
      </x:c>
      <x:c r="AF402" s="18" t="n">
        <x:v>1</x:v>
      </x:c>
      <x:c r="AG402" s="18" t="n">
        <x:v>0</x:v>
      </x:c>
      <x:c r="AH402" s="18" t="n">
        <x:v>0</x:v>
      </x:c>
      <x:c r="AI402" s="18" t="n">
        <x:v>0</x:v>
      </x:c>
      <x:c r="AJ402" s="18" t="n">
        <x:v>73</x:v>
      </x:c>
      <x:c r="AK402" s="18" t="n">
        <x:v>0</x:v>
      </x:c>
      <x:c r="AL402" s="18" t="n">
        <x:v>10</x:v>
      </x:c>
      <x:c r="AM402" s="18" t="n">
        <x:v>149</x:v>
      </x:c>
      <x:c r="AN402" s="18" t="n">
        <x:v>4</x:v>
      </x:c>
      <x:c r="AO402" s="18" t="n">
        <x:v>0</x:v>
      </x:c>
      <x:c r="AP402" s="18" t="n">
        <x:v>0</x:v>
      </x:c>
      <x:c r="AQ402" s="18" t="n">
        <x:v>0</x:v>
      </x:c>
      <x:c r="AR402" s="18" t="n">
        <x:v>0</x:v>
      </x:c>
      <x:c r="AS402" s="18" t="n">
        <x:v>0</x:v>
      </x:c>
      <x:c r="AT402" s="18" t="n">
        <x:v>0</x:v>
      </x:c>
      <x:c r="AU402" s="18" t="n">
        <x:v>1</x:v>
      </x:c>
      <x:c r="AV402" s="18" t="n">
        <x:v>140</x:v>
      </x:c>
      <x:c r="AW402" s="18" t="n">
        <x:v>0</x:v>
      </x:c>
      <x:c r="AX402" s="18" t="n">
        <x:v>2</x:v>
      </x:c>
      <x:c r="AY402" s="18" t="n">
        <x:v>0</x:v>
      </x:c>
      <x:c r="AZ402" s="18" t="n">
        <x:v>0</x:v>
      </x:c>
      <x:c r="BA402" s="18" t="n">
        <x:v>0</x:v>
      </x:c>
      <x:c r="BB402" s="18" t="n">
        <x:v>0</x:v>
      </x:c>
      <x:c r="BC402" s="18" t="n">
        <x:v>1</x:v>
      </x:c>
      <x:c r="BD402" s="18" t="n">
        <x:v>1</x:v>
      </x:c>
      <x:c r="BE402" s="18" t="n">
        <x:v>0</x:v>
      </x:c>
      <x:c r="BF402" s="18" t="n">
        <x:v>9</x:v>
      </x:c>
      <x:c r="BG402" s="18" t="n">
        <x:v>1</x:v>
      </x:c>
    </x:row>
    <x:row r="403">
      <x:c r="A403" s="29" t="str">
        <x:v>723.3</x:v>
      </x:c>
      <x:c r="B403" s="17" t="n">
        <x:v>3222</x:v>
      </x:c>
      <x:c r="C403" s="17" t="str">
        <x:v>בי"ס תיכון קרית חיים</x:v>
      </x:c>
      <x:c r="D403" s="17" t="str">
        <x:v>הגדוד העברי 48</x:v>
      </x:c>
      <x:c r="E403" s="17" t="str">
        <x:v>גבוה מאוד</x:v>
      </x:c>
      <x:c r="F403" s="18" t="n">
        <x:v>646</x:v>
      </x:c>
      <x:c r="G403" s="18" t="n">
        <x:v>446</x:v>
      </x:c>
      <x:c r="H403" s="19" t="n">
        <x:f>IFERROR(G403/F403,0)</x:f>
        <x:v>0.6904024767801857</x:v>
      </x:c>
      <x:c r="I403" s="18" t="n">
        <x:v>2</x:v>
      </x:c>
      <x:c r="J403" s="18" t="n">
        <x:v>444</x:v>
      </x:c>
      <x:c r="K403" s="18" t="n">
        <x:f>SUM(AM403,BF403,W403,AD403)</x:f>
        <x:v>209</x:v>
      </x:c>
      <x:c r="L403" s="18" t="n">
        <x:f>Q403+R403</x:f>
        <x:v>229</x:v>
      </x:c>
      <x:c r="M403" s="19" t="n">
        <x:f>IFERROR(K403/J403,0)</x:f>
        <x:v>0.47072072072072074</x:v>
      </x:c>
      <x:c r="N403" s="19" t="n">
        <x:f>IFERROR(L403/J403,0)</x:f>
        <x:v>0.5157657657657657</x:v>
      </x:c>
      <x:c r="O403" s="17" t="str">
        <x:f>IF(K403&gt;MAX(L403,S403),"קואליציית ההקמה 2022",IF(L403&gt;MAX(K403,S403),"אופוזיציה רחבה 2022","רשימות אחרות"))</x:f>
        <x:v>אופוזיציה רחבה 2022</x:v>
      </x:c>
      <x:c r="P403" s="17" t="str">
        <x:f>IF(AND(H403&lt;50%,N403&gt;50%),"כן","לא")</x:f>
        <x:v>לא</x:v>
      </x:c>
      <x:c r="Q403" s="18" t="n">
        <x:f>SUM(AV403,AJ403,AL403,T403,AN403)</x:f>
        <x:v>229</x:v>
      </x:c>
      <x:c r="R403" s="18" t="n">
        <x:f>SUM(Y403,AU403,X403)</x:f>
        <x:v>0</x:v>
      </x:c>
      <x:c r="S403" s="18" t="n">
        <x:f>J403-K403-L403</x:f>
        <x:v>6</x:v>
      </x:c>
      <x:c r="T403" s="18" t="n">
        <x:v>16</x:v>
      </x:c>
      <x:c r="U403" s="18" t="n">
        <x:v>1</x:v>
      </x:c>
      <x:c r="V403" s="18" t="n">
        <x:v>2</x:v>
      </x:c>
      <x:c r="W403" s="18" t="n">
        <x:v>2</x:v>
      </x:c>
      <x:c r="X403" s="18" t="n">
        <x:v>0</x:v>
      </x:c>
      <x:c r="Y403" s="18" t="n">
        <x:v>0</x:v>
      </x:c>
      <x:c r="Z403" s="18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32</x:v>
      </x:c>
      <x:c r="AE403" s="18" t="n">
        <x:v>0</x:v>
      </x:c>
      <x:c r="AF403" s="18" t="n">
        <x:v>0</x:v>
      </x:c>
      <x:c r="AG403" s="18" t="n">
        <x:v>0</x:v>
      </x:c>
      <x:c r="AH403" s="18" t="n">
        <x:v>0</x:v>
      </x:c>
      <x:c r="AI403" s="18" t="n">
        <x:v>0</x:v>
      </x:c>
      <x:c r="AJ403" s="18" t="n">
        <x:v>77</x:v>
      </x:c>
      <x:c r="AK403" s="18" t="n">
        <x:v>0</x:v>
      </x:c>
      <x:c r="AL403" s="18" t="n">
        <x:v>14</x:v>
      </x:c>
      <x:c r="AM403" s="18" t="n">
        <x:v>158</x:v>
      </x:c>
      <x:c r="AN403" s="18" t="n">
        <x:v>5</x:v>
      </x:c>
      <x:c r="AO403" s="18" t="n">
        <x:v>0</x:v>
      </x:c>
      <x:c r="AP403" s="18" t="n">
        <x:v>0</x:v>
      </x:c>
      <x:c r="AQ403" s="18" t="n">
        <x:v>0</x:v>
      </x:c>
      <x:c r="AR403" s="18" t="n">
        <x:v>0</x:v>
      </x:c>
      <x:c r="AS403" s="18" t="n">
        <x:v>0</x:v>
      </x:c>
      <x:c r="AT403" s="18" t="n">
        <x:v>0</x:v>
      </x:c>
      <x:c r="AU403" s="18" t="n">
        <x:v>0</x:v>
      </x:c>
      <x:c r="AV403" s="18" t="n">
        <x:v>117</x:v>
      </x:c>
      <x:c r="AW403" s="18" t="n">
        <x:v>0</x:v>
      </x:c>
      <x:c r="AX403" s="18" t="n">
        <x:v>2</x:v>
      </x:c>
      <x:c r="AY403" s="18" t="n">
        <x:v>1</x:v>
      </x:c>
      <x:c r="AZ403" s="18" t="n">
        <x:v>0</x:v>
      </x:c>
      <x:c r="BA403" s="18" t="n">
        <x:v>0</x:v>
      </x:c>
      <x:c r="BB403" s="18" t="n">
        <x:v>0</x:v>
      </x:c>
      <x:c r="BC403" s="18" t="n">
        <x:v>0</x:v>
      </x:c>
      <x:c r="BD403" s="18" t="n">
        <x:v>0</x:v>
      </x:c>
      <x:c r="BE403" s="18" t="n">
        <x:v>0</x:v>
      </x:c>
      <x:c r="BF403" s="18" t="n">
        <x:v>17</x:v>
      </x:c>
      <x:c r="BG403" s="18" t="n">
        <x:v>0</x:v>
      </x:c>
    </x:row>
    <x:row r="404">
      <x:c r="A404" s="29" t="str">
        <x:v>723.4</x:v>
      </x:c>
      <x:c r="B404" s="17" t="n">
        <x:v>3223</x:v>
      </x:c>
      <x:c r="C404" s="17" t="str">
        <x:v>בי"ס תיכון קרית חיים</x:v>
      </x:c>
      <x:c r="D404" s="17" t="str">
        <x:v>הגדוד העברי 48</x:v>
      </x:c>
      <x:c r="E404" s="17" t="str">
        <x:v>גבוה מאוד</x:v>
      </x:c>
      <x:c r="F404" s="18" t="n">
        <x:v>644</x:v>
      </x:c>
      <x:c r="G404" s="18" t="n">
        <x:v>427</x:v>
      </x:c>
      <x:c r="H404" s="19" t="n">
        <x:f>IFERROR(G404/F404,0)</x:f>
        <x:v>0.6630434782608695</x:v>
      </x:c>
      <x:c r="I404" s="18" t="n">
        <x:v>3</x:v>
      </x:c>
      <x:c r="J404" s="18" t="n">
        <x:v>424</x:v>
      </x:c>
      <x:c r="K404" s="18" t="n">
        <x:f>SUM(AM404,BF404,W404,AD404)</x:f>
        <x:v>151</x:v>
      </x:c>
      <x:c r="L404" s="18" t="n">
        <x:f>Q404+R404</x:f>
        <x:v>260</x:v>
      </x:c>
      <x:c r="M404" s="19" t="n">
        <x:f>IFERROR(K404/J404,0)</x:f>
        <x:v>0.3561320754716981</x:v>
      </x:c>
      <x:c r="N404" s="19" t="n">
        <x:f>IFERROR(L404/J404,0)</x:f>
        <x:v>0.6132075471698113</x:v>
      </x:c>
      <x:c r="O404" s="17" t="str">
        <x:f>IF(K404&gt;MAX(L404,S404),"קואליציית ההקמה 2022",IF(L404&gt;MAX(K404,S404),"אופוזיציה רחבה 2022","רשימות אחרות"))</x:f>
        <x:v>אופוזיציה רחבה 2022</x:v>
      </x:c>
      <x:c r="P404" s="17" t="str">
        <x:f>IF(AND(H404&lt;50%,N404&gt;50%),"כן","לא")</x:f>
        <x:v>לא</x:v>
      </x:c>
      <x:c r="Q404" s="18" t="n">
        <x:f>SUM(AV404,AJ404,AL404,T404,AN404)</x:f>
        <x:v>260</x:v>
      </x:c>
      <x:c r="R404" s="18" t="n">
        <x:f>SUM(Y404,AU404,X404)</x:f>
        <x:v>0</x:v>
      </x:c>
      <x:c r="S404" s="18" t="n">
        <x:f>J404-K404-L404</x:f>
        <x:v>13</x:v>
      </x:c>
      <x:c r="T404" s="18" t="n">
        <x:v>26</x:v>
      </x:c>
      <x:c r="U404" s="18" t="n">
        <x:v>3</x:v>
      </x:c>
      <x:c r="V404" s="18" t="n">
        <x:v>2</x:v>
      </x:c>
      <x:c r="W404" s="18" t="n">
        <x:v>2</x:v>
      </x:c>
      <x:c r="X404" s="18" t="n">
        <x:v>0</x:v>
      </x:c>
      <x:c r="Y404" s="18" t="n">
        <x:v>0</x:v>
      </x:c>
      <x:c r="Z404" s="18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29</x:v>
      </x:c>
      <x:c r="AE404" s="18" t="n">
        <x:v>0</x:v>
      </x:c>
      <x:c r="AF404" s="18" t="n">
        <x:v>5</x:v>
      </x:c>
      <x:c r="AG404" s="18" t="n">
        <x:v>0</x:v>
      </x:c>
      <x:c r="AH404" s="18" t="n">
        <x:v>0</x:v>
      </x:c>
      <x:c r="AI404" s="18" t="n">
        <x:v>0</x:v>
      </x:c>
      <x:c r="AJ404" s="18" t="n">
        <x:v>66</x:v>
      </x:c>
      <x:c r="AK404" s="18" t="n">
        <x:v>0</x:v>
      </x:c>
      <x:c r="AL404" s="18" t="n">
        <x:v>28</x:v>
      </x:c>
      <x:c r="AM404" s="18" t="n">
        <x:v>114</x:v>
      </x:c>
      <x:c r="AN404" s="18" t="n">
        <x:v>6</x:v>
      </x:c>
      <x:c r="AO404" s="18" t="n">
        <x:v>0</x:v>
      </x:c>
      <x:c r="AP404" s="18" t="n">
        <x:v>0</x:v>
      </x:c>
      <x:c r="AQ404" s="18" t="n">
        <x:v>0</x:v>
      </x:c>
      <x:c r="AR404" s="18" t="n">
        <x:v>0</x:v>
      </x:c>
      <x:c r="AS404" s="18" t="n">
        <x:v>0</x:v>
      </x:c>
      <x:c r="AT404" s="18" t="n">
        <x:v>0</x:v>
      </x:c>
      <x:c r="AU404" s="18" t="n">
        <x:v>0</x:v>
      </x:c>
      <x:c r="AV404" s="18" t="n">
        <x:v>134</x:v>
      </x:c>
      <x:c r="AW404" s="18" t="n">
        <x:v>0</x:v>
      </x:c>
      <x:c r="AX404" s="18" t="n">
        <x:v>1</x:v>
      </x:c>
      <x:c r="AY404" s="18" t="n">
        <x:v>0</x:v>
      </x:c>
      <x:c r="AZ404" s="18" t="n">
        <x:v>1</x:v>
      </x:c>
      <x:c r="BA404" s="18" t="n">
        <x:v>0</x:v>
      </x:c>
      <x:c r="BB404" s="18" t="n">
        <x:v>0</x:v>
      </x:c>
      <x:c r="BC404" s="18" t="n">
        <x:v>0</x:v>
      </x:c>
      <x:c r="BD404" s="18" t="n">
        <x:v>1</x:v>
      </x:c>
      <x:c r="BE404" s="18" t="n">
        <x:v>0</x:v>
      </x:c>
      <x:c r="BF404" s="18" t="n">
        <x:v>6</x:v>
      </x:c>
      <x:c r="BG404" s="18" t="n">
        <x:v>0</x:v>
      </x:c>
    </x:row>
    <x:row r="405">
      <x:c r="A405" s="29" t="str">
        <x:v>726</x:v>
      </x:c>
      <x:c r="B405" s="17" t="n">
        <x:v>3224</x:v>
      </x:c>
      <x:c r="C405" s="17" t="str">
        <x:v>מרכז קהילתי בית נגלר</x:v>
      </x:c>
      <x:c r="D405" s="17" t="str">
        <x:v>בן צבי יצחק 14</x:v>
      </x:c>
      <x:c r="E405" s="17" t="str">
        <x:v>גבוה מאוד</x:v>
      </x:c>
      <x:c r="F405" s="18" t="n">
        <x:v>607</x:v>
      </x:c>
      <x:c r="G405" s="18" t="n">
        <x:v>255</x:v>
      </x:c>
      <x:c r="H405" s="19" t="n">
        <x:f>IFERROR(G405/F405,0)</x:f>
        <x:v>0.4200988467874794</x:v>
      </x:c>
      <x:c r="I405" s="18" t="n">
        <x:v>2</x:v>
      </x:c>
      <x:c r="J405" s="18" t="n">
        <x:v>253</x:v>
      </x:c>
      <x:c r="K405" s="18" t="n">
        <x:f>SUM(AM405,BF405,W405,AD405)</x:f>
        <x:v>149</x:v>
      </x:c>
      <x:c r="L405" s="18" t="n">
        <x:f>Q405+R405</x:f>
        <x:v>95</x:v>
      </x:c>
      <x:c r="M405" s="19" t="n">
        <x:f>IFERROR(K405/J405,0)</x:f>
        <x:v>0.5889328063241107</x:v>
      </x:c>
      <x:c r="N405" s="19" t="n">
        <x:f>IFERROR(L405/J405,0)</x:f>
        <x:v>0.37549407114624506</x:v>
      </x:c>
      <x:c r="O405" s="17" t="str">
        <x:f>IF(K405&gt;MAX(L405,S405),"קואליציית ההקמה 2022",IF(L405&gt;MAX(K405,S405),"אופוזיציה רחבה 2022","רשימות אחרות"))</x:f>
        <x:v>קואליציית ההקמה 2022</x:v>
      </x:c>
      <x:c r="P405" s="17" t="str">
        <x:f>IF(AND(H405&lt;50%,N405&gt;50%),"כן","לא")</x:f>
        <x:v>לא</x:v>
      </x:c>
      <x:c r="Q405" s="18" t="n">
        <x:f>SUM(AV405,AJ405,AL405,T405,AN405)</x:f>
        <x:v>93</x:v>
      </x:c>
      <x:c r="R405" s="18" t="n">
        <x:f>SUM(Y405,AU405,X405)</x:f>
        <x:v>2</x:v>
      </x:c>
      <x:c r="S405" s="18" t="n">
        <x:f>J405-K405-L405</x:f>
        <x:v>9</x:v>
      </x:c>
      <x:c r="T405" s="18" t="n">
        <x:v>6</x:v>
      </x:c>
      <x:c r="U405" s="18" t="n">
        <x:v>1</x:v>
      </x:c>
      <x:c r="V405" s="18" t="n">
        <x:v>0</x:v>
      </x:c>
      <x:c r="W405" s="18" t="n">
        <x:v>2</x:v>
      </x:c>
      <x:c r="X405" s="18" t="n">
        <x:v>0</x:v>
      </x:c>
      <x:c r="Y405" s="18" t="n">
        <x:v>1</x:v>
      </x:c>
      <x:c r="Z405" s="18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21</x:v>
      </x:c>
      <x:c r="AE405" s="18" t="n">
        <x:v>0</x:v>
      </x:c>
      <x:c r="AF405" s="18" t="n">
        <x:v>1</x:v>
      </x:c>
      <x:c r="AG405" s="18" t="n">
        <x:v>0</x:v>
      </x:c>
      <x:c r="AH405" s="18" t="n">
        <x:v>1</x:v>
      </x:c>
      <x:c r="AI405" s="18" t="n">
        <x:v>1</x:v>
      </x:c>
      <x:c r="AJ405" s="18" t="n">
        <x:v>28</x:v>
      </x:c>
      <x:c r="AK405" s="18" t="n">
        <x:v>0</x:v>
      </x:c>
      <x:c r="AL405" s="18" t="n">
        <x:v>42</x:v>
      </x:c>
      <x:c r="AM405" s="18" t="n">
        <x:v>112</x:v>
      </x:c>
      <x:c r="AN405" s="18" t="n">
        <x:v>0</x:v>
      </x:c>
      <x:c r="AO405" s="18" t="n">
        <x:v>0</x:v>
      </x:c>
      <x:c r="AP405" s="18" t="n">
        <x:v>1</x:v>
      </x:c>
      <x:c r="AQ405" s="18" t="n">
        <x:v>0</x:v>
      </x:c>
      <x:c r="AR405" s="18" t="n">
        <x:v>0</x:v>
      </x:c>
      <x:c r="AS405" s="18" t="n">
        <x:v>0</x:v>
      </x:c>
      <x:c r="AT405" s="18" t="n">
        <x:v>0</x:v>
      </x:c>
      <x:c r="AU405" s="18" t="n">
        <x:v>1</x:v>
      </x:c>
      <x:c r="AV405" s="18" t="n">
        <x:v>17</x:v>
      </x:c>
      <x:c r="AW405" s="18" t="n">
        <x:v>0</x:v>
      </x:c>
      <x:c r="AX405" s="18" t="n">
        <x:v>1</x:v>
      </x:c>
      <x:c r="AY405" s="18" t="n">
        <x:v>0</x:v>
      </x:c>
      <x:c r="AZ405" s="18" t="n">
        <x:v>0</x:v>
      </x:c>
      <x:c r="BA405" s="18" t="n">
        <x:v>0</x:v>
      </x:c>
      <x:c r="BB405" s="18" t="n">
        <x:v>1</x:v>
      </x:c>
      <x:c r="BC405" s="18" t="n">
        <x:v>0</x:v>
      </x:c>
      <x:c r="BD405" s="18" t="n">
        <x:v>2</x:v>
      </x:c>
      <x:c r="BE405" s="18" t="n">
        <x:v>0</x:v>
      </x:c>
      <x:c r="BF405" s="18" t="n">
        <x:v>14</x:v>
      </x:c>
      <x:c r="BG405" s="18" t="n">
        <x:v>0</x:v>
      </x:c>
    </x:row>
    <x:row r="406">
      <x:c r="A406" s="29" t="str">
        <x:v>727</x:v>
      </x:c>
      <x:c r="B406" s="17" t="n">
        <x:v>3225</x:v>
      </x:c>
      <x:c r="C406" s="17" t="str">
        <x:v>מרכז קהילתי בית נגלר</x:v>
      </x:c>
      <x:c r="D406" s="17" t="str">
        <x:v>בן צבי יצחק 14</x:v>
      </x:c>
      <x:c r="E406" s="17" t="str">
        <x:v>גבוה מאוד</x:v>
      </x:c>
      <x:c r="F406" s="18" t="n">
        <x:v>572</x:v>
      </x:c>
      <x:c r="G406" s="18" t="n">
        <x:v>207</x:v>
      </x:c>
      <x:c r="H406" s="19" t="n">
        <x:f>IFERROR(G406/F406,0)</x:f>
        <x:v>0.3618881118881119</x:v>
      </x:c>
      <x:c r="I406" s="18" t="n">
        <x:v>2</x:v>
      </x:c>
      <x:c r="J406" s="18" t="n">
        <x:v>205</x:v>
      </x:c>
      <x:c r="K406" s="18" t="n">
        <x:f>SUM(AM406,BF406,W406,AD406)</x:f>
        <x:v>108</x:v>
      </x:c>
      <x:c r="L406" s="18" t="n">
        <x:f>Q406+R406</x:f>
        <x:v>90</x:v>
      </x:c>
      <x:c r="M406" s="19" t="n">
        <x:f>IFERROR(K406/J406,0)</x:f>
        <x:v>0.526829268292683</x:v>
      </x:c>
      <x:c r="N406" s="19" t="n">
        <x:f>IFERROR(L406/J406,0)</x:f>
        <x:v>0.43902439024390244</x:v>
      </x:c>
      <x:c r="O406" s="17" t="str">
        <x:f>IF(K406&gt;MAX(L406,S406),"קואליציית ההקמה 2022",IF(L406&gt;MAX(K406,S406),"אופוזיציה רחבה 2022","רשימות אחרות"))</x:f>
        <x:v>קואליציית ההקמה 2022</x:v>
      </x:c>
      <x:c r="P406" s="17" t="str">
        <x:f>IF(AND(H406&lt;50%,N406&gt;50%),"כן","לא")</x:f>
        <x:v>לא</x:v>
      </x:c>
      <x:c r="Q406" s="18" t="n">
        <x:f>SUM(AV406,AJ406,AL406,T406,AN406)</x:f>
        <x:v>90</x:v>
      </x:c>
      <x:c r="R406" s="18" t="n">
        <x:f>SUM(Y406,AU406,X406)</x:f>
        <x:v>0</x:v>
      </x:c>
      <x:c r="S406" s="18" t="n">
        <x:f>J406-K406-L406</x:f>
        <x:v>7</x:v>
      </x:c>
      <x:c r="T406" s="18" t="n">
        <x:v>5</x:v>
      </x:c>
      <x:c r="U406" s="18" t="n">
        <x:v>1</x:v>
      </x:c>
      <x:c r="V406" s="18" t="n">
        <x:v>1</x:v>
      </x:c>
      <x:c r="W406" s="18" t="n">
        <x:v>0</x:v>
      </x:c>
      <x:c r="X406" s="18" t="n">
        <x:v>0</x:v>
      </x:c>
      <x:c r="Y406" s="18" t="n">
        <x:v>0</x:v>
      </x:c>
      <x:c r="Z406" s="18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12</x:v>
      </x:c>
      <x:c r="AE406" s="18" t="n">
        <x:v>0</x:v>
      </x:c>
      <x:c r="AF406" s="18" t="n">
        <x:v>0</x:v>
      </x:c>
      <x:c r="AG406" s="18" t="n">
        <x:v>0</x:v>
      </x:c>
      <x:c r="AH406" s="18" t="n">
        <x:v>0</x:v>
      </x:c>
      <x:c r="AI406" s="18" t="n">
        <x:v>0</x:v>
      </x:c>
      <x:c r="AJ406" s="18" t="n">
        <x:v>23</x:v>
      </x:c>
      <x:c r="AK406" s="18" t="n">
        <x:v>0</x:v>
      </x:c>
      <x:c r="AL406" s="18" t="n">
        <x:v>17</x:v>
      </x:c>
      <x:c r="AM406" s="18" t="n">
        <x:v>87</x:v>
      </x:c>
      <x:c r="AN406" s="18" t="n">
        <x:v>1</x:v>
      </x:c>
      <x:c r="AO406" s="18" t="n">
        <x:v>0</x:v>
      </x:c>
      <x:c r="AP406" s="18" t="n">
        <x:v>0</x:v>
      </x:c>
      <x:c r="AQ406" s="18" t="n">
        <x:v>0</x:v>
      </x:c>
      <x:c r="AR406" s="18" t="n">
        <x:v>0</x:v>
      </x:c>
      <x:c r="AS406" s="18" t="n">
        <x:v>0</x:v>
      </x:c>
      <x:c r="AT406" s="18" t="n">
        <x:v>0</x:v>
      </x:c>
      <x:c r="AU406" s="18" t="n">
        <x:v>0</x:v>
      </x:c>
      <x:c r="AV406" s="18" t="n">
        <x:v>44</x:v>
      </x:c>
      <x:c r="AW406" s="18" t="n">
        <x:v>0</x:v>
      </x:c>
      <x:c r="AX406" s="18" t="n">
        <x:v>3</x:v>
      </x:c>
      <x:c r="AY406" s="18" t="n">
        <x:v>0</x:v>
      </x:c>
      <x:c r="AZ406" s="18" t="n">
        <x:v>0</x:v>
      </x:c>
      <x:c r="BA406" s="18" t="n">
        <x:v>0</x:v>
      </x:c>
      <x:c r="BB406" s="18" t="n">
        <x:v>0</x:v>
      </x:c>
      <x:c r="BC406" s="18" t="n">
        <x:v>1</x:v>
      </x:c>
      <x:c r="BD406" s="18" t="n">
        <x:v>1</x:v>
      </x:c>
      <x:c r="BE406" s="18" t="n">
        <x:v>0</x:v>
      </x:c>
      <x:c r="BF406" s="18" t="n">
        <x:v>9</x:v>
      </x:c>
      <x:c r="BG406" s="18" t="n">
        <x:v>0</x:v>
      </x:c>
    </x:row>
    <x:row r="407">
      <x:c r="A407" s="29" t="str">
        <x:v>730.1</x:v>
      </x:c>
      <x:c r="B407" s="17" t="n">
        <x:v>3226</x:v>
      </x:c>
      <x:c r="C407" s="17" t="str">
        <x:v>חט"ב דגן</x:v>
      </x:c>
      <x:c r="D407" s="17" t="str">
        <x:v>בן צבי יצחק 6</x:v>
      </x:c>
      <x:c r="E407" s="17" t="str">
        <x:v>גבוה מאוד</x:v>
      </x:c>
      <x:c r="F407" s="18" t="n">
        <x:v>668</x:v>
      </x:c>
      <x:c r="G407" s="18" t="n">
        <x:v>455</x:v>
      </x:c>
      <x:c r="H407" s="19" t="n">
        <x:f>IFERROR(G407/F407,0)</x:f>
        <x:v>0.6811377245508982</x:v>
      </x:c>
      <x:c r="I407" s="18" t="n">
        <x:v>4</x:v>
      </x:c>
      <x:c r="J407" s="18" t="n">
        <x:v>451</x:v>
      </x:c>
      <x:c r="K407" s="18" t="n">
        <x:f>SUM(AM407,BF407,W407,AD407)</x:f>
        <x:v>252</x:v>
      </x:c>
      <x:c r="L407" s="18" t="n">
        <x:f>Q407+R407</x:f>
        <x:v>195</x:v>
      </x:c>
      <x:c r="M407" s="19" t="n">
        <x:f>IFERROR(K407/J407,0)</x:f>
        <x:v>0.5587583148558758</x:v>
      </x:c>
      <x:c r="N407" s="19" t="n">
        <x:f>IFERROR(L407/J407,0)</x:f>
        <x:v>0.43237250554323725</x:v>
      </x:c>
      <x:c r="O407" s="17" t="str">
        <x:f>IF(K407&gt;MAX(L407,S407),"קואליציית ההקמה 2022",IF(L407&gt;MAX(K407,S407),"אופוזיציה רחבה 2022","רשימות אחרות"))</x:f>
        <x:v>קואליציית ההקמה 2022</x:v>
      </x:c>
      <x:c r="P407" s="17" t="str">
        <x:f>IF(AND(H407&lt;50%,N407&gt;50%),"כן","לא")</x:f>
        <x:v>לא</x:v>
      </x:c>
      <x:c r="Q407" s="18" t="n">
        <x:f>SUM(AV407,AJ407,AL407,T407,AN407)</x:f>
        <x:v>194</x:v>
      </x:c>
      <x:c r="R407" s="18" t="n">
        <x:f>SUM(Y407,AU407,X407)</x:f>
        <x:v>1</x:v>
      </x:c>
      <x:c r="S407" s="18" t="n">
        <x:f>J407-K407-L407</x:f>
        <x:v>4</x:v>
      </x:c>
      <x:c r="T407" s="18" t="n">
        <x:v>9</x:v>
      </x:c>
      <x:c r="U407" s="18" t="n">
        <x:v>0</x:v>
      </x:c>
      <x:c r="V407" s="18" t="n">
        <x:v>1</x:v>
      </x:c>
      <x:c r="W407" s="18" t="n">
        <x:v>0</x:v>
      </x:c>
      <x:c r="X407" s="18" t="n">
        <x:v>0</x:v>
      </x:c>
      <x:c r="Y407" s="18" t="n">
        <x:v>1</x:v>
      </x:c>
      <x:c r="Z407" s="18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54</x:v>
      </x:c>
      <x:c r="AE407" s="18" t="n">
        <x:v>0</x:v>
      </x:c>
      <x:c r="AF407" s="18" t="n">
        <x:v>1</x:v>
      </x:c>
      <x:c r="AG407" s="18" t="n">
        <x:v>0</x:v>
      </x:c>
      <x:c r="AH407" s="18" t="n">
        <x:v>0</x:v>
      </x:c>
      <x:c r="AI407" s="18" t="n">
        <x:v>0</x:v>
      </x:c>
      <x:c r="AJ407" s="18" t="n">
        <x:v>59</x:v>
      </x:c>
      <x:c r="AK407" s="18" t="n">
        <x:v>0</x:v>
      </x:c>
      <x:c r="AL407" s="18" t="n">
        <x:v>16</x:v>
      </x:c>
      <x:c r="AM407" s="18" t="n">
        <x:v>180</x:v>
      </x:c>
      <x:c r="AN407" s="18" t="n">
        <x:v>3</x:v>
      </x:c>
      <x:c r="AO407" s="18" t="n">
        <x:v>0</x:v>
      </x:c>
      <x:c r="AP407" s="18" t="n">
        <x:v>0</x:v>
      </x:c>
      <x:c r="AQ407" s="18" t="n">
        <x:v>0</x:v>
      </x:c>
      <x:c r="AR407" s="18" t="n">
        <x:v>0</x:v>
      </x:c>
      <x:c r="AS407" s="18" t="n">
        <x:v>0</x:v>
      </x:c>
      <x:c r="AT407" s="18" t="n">
        <x:v>0</x:v>
      </x:c>
      <x:c r="AU407" s="18" t="n">
        <x:v>0</x:v>
      </x:c>
      <x:c r="AV407" s="18" t="n">
        <x:v>107</x:v>
      </x:c>
      <x:c r="AW407" s="18" t="n">
        <x:v>0</x:v>
      </x:c>
      <x:c r="AX407" s="18" t="n">
        <x:v>0</x:v>
      </x:c>
      <x:c r="AY407" s="18" t="n">
        <x:v>0</x:v>
      </x:c>
      <x:c r="AZ407" s="18" t="n">
        <x:v>0</x:v>
      </x:c>
      <x:c r="BA407" s="18" t="n">
        <x:v>0</x:v>
      </x:c>
      <x:c r="BB407" s="18" t="n">
        <x:v>0</x:v>
      </x:c>
      <x:c r="BC407" s="18" t="n">
        <x:v>0</x:v>
      </x:c>
      <x:c r="BD407" s="18" t="n">
        <x:v>2</x:v>
      </x:c>
      <x:c r="BE407" s="18" t="n">
        <x:v>0</x:v>
      </x:c>
      <x:c r="BF407" s="18" t="n">
        <x:v>18</x:v>
      </x:c>
      <x:c r="BG407" s="18" t="n">
        <x:v>0</x:v>
      </x:c>
    </x:row>
    <x:row r="408">
      <x:c r="A408" s="29" t="str">
        <x:v>730.2</x:v>
      </x:c>
      <x:c r="B408" s="17" t="n">
        <x:v>3227</x:v>
      </x:c>
      <x:c r="C408" s="17" t="str">
        <x:v>חט"ב דגן</x:v>
      </x:c>
      <x:c r="D408" s="17" t="str">
        <x:v>בן צבי יצחק 6</x:v>
      </x:c>
      <x:c r="E408" s="17" t="str">
        <x:v>גבוה מאוד</x:v>
      </x:c>
      <x:c r="F408" s="18" t="n">
        <x:v>668</x:v>
      </x:c>
      <x:c r="G408" s="18" t="n">
        <x:v>442</x:v>
      </x:c>
      <x:c r="H408" s="19" t="n">
        <x:f>IFERROR(G408/F408,0)</x:f>
        <x:v>0.6616766467065869</x:v>
      </x:c>
      <x:c r="I408" s="18" t="n">
        <x:v>0</x:v>
      </x:c>
      <x:c r="J408" s="18" t="n">
        <x:v>442</x:v>
      </x:c>
      <x:c r="K408" s="18" t="n">
        <x:f>SUM(AM408,BF408,W408,AD408)</x:f>
        <x:v>197</x:v>
      </x:c>
      <x:c r="L408" s="18" t="n">
        <x:f>Q408+R408</x:f>
        <x:v>239</x:v>
      </x:c>
      <x:c r="M408" s="19" t="n">
        <x:f>IFERROR(K408/J408,0)</x:f>
        <x:v>0.4457013574660634</x:v>
      </x:c>
      <x:c r="N408" s="19" t="n">
        <x:f>IFERROR(L408/J408,0)</x:f>
        <x:v>0.5407239819004525</x:v>
      </x:c>
      <x:c r="O408" s="17" t="str">
        <x:f>IF(K408&gt;MAX(L408,S408),"קואליציית ההקמה 2022",IF(L408&gt;MAX(K408,S408),"אופוזיציה רחבה 2022","רשימות אחרות"))</x:f>
        <x:v>אופוזיציה רחבה 2022</x:v>
      </x:c>
      <x:c r="P408" s="17" t="str">
        <x:f>IF(AND(H408&lt;50%,N408&gt;50%),"כן","לא")</x:f>
        <x:v>לא</x:v>
      </x:c>
      <x:c r="Q408" s="18" t="n">
        <x:f>SUM(AV408,AJ408,AL408,T408,AN408)</x:f>
        <x:v>239</x:v>
      </x:c>
      <x:c r="R408" s="18" t="n">
        <x:f>SUM(Y408,AU408,X408)</x:f>
        <x:v>0</x:v>
      </x:c>
      <x:c r="S408" s="18" t="n">
        <x:f>J408-K408-L408</x:f>
        <x:v>6</x:v>
      </x:c>
      <x:c r="T408" s="18" t="n">
        <x:v>17</x:v>
      </x:c>
      <x:c r="U408" s="18" t="n">
        <x:v>2</x:v>
      </x:c>
      <x:c r="V408" s="18" t="n">
        <x:v>2</x:v>
      </x:c>
      <x:c r="W408" s="18" t="n">
        <x:v>1</x:v>
      </x:c>
      <x:c r="X408" s="18" t="n">
        <x:v>0</x:v>
      </x:c>
      <x:c r="Y408" s="18" t="n">
        <x:v>0</x:v>
      </x:c>
      <x:c r="Z408" s="18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38</x:v>
      </x:c>
      <x:c r="AE408" s="18" t="n">
        <x:v>0</x:v>
      </x:c>
      <x:c r="AF408" s="18" t="n">
        <x:v>2</x:v>
      </x:c>
      <x:c r="AG408" s="18" t="n">
        <x:v>0</x:v>
      </x:c>
      <x:c r="AH408" s="18" t="n">
        <x:v>0</x:v>
      </x:c>
      <x:c r="AI408" s="18" t="n">
        <x:v>0</x:v>
      </x:c>
      <x:c r="AJ408" s="18" t="n">
        <x:v>72</x:v>
      </x:c>
      <x:c r="AK408" s="18" t="n">
        <x:v>0</x:v>
      </x:c>
      <x:c r="AL408" s="18" t="n">
        <x:v>11</x:v>
      </x:c>
      <x:c r="AM408" s="18" t="n">
        <x:v>148</x:v>
      </x:c>
      <x:c r="AN408" s="18" t="n">
        <x:v>14</x:v>
      </x:c>
      <x:c r="AO408" s="18" t="n">
        <x:v>0</x:v>
      </x:c>
      <x:c r="AP408" s="18" t="n">
        <x:v>0</x:v>
      </x:c>
      <x:c r="AQ408" s="18" t="n">
        <x:v>0</x:v>
      </x:c>
      <x:c r="AR408" s="18" t="n">
        <x:v>0</x:v>
      </x:c>
      <x:c r="AS408" s="18" t="n">
        <x:v>0</x:v>
      </x:c>
      <x:c r="AT408" s="18" t="n">
        <x:v>0</x:v>
      </x:c>
      <x:c r="AU408" s="18" t="n">
        <x:v>0</x:v>
      </x:c>
      <x:c r="AV408" s="18" t="n">
        <x:v>125</x:v>
      </x:c>
      <x:c r="AW408" s="18" t="n">
        <x:v>0</x:v>
      </x:c>
      <x:c r="AX408" s="18" t="n">
        <x:v>0</x:v>
      </x:c>
      <x:c r="AY408" s="18" t="n">
        <x:v>0</x:v>
      </x:c>
      <x:c r="AZ408" s="18" t="n">
        <x:v>0</x:v>
      </x:c>
      <x:c r="BA408" s="18" t="n">
        <x:v>0</x:v>
      </x:c>
      <x:c r="BB408" s="18" t="n">
        <x:v>0</x:v>
      </x:c>
      <x:c r="BC408" s="18" t="n">
        <x:v>0</x:v>
      </x:c>
      <x:c r="BD408" s="18" t="n">
        <x:v>0</x:v>
      </x:c>
      <x:c r="BE408" s="18" t="n">
        <x:v>0</x:v>
      </x:c>
      <x:c r="BF408" s="18" t="n">
        <x:v>10</x:v>
      </x:c>
      <x:c r="BG408" s="18" t="n">
        <x:v>0</x:v>
      </x:c>
    </x:row>
    <x:row r="409">
      <x:c r="A409" s="29" t="str">
        <x:v>730.3</x:v>
      </x:c>
      <x:c r="B409" s="17" t="n">
        <x:v>3228</x:v>
      </x:c>
      <x:c r="C409" s="17" t="str">
        <x:v>חט"ב דגן</x:v>
      </x:c>
      <x:c r="D409" s="17" t="str">
        <x:v>בן צבי יצחק 6</x:v>
      </x:c>
      <x:c r="E409" s="17" t="str">
        <x:v>גבוה מאוד</x:v>
      </x:c>
      <x:c r="F409" s="18" t="n">
        <x:v>668</x:v>
      </x:c>
      <x:c r="G409" s="18" t="n">
        <x:v>440</x:v>
      </x:c>
      <x:c r="H409" s="19" t="n">
        <x:f>IFERROR(G409/F409,0)</x:f>
        <x:v>0.6586826347305389</x:v>
      </x:c>
      <x:c r="I409" s="18" t="n">
        <x:v>2</x:v>
      </x:c>
      <x:c r="J409" s="18" t="n">
        <x:v>438</x:v>
      </x:c>
      <x:c r="K409" s="18" t="n">
        <x:f>SUM(AM409,BF409,W409,AD409)</x:f>
        <x:v>186</x:v>
      </x:c>
      <x:c r="L409" s="18" t="n">
        <x:f>Q409+R409</x:f>
        <x:v>247</x:v>
      </x:c>
      <x:c r="M409" s="19" t="n">
        <x:f>IFERROR(K409/J409,0)</x:f>
        <x:v>0.4246575342465753</x:v>
      </x:c>
      <x:c r="N409" s="19" t="n">
        <x:f>IFERROR(L409/J409,0)</x:f>
        <x:v>0.5639269406392694</x:v>
      </x:c>
      <x:c r="O409" s="17" t="str">
        <x:f>IF(K409&gt;MAX(L409,S409),"קואליציית ההקמה 2022",IF(L409&gt;MAX(K409,S409),"אופוזיציה רחבה 2022","רשימות אחרות"))</x:f>
        <x:v>אופוזיציה רחבה 2022</x:v>
      </x:c>
      <x:c r="P409" s="17" t="str">
        <x:f>IF(AND(H409&lt;50%,N409&gt;50%),"כן","לא")</x:f>
        <x:v>לא</x:v>
      </x:c>
      <x:c r="Q409" s="18" t="n">
        <x:f>SUM(AV409,AJ409,AL409,T409,AN409)</x:f>
        <x:v>247</x:v>
      </x:c>
      <x:c r="R409" s="18" t="n">
        <x:f>SUM(Y409,AU409,X409)</x:f>
        <x:v>0</x:v>
      </x:c>
      <x:c r="S409" s="18" t="n">
        <x:f>J409-K409-L409</x:f>
        <x:v>5</x:v>
      </x:c>
      <x:c r="T409" s="18" t="n">
        <x:v>22</x:v>
      </x:c>
      <x:c r="U409" s="18" t="n">
        <x:v>1</x:v>
      </x:c>
      <x:c r="V409" s="18" t="n">
        <x:v>3</x:v>
      </x:c>
      <x:c r="W409" s="18" t="n">
        <x:v>0</x:v>
      </x:c>
      <x:c r="X409" s="18" t="n">
        <x:v>0</x:v>
      </x:c>
      <x:c r="Y409" s="18" t="n">
        <x:v>0</x:v>
      </x:c>
      <x:c r="Z409" s="18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26</x:v>
      </x:c>
      <x:c r="AE409" s="18" t="n">
        <x:v>0</x:v>
      </x:c>
      <x:c r="AF409" s="18" t="n">
        <x:v>0</x:v>
      </x:c>
      <x:c r="AG409" s="18" t="n">
        <x:v>0</x:v>
      </x:c>
      <x:c r="AH409" s="18" t="n">
        <x:v>0</x:v>
      </x:c>
      <x:c r="AI409" s="18" t="n">
        <x:v>0</x:v>
      </x:c>
      <x:c r="AJ409" s="18" t="n">
        <x:v>64</x:v>
      </x:c>
      <x:c r="AK409" s="18" t="n">
        <x:v>0</x:v>
      </x:c>
      <x:c r="AL409" s="18" t="n">
        <x:v>23</x:v>
      </x:c>
      <x:c r="AM409" s="18" t="n">
        <x:v>157</x:v>
      </x:c>
      <x:c r="AN409" s="18" t="n">
        <x:v>10</x:v>
      </x:c>
      <x:c r="AO409" s="18" t="n">
        <x:v>0</x:v>
      </x:c>
      <x:c r="AP409" s="18" t="n">
        <x:v>0</x:v>
      </x:c>
      <x:c r="AQ409" s="18" t="n">
        <x:v>0</x:v>
      </x:c>
      <x:c r="AR409" s="18" t="n">
        <x:v>0</x:v>
      </x:c>
      <x:c r="AS409" s="18" t="n">
        <x:v>0</x:v>
      </x:c>
      <x:c r="AT409" s="18" t="n">
        <x:v>0</x:v>
      </x:c>
      <x:c r="AU409" s="18" t="n">
        <x:v>0</x:v>
      </x:c>
      <x:c r="AV409" s="18" t="n">
        <x:v>128</x:v>
      </x:c>
      <x:c r="AW409" s="18" t="n">
        <x:v>0</x:v>
      </x:c>
      <x:c r="AX409" s="18" t="n">
        <x:v>0</x:v>
      </x:c>
      <x:c r="AY409" s="18" t="n">
        <x:v>0</x:v>
      </x:c>
      <x:c r="AZ409" s="18" t="n">
        <x:v>0</x:v>
      </x:c>
      <x:c r="BA409" s="18" t="n">
        <x:v>0</x:v>
      </x:c>
      <x:c r="BB409" s="18" t="n">
        <x:v>0</x:v>
      </x:c>
      <x:c r="BC409" s="18" t="n">
        <x:v>0</x:v>
      </x:c>
      <x:c r="BD409" s="18" t="n">
        <x:v>1</x:v>
      </x:c>
      <x:c r="BE409" s="18" t="n">
        <x:v>0</x:v>
      </x:c>
      <x:c r="BF409" s="18" t="n">
        <x:v>3</x:v>
      </x:c>
      <x:c r="BG409" s="18" t="n">
        <x:v>0</x:v>
      </x:c>
    </x:row>
    <x:row r="410">
      <x:c r="A410" s="29" t="str">
        <x:v>730.4</x:v>
      </x:c>
      <x:c r="B410" s="17" t="n">
        <x:v>3229</x:v>
      </x:c>
      <x:c r="C410" s="17" t="str">
        <x:v>חט"ב דגן</x:v>
      </x:c>
      <x:c r="D410" s="17" t="str">
        <x:v>בן צבי יצחק 6</x:v>
      </x:c>
      <x:c r="E410" s="17" t="str">
        <x:v>גבוה מאוד</x:v>
      </x:c>
      <x:c r="F410" s="18" t="n">
        <x:v>668</x:v>
      </x:c>
      <x:c r="G410" s="18" t="n">
        <x:v>406</x:v>
      </x:c>
      <x:c r="H410" s="19" t="n">
        <x:f>IFERROR(G410/F410,0)</x:f>
        <x:v>0.6077844311377245</x:v>
      </x:c>
      <x:c r="I410" s="18" t="n">
        <x:v>3</x:v>
      </x:c>
      <x:c r="J410" s="18" t="n">
        <x:v>403</x:v>
      </x:c>
      <x:c r="K410" s="18" t="n">
        <x:f>SUM(AM410,BF410,W410,AD410)</x:f>
        <x:v>183</x:v>
      </x:c>
      <x:c r="L410" s="18" t="n">
        <x:f>Q410+R410</x:f>
        <x:v>208</x:v>
      </x:c>
      <x:c r="M410" s="19" t="n">
        <x:f>IFERROR(K410/J410,0)</x:f>
        <x:v>0.45409429280397023</x:v>
      </x:c>
      <x:c r="N410" s="19" t="n">
        <x:f>IFERROR(L410/J410,0)</x:f>
        <x:v>0.5161290322580645</x:v>
      </x:c>
      <x:c r="O410" s="17" t="str">
        <x:f>IF(K410&gt;MAX(L410,S410),"קואליציית ההקמה 2022",IF(L410&gt;MAX(K410,S410),"אופוזיציה רחבה 2022","רשימות אחרות"))</x:f>
        <x:v>אופוזיציה רחבה 2022</x:v>
      </x:c>
      <x:c r="P410" s="17" t="str">
        <x:f>IF(AND(H410&lt;50%,N410&gt;50%),"כן","לא")</x:f>
        <x:v>לא</x:v>
      </x:c>
      <x:c r="Q410" s="18" t="n">
        <x:f>SUM(AV410,AJ410,AL410,T410,AN410)</x:f>
        <x:v>205</x:v>
      </x:c>
      <x:c r="R410" s="18" t="n">
        <x:f>SUM(Y410,AU410,X410)</x:f>
        <x:v>3</x:v>
      </x:c>
      <x:c r="S410" s="18" t="n">
        <x:f>J410-K410-L410</x:f>
        <x:v>12</x:v>
      </x:c>
      <x:c r="T410" s="18" t="n">
        <x:v>14</x:v>
      </x:c>
      <x:c r="U410" s="18" t="n">
        <x:v>1</x:v>
      </x:c>
      <x:c r="V410" s="18" t="n">
        <x:v>4</x:v>
      </x:c>
      <x:c r="W410" s="18" t="n">
        <x:v>2</x:v>
      </x:c>
      <x:c r="X410" s="18" t="n">
        <x:v>0</x:v>
      </x:c>
      <x:c r="Y410" s="18" t="n">
        <x:v>3</x:v>
      </x:c>
      <x:c r="Z410" s="18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28</x:v>
      </x:c>
      <x:c r="AE410" s="18" t="n">
        <x:v>0</x:v>
      </x:c>
      <x:c r="AF410" s="18" t="n">
        <x:v>2</x:v>
      </x:c>
      <x:c r="AG410" s="18" t="n">
        <x:v>1</x:v>
      </x:c>
      <x:c r="AH410" s="18" t="n">
        <x:v>0</x:v>
      </x:c>
      <x:c r="AI410" s="18" t="n">
        <x:v>0</x:v>
      </x:c>
      <x:c r="AJ410" s="18" t="n">
        <x:v>68</x:v>
      </x:c>
      <x:c r="AK410" s="18" t="n">
        <x:v>0</x:v>
      </x:c>
      <x:c r="AL410" s="18" t="n">
        <x:v>15</x:v>
      </x:c>
      <x:c r="AM410" s="18" t="n">
        <x:v>138</x:v>
      </x:c>
      <x:c r="AN410" s="18" t="n">
        <x:v>2</x:v>
      </x:c>
      <x:c r="AO410" s="18" t="n">
        <x:v>0</x:v>
      </x:c>
      <x:c r="AP410" s="18" t="n">
        <x:v>0</x:v>
      </x:c>
      <x:c r="AQ410" s="18" t="n">
        <x:v>0</x:v>
      </x:c>
      <x:c r="AR410" s="18" t="n">
        <x:v>1</x:v>
      </x:c>
      <x:c r="AS410" s="18" t="n">
        <x:v>0</x:v>
      </x:c>
      <x:c r="AT410" s="18" t="n">
        <x:v>0</x:v>
      </x:c>
      <x:c r="AU410" s="18" t="n">
        <x:v>0</x:v>
      </x:c>
      <x:c r="AV410" s="18" t="n">
        <x:v>106</x:v>
      </x:c>
      <x:c r="AW410" s="18" t="n">
        <x:v>0</x:v>
      </x:c>
      <x:c r="AX410" s="18" t="n">
        <x:v>1</x:v>
      </x:c>
      <x:c r="AY410" s="18" t="n">
        <x:v>0</x:v>
      </x:c>
      <x:c r="AZ410" s="18" t="n">
        <x:v>0</x:v>
      </x:c>
      <x:c r="BA410" s="18" t="n">
        <x:v>0</x:v>
      </x:c>
      <x:c r="BB410" s="18" t="n">
        <x:v>0</x:v>
      </x:c>
      <x:c r="BC410" s="18" t="n">
        <x:v>0</x:v>
      </x:c>
      <x:c r="BD410" s="18" t="n">
        <x:v>2</x:v>
      </x:c>
      <x:c r="BE410" s="18" t="n">
        <x:v>0</x:v>
      </x:c>
      <x:c r="BF410" s="18" t="n">
        <x:v>15</x:v>
      </x:c>
      <x:c r="BG410" s="18" t="n">
        <x:v>0</x:v>
      </x:c>
    </x:row>
    <x:row r="411">
      <x:c r="A411" s="29" t="str">
        <x:v>730.5</x:v>
      </x:c>
      <x:c r="B411" s="17" t="n">
        <x:v>3230</x:v>
      </x:c>
      <x:c r="C411" s="17" t="str">
        <x:v>חט"ב דגן</x:v>
      </x:c>
      <x:c r="D411" s="17" t="str">
        <x:v>בן צבי יצחק 6</x:v>
      </x:c>
      <x:c r="E411" s="17" t="str">
        <x:v>גבוה מאוד</x:v>
      </x:c>
      <x:c r="F411" s="18" t="n">
        <x:v>668</x:v>
      </x:c>
      <x:c r="G411" s="18" t="n">
        <x:v>440</x:v>
      </x:c>
      <x:c r="H411" s="19" t="n">
        <x:f>IFERROR(G411/F411,0)</x:f>
        <x:v>0.6586826347305389</x:v>
      </x:c>
      <x:c r="I411" s="18" t="n">
        <x:v>0</x:v>
      </x:c>
      <x:c r="J411" s="18" t="n">
        <x:v>440</x:v>
      </x:c>
      <x:c r="K411" s="18" t="n">
        <x:f>SUM(AM411,BF411,W411,AD411)</x:f>
        <x:v>188</x:v>
      </x:c>
      <x:c r="L411" s="18" t="n">
        <x:f>Q411+R411</x:f>
        <x:v>248</x:v>
      </x:c>
      <x:c r="M411" s="19" t="n">
        <x:f>IFERROR(K411/J411,0)</x:f>
        <x:v>0.42727272727272725</x:v>
      </x:c>
      <x:c r="N411" s="19" t="n">
        <x:f>IFERROR(L411/J411,0)</x:f>
        <x:v>0.5636363636363636</x:v>
      </x:c>
      <x:c r="O411" s="17" t="str">
        <x:f>IF(K411&gt;MAX(L411,S411),"קואליציית ההקמה 2022",IF(L411&gt;MAX(K411,S411),"אופוזיציה רחבה 2022","רשימות אחרות"))</x:f>
        <x:v>אופוזיציה רחבה 2022</x:v>
      </x:c>
      <x:c r="P411" s="17" t="str">
        <x:f>IF(AND(H411&lt;50%,N411&gt;50%),"כן","לא")</x:f>
        <x:v>לא</x:v>
      </x:c>
      <x:c r="Q411" s="18" t="n">
        <x:f>SUM(AV411,AJ411,AL411,T411,AN411)</x:f>
        <x:v>248</x:v>
      </x:c>
      <x:c r="R411" s="18" t="n">
        <x:f>SUM(Y411,AU411,X411)</x:f>
        <x:v>0</x:v>
      </x:c>
      <x:c r="S411" s="18" t="n">
        <x:f>J411-K411-L411</x:f>
        <x:v>4</x:v>
      </x:c>
      <x:c r="T411" s="18" t="n">
        <x:v>16</x:v>
      </x:c>
      <x:c r="U411" s="18" t="n">
        <x:v>1</x:v>
      </x:c>
      <x:c r="V411" s="18" t="n">
        <x:v>1</x:v>
      </x:c>
      <x:c r="W411" s="18" t="n">
        <x:v>2</x:v>
      </x:c>
      <x:c r="X411" s="18" t="n">
        <x:v>0</x:v>
      </x:c>
      <x:c r="Y411" s="18" t="n">
        <x:v>0</x:v>
      </x:c>
      <x:c r="Z411" s="18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29</x:v>
      </x:c>
      <x:c r="AE411" s="18" t="n">
        <x:v>0</x:v>
      </x:c>
      <x:c r="AF411" s="18" t="n">
        <x:v>0</x:v>
      </x:c>
      <x:c r="AG411" s="18" t="n">
        <x:v>0</x:v>
      </x:c>
      <x:c r="AH411" s="18" t="n">
        <x:v>0</x:v>
      </x:c>
      <x:c r="AI411" s="18" t="n">
        <x:v>0</x:v>
      </x:c>
      <x:c r="AJ411" s="18" t="n">
        <x:v>72</x:v>
      </x:c>
      <x:c r="AK411" s="18" t="n">
        <x:v>0</x:v>
      </x:c>
      <x:c r="AL411" s="18" t="n">
        <x:v>19</x:v>
      </x:c>
      <x:c r="AM411" s="18" t="n">
        <x:v>148</x:v>
      </x:c>
      <x:c r="AN411" s="18" t="n">
        <x:v>6</x:v>
      </x:c>
      <x:c r="AO411" s="18" t="n">
        <x:v>0</x:v>
      </x:c>
      <x:c r="AP411" s="18" t="n">
        <x:v>0</x:v>
      </x:c>
      <x:c r="AQ411" s="18" t="n">
        <x:v>0</x:v>
      </x:c>
      <x:c r="AR411" s="18" t="n">
        <x:v>0</x:v>
      </x:c>
      <x:c r="AS411" s="18" t="n">
        <x:v>0</x:v>
      </x:c>
      <x:c r="AT411" s="18" t="n">
        <x:v>0</x:v>
      </x:c>
      <x:c r="AU411" s="18" t="n">
        <x:v>0</x:v>
      </x:c>
      <x:c r="AV411" s="18" t="n">
        <x:v>135</x:v>
      </x:c>
      <x:c r="AW411" s="18" t="n">
        <x:v>0</x:v>
      </x:c>
      <x:c r="AX411" s="18" t="n">
        <x:v>0</x:v>
      </x:c>
      <x:c r="AY411" s="18" t="n">
        <x:v>0</x:v>
      </x:c>
      <x:c r="AZ411" s="18" t="n">
        <x:v>0</x:v>
      </x:c>
      <x:c r="BA411" s="18" t="n">
        <x:v>0</x:v>
      </x:c>
      <x:c r="BB411" s="18" t="n">
        <x:v>0</x:v>
      </x:c>
      <x:c r="BC411" s="18" t="n">
        <x:v>0</x:v>
      </x:c>
      <x:c r="BD411" s="18" t="n">
        <x:v>2</x:v>
      </x:c>
      <x:c r="BE411" s="18" t="n">
        <x:v>0</x:v>
      </x:c>
      <x:c r="BF411" s="18" t="n">
        <x:v>9</x:v>
      </x:c>
      <x:c r="BG411" s="18" t="n">
        <x:v>0</x:v>
      </x:c>
    </x:row>
    <x:row r="412">
      <x:c r="A412" s="29" t="str">
        <x:v>730.6</x:v>
      </x:c>
      <x:c r="B412" s="17" t="n">
        <x:v>3231</x:v>
      </x:c>
      <x:c r="C412" s="17" t="str">
        <x:v>חט"ב דגן</x:v>
      </x:c>
      <x:c r="D412" s="17" t="str">
        <x:v>בן צבי יצחק 6</x:v>
      </x:c>
      <x:c r="E412" s="17" t="str">
        <x:v>גבוה מאוד</x:v>
      </x:c>
      <x:c r="F412" s="18" t="n">
        <x:v>668</x:v>
      </x:c>
      <x:c r="G412" s="18" t="n">
        <x:v>438</x:v>
      </x:c>
      <x:c r="H412" s="19" t="n">
        <x:f>IFERROR(G412/F412,0)</x:f>
        <x:v>0.655688622754491</x:v>
      </x:c>
      <x:c r="I412" s="18" t="n">
        <x:v>5</x:v>
      </x:c>
      <x:c r="J412" s="18" t="n">
        <x:v>433</x:v>
      </x:c>
      <x:c r="K412" s="18" t="n">
        <x:f>SUM(AM412,BF412,W412,AD412)</x:f>
        <x:v>186</x:v>
      </x:c>
      <x:c r="L412" s="18" t="n">
        <x:f>Q412+R412</x:f>
        <x:v>240</x:v>
      </x:c>
      <x:c r="M412" s="19" t="n">
        <x:f>IFERROR(K412/J412,0)</x:f>
        <x:v>0.4295612009237875</x:v>
      </x:c>
      <x:c r="N412" s="19" t="n">
        <x:f>IFERROR(L412/J412,0)</x:f>
        <x:v>0.5542725173210161</x:v>
      </x:c>
      <x:c r="O412" s="17" t="str">
        <x:f>IF(K412&gt;MAX(L412,S412),"קואליציית ההקמה 2022",IF(L412&gt;MAX(K412,S412),"אופוזיציה רחבה 2022","רשימות אחרות"))</x:f>
        <x:v>אופוזיציה רחבה 2022</x:v>
      </x:c>
      <x:c r="P412" s="17" t="str">
        <x:f>IF(AND(H412&lt;50%,N412&gt;50%),"כן","לא")</x:f>
        <x:v>לא</x:v>
      </x:c>
      <x:c r="Q412" s="18" t="n">
        <x:f>SUM(AV412,AJ412,AL412,T412,AN412)</x:f>
        <x:v>239</x:v>
      </x:c>
      <x:c r="R412" s="18" t="n">
        <x:f>SUM(Y412,AU412,X412)</x:f>
        <x:v>1</x:v>
      </x:c>
      <x:c r="S412" s="18" t="n">
        <x:f>J412-K412-L412</x:f>
        <x:v>7</x:v>
      </x:c>
      <x:c r="T412" s="18" t="n">
        <x:v>19</x:v>
      </x:c>
      <x:c r="U412" s="18" t="n">
        <x:v>2</x:v>
      </x:c>
      <x:c r="V412" s="18" t="n">
        <x:v>2</x:v>
      </x:c>
      <x:c r="W412" s="18" t="n">
        <x:v>0</x:v>
      </x:c>
      <x:c r="X412" s="18" t="n">
        <x:v>0</x:v>
      </x:c>
      <x:c r="Y412" s="18" t="n">
        <x:v>0</x:v>
      </x:c>
      <x:c r="Z412" s="18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39</x:v>
      </x:c>
      <x:c r="AE412" s="18" t="n">
        <x:v>0</x:v>
      </x:c>
      <x:c r="AF412" s="18" t="n">
        <x:v>0</x:v>
      </x:c>
      <x:c r="AG412" s="18" t="n">
        <x:v>0</x:v>
      </x:c>
      <x:c r="AH412" s="18" t="n">
        <x:v>0</x:v>
      </x:c>
      <x:c r="AI412" s="18" t="n">
        <x:v>0</x:v>
      </x:c>
      <x:c r="AJ412" s="18" t="n">
        <x:v>72</x:v>
      </x:c>
      <x:c r="AK412" s="18" t="n">
        <x:v>0</x:v>
      </x:c>
      <x:c r="AL412" s="18" t="n">
        <x:v>15</x:v>
      </x:c>
      <x:c r="AM412" s="18" t="n">
        <x:v>138</x:v>
      </x:c>
      <x:c r="AN412" s="18" t="n">
        <x:v>7</x:v>
      </x:c>
      <x:c r="AO412" s="18" t="n">
        <x:v>0</x:v>
      </x:c>
      <x:c r="AP412" s="18" t="n">
        <x:v>1</x:v>
      </x:c>
      <x:c r="AQ412" s="18" t="n">
        <x:v>0</x:v>
      </x:c>
      <x:c r="AR412" s="18" t="n">
        <x:v>0</x:v>
      </x:c>
      <x:c r="AS412" s="18" t="n">
        <x:v>0</x:v>
      </x:c>
      <x:c r="AT412" s="18" t="n">
        <x:v>0</x:v>
      </x:c>
      <x:c r="AU412" s="18" t="n">
        <x:v>1</x:v>
      </x:c>
      <x:c r="AV412" s="18" t="n">
        <x:v>126</x:v>
      </x:c>
      <x:c r="AW412" s="18" t="n">
        <x:v>0</x:v>
      </x:c>
      <x:c r="AX412" s="18" t="n">
        <x:v>0</x:v>
      </x:c>
      <x:c r="AY412" s="18" t="n">
        <x:v>0</x:v>
      </x:c>
      <x:c r="AZ412" s="18" t="n">
        <x:v>0</x:v>
      </x:c>
      <x:c r="BA412" s="18" t="n">
        <x:v>0</x:v>
      </x:c>
      <x:c r="BB412" s="18" t="n">
        <x:v>0</x:v>
      </x:c>
      <x:c r="BC412" s="18" t="n">
        <x:v>0</x:v>
      </x:c>
      <x:c r="BD412" s="18" t="n">
        <x:v>2</x:v>
      </x:c>
      <x:c r="BE412" s="18" t="n">
        <x:v>0</x:v>
      </x:c>
      <x:c r="BF412" s="18" t="n">
        <x:v>9</x:v>
      </x:c>
      <x:c r="BG412" s="18" t="n">
        <x:v>0</x:v>
      </x:c>
    </x:row>
    <x:row r="413">
      <x:c r="A413" s="29" t="str">
        <x:v>730.7</x:v>
      </x:c>
      <x:c r="B413" s="17" t="n">
        <x:v>3232</x:v>
      </x:c>
      <x:c r="C413" s="17" t="str">
        <x:v>חט"ב דגן</x:v>
      </x:c>
      <x:c r="D413" s="17" t="str">
        <x:v>בן צבי יצחק 6</x:v>
      </x:c>
      <x:c r="E413" s="17" t="str">
        <x:v>גבוה מאוד</x:v>
      </x:c>
      <x:c r="F413" s="18" t="n">
        <x:v>666</x:v>
      </x:c>
      <x:c r="G413" s="18" t="n">
        <x:v>438</x:v>
      </x:c>
      <x:c r="H413" s="19" t="n">
        <x:f>IFERROR(G413/F413,0)</x:f>
        <x:v>0.6576576576576577</x:v>
      </x:c>
      <x:c r="I413" s="18" t="n">
        <x:v>0</x:v>
      </x:c>
      <x:c r="J413" s="18" t="n">
        <x:v>438</x:v>
      </x:c>
      <x:c r="K413" s="18" t="n">
        <x:f>SUM(AM413,BF413,W413,AD413)</x:f>
        <x:v>148</x:v>
      </x:c>
      <x:c r="L413" s="18" t="n">
        <x:f>Q413+R413</x:f>
        <x:v>282</x:v>
      </x:c>
      <x:c r="M413" s="19" t="n">
        <x:f>IFERROR(K413/J413,0)</x:f>
        <x:v>0.3378995433789954</x:v>
      </x:c>
      <x:c r="N413" s="19" t="n">
        <x:f>IFERROR(L413/J413,0)</x:f>
        <x:v>0.6438356164383562</x:v>
      </x:c>
      <x:c r="O413" s="17" t="str">
        <x:f>IF(K413&gt;MAX(L413,S413),"קואליציית ההקמה 2022",IF(L413&gt;MAX(K413,S413),"אופוזיציה רחבה 2022","רשימות אחרות"))</x:f>
        <x:v>אופוזיציה רחבה 2022</x:v>
      </x:c>
      <x:c r="P413" s="17" t="str">
        <x:f>IF(AND(H413&lt;50%,N413&gt;50%),"כן","לא")</x:f>
        <x:v>לא</x:v>
      </x:c>
      <x:c r="Q413" s="18" t="n">
        <x:f>SUM(AV413,AJ413,AL413,T413,AN413)</x:f>
        <x:v>281</x:v>
      </x:c>
      <x:c r="R413" s="18" t="n">
        <x:f>SUM(Y413,AU413,X413)</x:f>
        <x:v>1</x:v>
      </x:c>
      <x:c r="S413" s="18" t="n">
        <x:f>J413-K413-L413</x:f>
        <x:v>8</x:v>
      </x:c>
      <x:c r="T413" s="18" t="n">
        <x:v>24</x:v>
      </x:c>
      <x:c r="U413" s="18" t="n">
        <x:v>0</x:v>
      </x:c>
      <x:c r="V413" s="18" t="n">
        <x:v>4</x:v>
      </x:c>
      <x:c r="W413" s="18" t="n">
        <x:v>0</x:v>
      </x:c>
      <x:c r="X413" s="18" t="n">
        <x:v>0</x:v>
      </x:c>
      <x:c r="Y413" s="18" t="n">
        <x:v>1</x:v>
      </x:c>
      <x:c r="Z413" s="18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24</x:v>
      </x:c>
      <x:c r="AE413" s="18" t="n">
        <x:v>0</x:v>
      </x:c>
      <x:c r="AF413" s="18" t="n">
        <x:v>1</x:v>
      </x:c>
      <x:c r="AG413" s="18" t="n">
        <x:v>0</x:v>
      </x:c>
      <x:c r="AH413" s="18" t="n">
        <x:v>0</x:v>
      </x:c>
      <x:c r="AI413" s="18" t="n">
        <x:v>0</x:v>
      </x:c>
      <x:c r="AJ413" s="18" t="n">
        <x:v>62</x:v>
      </x:c>
      <x:c r="AK413" s="18" t="n">
        <x:v>0</x:v>
      </x:c>
      <x:c r="AL413" s="18" t="n">
        <x:v>18</x:v>
      </x:c>
      <x:c r="AM413" s="18" t="n">
        <x:v>119</x:v>
      </x:c>
      <x:c r="AN413" s="18" t="n">
        <x:v>13</x:v>
      </x:c>
      <x:c r="AO413" s="18" t="n">
        <x:v>0</x:v>
      </x:c>
      <x:c r="AP413" s="18" t="n">
        <x:v>0</x:v>
      </x:c>
      <x:c r="AQ413" s="18" t="n">
        <x:v>0</x:v>
      </x:c>
      <x:c r="AR413" s="18" t="n">
        <x:v>0</x:v>
      </x:c>
      <x:c r="AS413" s="18" t="n">
        <x:v>0</x:v>
      </x:c>
      <x:c r="AT413" s="18" t="n">
        <x:v>0</x:v>
      </x:c>
      <x:c r="AU413" s="18" t="n">
        <x:v>0</x:v>
      </x:c>
      <x:c r="AV413" s="18" t="n">
        <x:v>164</x:v>
      </x:c>
      <x:c r="AW413" s="18" t="n">
        <x:v>0</x:v>
      </x:c>
      <x:c r="AX413" s="18" t="n">
        <x:v>0</x:v>
      </x:c>
      <x:c r="AY413" s="18" t="n">
        <x:v>0</x:v>
      </x:c>
      <x:c r="AZ413" s="18" t="n">
        <x:v>0</x:v>
      </x:c>
      <x:c r="BA413" s="18" t="n">
        <x:v>0</x:v>
      </x:c>
      <x:c r="BB413" s="18" t="n">
        <x:v>0</x:v>
      </x:c>
      <x:c r="BC413" s="18" t="n">
        <x:v>0</x:v>
      </x:c>
      <x:c r="BD413" s="18" t="n">
        <x:v>2</x:v>
      </x:c>
      <x:c r="BE413" s="18" t="n">
        <x:v>0</x:v>
      </x:c>
      <x:c r="BF413" s="18" t="n">
        <x:v>5</x:v>
      </x:c>
      <x:c r="BG413" s="18" t="n">
        <x:v>1</x:v>
      </x:c>
    </x:row>
    <x:row r="414">
      <x:c r="A414" s="29" t="str">
        <x:v>733</x:v>
      </x:c>
      <x:c r="B414" s="17" t="n">
        <x:v>3233</x:v>
      </x:c>
      <x:c r="C414" s="17" t="str">
        <x:v>מרכז קהילתי בית נגלר</x:v>
      </x:c>
      <x:c r="D414" s="17" t="str">
        <x:v>בן צבי יצחק 14</x:v>
      </x:c>
      <x:c r="E414" s="17" t="str">
        <x:v>גבוה מאוד</x:v>
      </x:c>
      <x:c r="F414" s="18" t="n">
        <x:v>586</x:v>
      </x:c>
      <x:c r="G414" s="18" t="n">
        <x:v>391</x:v>
      </x:c>
      <x:c r="H414" s="19" t="n">
        <x:f>IFERROR(G414/F414,0)</x:f>
        <x:v>0.6672354948805461</x:v>
      </x:c>
      <x:c r="I414" s="18" t="n">
        <x:v>1</x:v>
      </x:c>
      <x:c r="J414" s="18" t="n">
        <x:v>390</x:v>
      </x:c>
      <x:c r="K414" s="18" t="n">
        <x:f>SUM(AM414,BF414,W414,AD414)</x:f>
        <x:v>173</x:v>
      </x:c>
      <x:c r="L414" s="18" t="n">
        <x:f>Q414+R414</x:f>
        <x:v>211</x:v>
      </x:c>
      <x:c r="M414" s="19" t="n">
        <x:f>IFERROR(K414/J414,0)</x:f>
        <x:v>0.44358974358974357</x:v>
      </x:c>
      <x:c r="N414" s="19" t="n">
        <x:f>IFERROR(L414/J414,0)</x:f>
        <x:v>0.541025641025641</x:v>
      </x:c>
      <x:c r="O414" s="17" t="str">
        <x:f>IF(K414&gt;MAX(L414,S414),"קואליציית ההקמה 2022",IF(L414&gt;MAX(K414,S414),"אופוזיציה רחבה 2022","רשימות אחרות"))</x:f>
        <x:v>אופוזיציה רחבה 2022</x:v>
      </x:c>
      <x:c r="P414" s="17" t="str">
        <x:f>IF(AND(H414&lt;50%,N414&gt;50%),"כן","לא")</x:f>
        <x:v>לא</x:v>
      </x:c>
      <x:c r="Q414" s="18" t="n">
        <x:f>SUM(AV414,AJ414,AL414,T414,AN414)</x:f>
        <x:v>211</x:v>
      </x:c>
      <x:c r="R414" s="18" t="n">
        <x:f>SUM(Y414,AU414,X414)</x:f>
        <x:v>0</x:v>
      </x:c>
      <x:c r="S414" s="18" t="n">
        <x:f>J414-K414-L414</x:f>
        <x:v>6</x:v>
      </x:c>
      <x:c r="T414" s="18" t="n">
        <x:v>15</x:v>
      </x:c>
      <x:c r="U414" s="18" t="n">
        <x:v>1</x:v>
      </x:c>
      <x:c r="V414" s="18" t="n">
        <x:v>0</x:v>
      </x:c>
      <x:c r="W414" s="18" t="n">
        <x:v>2</x:v>
      </x:c>
      <x:c r="X414" s="18" t="n">
        <x:v>0</x:v>
      </x:c>
      <x:c r="Y414" s="18" t="n">
        <x:v>0</x:v>
      </x:c>
      <x:c r="Z414" s="18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33</x:v>
      </x:c>
      <x:c r="AE414" s="18" t="n">
        <x:v>0</x:v>
      </x:c>
      <x:c r="AF414" s="18" t="n">
        <x:v>4</x:v>
      </x:c>
      <x:c r="AG414" s="18" t="n">
        <x:v>0</x:v>
      </x:c>
      <x:c r="AH414" s="18" t="n">
        <x:v>0</x:v>
      </x:c>
      <x:c r="AI414" s="18" t="n">
        <x:v>0</x:v>
      </x:c>
      <x:c r="AJ414" s="18" t="n">
        <x:v>70</x:v>
      </x:c>
      <x:c r="AK414" s="18" t="n">
        <x:v>0</x:v>
      </x:c>
      <x:c r="AL414" s="18" t="n">
        <x:v>4</x:v>
      </x:c>
      <x:c r="AM414" s="18" t="n">
        <x:v>130</x:v>
      </x:c>
      <x:c r="AN414" s="18" t="n">
        <x:v>8</x:v>
      </x:c>
      <x:c r="AO414" s="18" t="n">
        <x:v>0</x:v>
      </x:c>
      <x:c r="AP414" s="18" t="n">
        <x:v>0</x:v>
      </x:c>
      <x:c r="AQ414" s="18" t="n">
        <x:v>0</x:v>
      </x:c>
      <x:c r="AR414" s="18" t="n">
        <x:v>0</x:v>
      </x:c>
      <x:c r="AS414" s="18" t="n">
        <x:v>0</x:v>
      </x:c>
      <x:c r="AT414" s="18" t="n">
        <x:v>0</x:v>
      </x:c>
      <x:c r="AU414" s="18" t="n">
        <x:v>0</x:v>
      </x:c>
      <x:c r="AV414" s="18" t="n">
        <x:v>114</x:v>
      </x:c>
      <x:c r="AW414" s="18" t="n">
        <x:v>0</x:v>
      </x:c>
      <x:c r="AX414" s="18" t="n">
        <x:v>1</x:v>
      </x:c>
      <x:c r="AY414" s="18" t="n">
        <x:v>0</x:v>
      </x:c>
      <x:c r="AZ414" s="18" t="n">
        <x:v>0</x:v>
      </x:c>
      <x:c r="BA414" s="18" t="n">
        <x:v>0</x:v>
      </x:c>
      <x:c r="BB414" s="18" t="n">
        <x:v>0</x:v>
      </x:c>
      <x:c r="BC414" s="18" t="n">
        <x:v>0</x:v>
      </x:c>
      <x:c r="BD414" s="18" t="n">
        <x:v>0</x:v>
      </x:c>
      <x:c r="BE414" s="18" t="n">
        <x:v>0</x:v>
      </x:c>
      <x:c r="BF414" s="18" t="n">
        <x:v>8</x:v>
      </x:c>
      <x:c r="BG414" s="18" t="n">
        <x:v>0</x:v>
      </x:c>
    </x:row>
    <x:row r="415">
      <x:c r="A415" s="29" t="str">
        <x:v>739</x:v>
      </x:c>
      <x:c r="B415" s="17" t="n">
        <x:v>3234</x:v>
      </x:c>
      <x:c r="C415" s="17" t="str">
        <x:v>מרכז קהילתי בית נגלר</x:v>
      </x:c>
      <x:c r="D415" s="17" t="str">
        <x:v>בן צבי יצחק 14</x:v>
      </x:c>
      <x:c r="E415" s="17" t="str">
        <x:v>גבוה מאוד</x:v>
      </x:c>
      <x:c r="F415" s="18" t="n">
        <x:v>505</x:v>
      </x:c>
      <x:c r="G415" s="18" t="n">
        <x:v>232</x:v>
      </x:c>
      <x:c r="H415" s="19" t="n">
        <x:f>IFERROR(G415/F415,0)</x:f>
        <x:v>0.4594059405940594</x:v>
      </x:c>
      <x:c r="I415" s="18" t="n">
        <x:v>1</x:v>
      </x:c>
      <x:c r="J415" s="18" t="n">
        <x:v>231</x:v>
      </x:c>
      <x:c r="K415" s="18" t="n">
        <x:f>SUM(AM415,BF415,W415,AD415)</x:f>
        <x:v>150</x:v>
      </x:c>
      <x:c r="L415" s="18" t="n">
        <x:f>Q415+R415</x:f>
        <x:v>73</x:v>
      </x:c>
      <x:c r="M415" s="19" t="n">
        <x:f>IFERROR(K415/J415,0)</x:f>
        <x:v>0.6493506493506493</x:v>
      </x:c>
      <x:c r="N415" s="19" t="n">
        <x:f>IFERROR(L415/J415,0)</x:f>
        <x:v>0.31601731601731603</x:v>
      </x:c>
      <x:c r="O415" s="17" t="str">
        <x:f>IF(K415&gt;MAX(L415,S415),"קואליציית ההקמה 2022",IF(L415&gt;MAX(K415,S415),"אופוזיציה רחבה 2022","רשימות אחרות"))</x:f>
        <x:v>קואליציית ההקמה 2022</x:v>
      </x:c>
      <x:c r="P415" s="17" t="str">
        <x:f>IF(AND(H415&lt;50%,N415&gt;50%),"כן","לא")</x:f>
        <x:v>לא</x:v>
      </x:c>
      <x:c r="Q415" s="18" t="n">
        <x:f>SUM(AV415,AJ415,AL415,T415,AN415)</x:f>
        <x:v>73</x:v>
      </x:c>
      <x:c r="R415" s="18" t="n">
        <x:f>SUM(Y415,AU415,X415)</x:f>
        <x:v>0</x:v>
      </x:c>
      <x:c r="S415" s="18" t="n">
        <x:f>J415-K415-L415</x:f>
        <x:v>8</x:v>
      </x:c>
      <x:c r="T415" s="18" t="n">
        <x:v>3</x:v>
      </x:c>
      <x:c r="U415" s="18" t="n">
        <x:v>0</x:v>
      </x:c>
      <x:c r="V415" s="18" t="n">
        <x:v>0</x:v>
      </x:c>
      <x:c r="W415" s="18" t="n">
        <x:v>2</x:v>
      </x:c>
      <x:c r="X415" s="18" t="n">
        <x:v>0</x:v>
      </x:c>
      <x:c r="Y415" s="18" t="n">
        <x:v>0</x:v>
      </x:c>
      <x:c r="Z415" s="18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26</x:v>
      </x:c>
      <x:c r="AE415" s="18" t="n">
        <x:v>0</x:v>
      </x:c>
      <x:c r="AF415" s="18" t="n">
        <x:v>3</x:v>
      </x:c>
      <x:c r="AG415" s="18" t="n">
        <x:v>0</x:v>
      </x:c>
      <x:c r="AH415" s="18" t="n">
        <x:v>0</x:v>
      </x:c>
      <x:c r="AI415" s="18" t="n">
        <x:v>0</x:v>
      </x:c>
      <x:c r="AJ415" s="18" t="n">
        <x:v>29</x:v>
      </x:c>
      <x:c r="AK415" s="18" t="n">
        <x:v>0</x:v>
      </x:c>
      <x:c r="AL415" s="18" t="n">
        <x:v>18</x:v>
      </x:c>
      <x:c r="AM415" s="18" t="n">
        <x:v>112</x:v>
      </x:c>
      <x:c r="AN415" s="18" t="n">
        <x:v>1</x:v>
      </x:c>
      <x:c r="AO415" s="18" t="n">
        <x:v>0</x:v>
      </x:c>
      <x:c r="AP415" s="18" t="n">
        <x:v>1</x:v>
      </x:c>
      <x:c r="AQ415" s="18" t="n">
        <x:v>0</x:v>
      </x:c>
      <x:c r="AR415" s="18" t="n">
        <x:v>0</x:v>
      </x:c>
      <x:c r="AS415" s="18" t="n">
        <x:v>0</x:v>
      </x:c>
      <x:c r="AT415" s="18" t="n">
        <x:v>0</x:v>
      </x:c>
      <x:c r="AU415" s="18" t="n">
        <x:v>0</x:v>
      </x:c>
      <x:c r="AV415" s="18" t="n">
        <x:v>22</x:v>
      </x:c>
      <x:c r="AW415" s="18" t="n">
        <x:v>1</x:v>
      </x:c>
      <x:c r="AX415" s="18" t="n">
        <x:v>1</x:v>
      </x:c>
      <x:c r="AY415" s="18" t="n">
        <x:v>1</x:v>
      </x:c>
      <x:c r="AZ415" s="18" t="n">
        <x:v>0</x:v>
      </x:c>
      <x:c r="BA415" s="18" t="n">
        <x:v>0</x:v>
      </x:c>
      <x:c r="BB415" s="18" t="n">
        <x:v>1</x:v>
      </x:c>
      <x:c r="BC415" s="18" t="n">
        <x:v>0</x:v>
      </x:c>
      <x:c r="BD415" s="18" t="n">
        <x:v>0</x:v>
      </x:c>
      <x:c r="BE415" s="18" t="n">
        <x:v>0</x:v>
      </x:c>
      <x:c r="BF415" s="18" t="n">
        <x:v>10</x:v>
      </x:c>
      <x:c r="BG415" s="18" t="n">
        <x:v>0</x:v>
      </x:c>
    </x:row>
    <x:row r="416">
      <x:c r="A416" s="29" t="str">
        <x:v>742</x:v>
      </x:c>
      <x:c r="B416" s="17" t="n">
        <x:v>3235</x:v>
      </x:c>
      <x:c r="C416" s="17" t="str">
        <x:v>גן "כוכבית"</x:v>
      </x:c>
      <x:c r="D416" s="17" t="str">
        <x:v>הפלוגות 14</x:v>
      </x:c>
      <x:c r="E416" s="17" t="str">
        <x:v>בינוני-גבוה</x:v>
      </x:c>
      <x:c r="F416" s="18" t="n">
        <x:v>667</x:v>
      </x:c>
      <x:c r="G416" s="18" t="n">
        <x:v>477</x:v>
      </x:c>
      <x:c r="H416" s="19" t="n">
        <x:f>IFERROR(G416/F416,0)</x:f>
        <x:v>0.7151424287856072</x:v>
      </x:c>
      <x:c r="I416" s="18" t="n">
        <x:v>2</x:v>
      </x:c>
      <x:c r="J416" s="18" t="n">
        <x:v>475</x:v>
      </x:c>
      <x:c r="K416" s="18" t="n">
        <x:f>SUM(AM416,BF416,W416,AD416)</x:f>
        <x:v>206</x:v>
      </x:c>
      <x:c r="L416" s="18" t="n">
        <x:f>Q416+R416</x:f>
        <x:v>259</x:v>
      </x:c>
      <x:c r="M416" s="19" t="n">
        <x:f>IFERROR(K416/J416,0)</x:f>
        <x:v>0.4336842105263158</x:v>
      </x:c>
      <x:c r="N416" s="19" t="n">
        <x:f>IFERROR(L416/J416,0)</x:f>
        <x:v>0.5452631578947369</x:v>
      </x:c>
      <x:c r="O416" s="17" t="str">
        <x:f>IF(K416&gt;MAX(L416,S416),"קואליציית ההקמה 2022",IF(L416&gt;MAX(K416,S416),"אופוזיציה רחבה 2022","רשימות אחרות"))</x:f>
        <x:v>אופוזיציה רחבה 2022</x:v>
      </x:c>
      <x:c r="P416" s="17" t="str">
        <x:f>IF(AND(H416&lt;50%,N416&gt;50%),"כן","לא")</x:f>
        <x:v>לא</x:v>
      </x:c>
      <x:c r="Q416" s="18" t="n">
        <x:f>SUM(AV416,AJ416,AL416,T416,AN416)</x:f>
        <x:v>259</x:v>
      </x:c>
      <x:c r="R416" s="18" t="n">
        <x:f>SUM(Y416,AU416,X416)</x:f>
        <x:v>0</x:v>
      </x:c>
      <x:c r="S416" s="18" t="n">
        <x:f>J416-K416-L416</x:f>
        <x:v>10</x:v>
      </x:c>
      <x:c r="T416" s="18" t="n">
        <x:v>26</x:v>
      </x:c>
      <x:c r="U416" s="18" t="n">
        <x:v>2</x:v>
      </x:c>
      <x:c r="V416" s="18" t="n">
        <x:v>6</x:v>
      </x:c>
      <x:c r="W416" s="18" t="n">
        <x:v>1</x:v>
      </x:c>
      <x:c r="X416" s="18" t="n">
        <x:v>0</x:v>
      </x:c>
      <x:c r="Y416" s="18" t="n">
        <x:v>0</x:v>
      </x:c>
      <x:c r="Z416" s="18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38</x:v>
      </x:c>
      <x:c r="AE416" s="18" t="n">
        <x:v>0</x:v>
      </x:c>
      <x:c r="AF416" s="18" t="n">
        <x:v>1</x:v>
      </x:c>
      <x:c r="AG416" s="18" t="n">
        <x:v>0</x:v>
      </x:c>
      <x:c r="AH416" s="18" t="n">
        <x:v>0</x:v>
      </x:c>
      <x:c r="AI416" s="18" t="n">
        <x:v>0</x:v>
      </x:c>
      <x:c r="AJ416" s="18" t="n">
        <x:v>64</x:v>
      </x:c>
      <x:c r="AK416" s="18" t="n">
        <x:v>0</x:v>
      </x:c>
      <x:c r="AL416" s="18" t="n">
        <x:v>16</x:v>
      </x:c>
      <x:c r="AM416" s="18" t="n">
        <x:v>160</x:v>
      </x:c>
      <x:c r="AN416" s="18" t="n">
        <x:v>4</x:v>
      </x:c>
      <x:c r="AO416" s="18" t="n">
        <x:v>0</x:v>
      </x:c>
      <x:c r="AP416" s="18" t="n">
        <x:v>0</x:v>
      </x:c>
      <x:c r="AQ416" s="18" t="n">
        <x:v>0</x:v>
      </x:c>
      <x:c r="AR416" s="18" t="n">
        <x:v>0</x:v>
      </x:c>
      <x:c r="AS416" s="18" t="n">
        <x:v>0</x:v>
      </x:c>
      <x:c r="AT416" s="18" t="n">
        <x:v>0</x:v>
      </x:c>
      <x:c r="AU416" s="18" t="n">
        <x:v>0</x:v>
      </x:c>
      <x:c r="AV416" s="18" t="n">
        <x:v>149</x:v>
      </x:c>
      <x:c r="AW416" s="18" t="n">
        <x:v>0</x:v>
      </x:c>
      <x:c r="AX416" s="18" t="n">
        <x:v>0</x:v>
      </x:c>
      <x:c r="AY416" s="18" t="n">
        <x:v>0</x:v>
      </x:c>
      <x:c r="AZ416" s="18" t="n">
        <x:v>0</x:v>
      </x:c>
      <x:c r="BA416" s="18" t="n">
        <x:v>0</x:v>
      </x:c>
      <x:c r="BB416" s="18" t="n">
        <x:v>0</x:v>
      </x:c>
      <x:c r="BC416" s="18" t="n">
        <x:v>0</x:v>
      </x:c>
      <x:c r="BD416" s="18" t="n">
        <x:v>1</x:v>
      </x:c>
      <x:c r="BE416" s="18" t="n">
        <x:v>0</x:v>
      </x:c>
      <x:c r="BF416" s="18" t="n">
        <x:v>7</x:v>
      </x:c>
      <x:c r="BG416" s="18" t="n">
        <x:v>0</x:v>
      </x:c>
    </x:row>
    <x:row r="417">
      <x:c r="A417" s="29" t="str">
        <x:v>958</x:v>
      </x:c>
      <x:c r="B417" s="17" t="n">
        <x:v>3154</x:v>
      </x:c>
      <x:c r="C417" s="17" t="str">
        <x:v>בי"ס תיכון עירוני ג</x:v>
      </x:c>
      <x:c r="D417" s="17" t="str">
        <x:v>גדליהו 22</x:v>
      </x:c>
      <x:c r="E417" s="17" t="str">
        <x:v>גבוה מאוד</x:v>
      </x:c>
      <x:c r="F417" s="18" t="n">
        <x:v>589</x:v>
      </x:c>
      <x:c r="G417" s="18" t="n">
        <x:v>221</x:v>
      </x:c>
      <x:c r="H417" s="19" t="n">
        <x:f>IFERROR(G417/F417,0)</x:f>
        <x:v>0.37521222410865873</x:v>
      </x:c>
      <x:c r="I417" s="18" t="n">
        <x:v>0</x:v>
      </x:c>
      <x:c r="J417" s="18" t="n">
        <x:v>221</x:v>
      </x:c>
      <x:c r="K417" s="18" t="n">
        <x:f>SUM(AM417,BF417,W417,AD417)</x:f>
        <x:v>73</x:v>
      </x:c>
      <x:c r="L417" s="18" t="n">
        <x:f>Q417+R417</x:f>
        <x:v>122</x:v>
      </x:c>
      <x:c r="M417" s="19" t="n">
        <x:f>IFERROR(K417/J417,0)</x:f>
        <x:v>0.33031674208144796</x:v>
      </x:c>
      <x:c r="N417" s="19" t="n">
        <x:f>IFERROR(L417/J417,0)</x:f>
        <x:v>0.5520361990950227</x:v>
      </x:c>
      <x:c r="O417" s="17" t="str">
        <x:f>IF(K417&gt;MAX(L417,S417),"קואליציית ההקמה 2022",IF(L417&gt;MAX(K417,S417),"אופוזיציה רחבה 2022","רשימות אחרות"))</x:f>
        <x:v>אופוזיציה רחבה 2022</x:v>
      </x:c>
      <x:c r="P417" s="17" t="str">
        <x:f>IF(AND(H417&lt;50%,N417&gt;50%),"כן","לא")</x:f>
        <x:v>כן</x:v>
      </x:c>
      <x:c r="Q417" s="18" t="n">
        <x:f>SUM(AV417,AJ417,AL417,T417,AN417)</x:f>
        <x:v>118</x:v>
      </x:c>
      <x:c r="R417" s="18" t="n">
        <x:f>SUM(Y417,AU417,X417)</x:f>
        <x:v>4</x:v>
      </x:c>
      <x:c r="S417" s="18" t="n">
        <x:f>J417-K417-L417</x:f>
        <x:v>26</x:v>
      </x:c>
      <x:c r="T417" s="18" t="n">
        <x:v>24</x:v>
      </x:c>
      <x:c r="U417" s="18" t="n">
        <x:v>5</x:v>
      </x:c>
      <x:c r="V417" s="18" t="n">
        <x:v>16</x:v>
      </x:c>
      <x:c r="W417" s="18" t="n">
        <x:v>2</x:v>
      </x:c>
      <x:c r="X417" s="18" t="n">
        <x:v>3</x:v>
      </x:c>
      <x:c r="Y417" s="18" t="n">
        <x:v>1</x:v>
      </x:c>
      <x:c r="Z417" s="18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44</x:v>
      </x:c>
      <x:c r="AE417" s="18" t="n">
        <x:v>1</x:v>
      </x:c>
      <x:c r="AF417" s="18" t="n">
        <x:v>3</x:v>
      </x:c>
      <x:c r="AG417" s="18" t="n">
        <x:v>0</x:v>
      </x:c>
      <x:c r="AH417" s="18" t="n">
        <x:v>0</x:v>
      </x:c>
      <x:c r="AI417" s="18" t="n">
        <x:v>0</x:v>
      </x:c>
      <x:c r="AJ417" s="18" t="n">
        <x:v>20</x:v>
      </x:c>
      <x:c r="AK417" s="18" t="n">
        <x:v>0</x:v>
      </x:c>
      <x:c r="AL417" s="18" t="n">
        <x:v>17</x:v>
      </x:c>
      <x:c r="AM417" s="18" t="n">
        <x:v>23</x:v>
      </x:c>
      <x:c r="AN417" s="18" t="n">
        <x:v>9</x:v>
      </x:c>
      <x:c r="AO417" s="18" t="n">
        <x:v>0</x:v>
      </x:c>
      <x:c r="AP417" s="18" t="n">
        <x:v>0</x:v>
      </x:c>
      <x:c r="AQ417" s="18" t="n">
        <x:v>0</x:v>
      </x:c>
      <x:c r="AR417" s="18" t="n">
        <x:v>0</x:v>
      </x:c>
      <x:c r="AS417" s="18" t="n">
        <x:v>0</x:v>
      </x:c>
      <x:c r="AT417" s="18" t="n">
        <x:v>0</x:v>
      </x:c>
      <x:c r="AU417" s="18" t="n">
        <x:v>0</x:v>
      </x:c>
      <x:c r="AV417" s="18" t="n">
        <x:v>48</x:v>
      </x:c>
      <x:c r="AW417" s="18" t="n">
        <x:v>0</x:v>
      </x:c>
      <x:c r="AX417" s="18" t="n">
        <x:v>1</x:v>
      </x:c>
      <x:c r="AY417" s="18" t="n">
        <x:v>0</x:v>
      </x:c>
      <x:c r="AZ417" s="18" t="n">
        <x:v>0</x:v>
      </x:c>
      <x:c r="BA417" s="18" t="n">
        <x:v>0</x:v>
      </x:c>
      <x:c r="BB417" s="18" t="n">
        <x:v>0</x:v>
      </x:c>
      <x:c r="BC417" s="18" t="n">
        <x:v>0</x:v>
      </x:c>
      <x:c r="BD417" s="18" t="n">
        <x:v>0</x:v>
      </x:c>
      <x:c r="BE417" s="18" t="n">
        <x:v>0</x:v>
      </x:c>
      <x:c r="BF417" s="18" t="n">
        <x:v>4</x:v>
      </x:c>
      <x:c r="BG417" s="18" t="n">
        <x:v>0</x:v>
      </x:c>
    </x:row>
    <x:row r="418">
      <x:c r="A418" s="29" t="str">
        <x:v>960.1</x:v>
      </x:c>
      <x:c r="B418" s="17" t="n">
        <x:v>3007</x:v>
      </x:c>
      <x:c r="C418" s="17" t="str">
        <x:v>בי"ס נירים</x:v>
      </x:c>
      <x:c r="D418" s="17" t="str">
        <x:v>יהושפט המלך 6</x:v>
      </x:c>
      <x:c r="E418" s="17" t="str">
        <x:v>גבוה מאוד</x:v>
      </x:c>
      <x:c r="F418" s="18" t="n">
        <x:v>621</x:v>
      </x:c>
      <x:c r="G418" s="18" t="n">
        <x:v>259</x:v>
      </x:c>
      <x:c r="H418" s="19" t="n">
        <x:f>IFERROR(G418/F418,0)</x:f>
        <x:v>0.4170692431561997</x:v>
      </x:c>
      <x:c r="I418" s="18" t="n">
        <x:v>2</x:v>
      </x:c>
      <x:c r="J418" s="18" t="n">
        <x:v>257</x:v>
      </x:c>
      <x:c r="K418" s="18" t="n">
        <x:f>SUM(AM418,BF418,W418,AD418)</x:f>
        <x:v>154</x:v>
      </x:c>
      <x:c r="L418" s="18" t="n">
        <x:f>Q418+R418</x:f>
        <x:v>94</x:v>
      </x:c>
      <x:c r="M418" s="19" t="n">
        <x:f>IFERROR(K418/J418,0)</x:f>
        <x:v>0.5992217898832685</x:v>
      </x:c>
      <x:c r="N418" s="19" t="n">
        <x:f>IFERROR(L418/J418,0)</x:f>
        <x:v>0.3657587548638132</x:v>
      </x:c>
      <x:c r="O418" s="17" t="str">
        <x:f>IF(K418&gt;MAX(L418,S418),"קואליציית ההקמה 2022",IF(L418&gt;MAX(K418,S418),"אופוזיציה רחבה 2022","רשימות אחרות"))</x:f>
        <x:v>קואליציית ההקמה 2022</x:v>
      </x:c>
      <x:c r="P418" s="17" t="str">
        <x:f>IF(AND(H418&lt;50%,N418&gt;50%),"כן","לא")</x:f>
        <x:v>לא</x:v>
      </x:c>
      <x:c r="Q418" s="18" t="n">
        <x:f>SUM(AV418,AJ418,AL418,T418,AN418)</x:f>
        <x:v>83</x:v>
      </x:c>
      <x:c r="R418" s="18" t="n">
        <x:f>SUM(Y418,AU418,X418)</x:f>
        <x:v>11</x:v>
      </x:c>
      <x:c r="S418" s="18" t="n">
        <x:f>J418-K418-L418</x:f>
        <x:v>9</x:v>
      </x:c>
      <x:c r="T418" s="18" t="n">
        <x:v>5</x:v>
      </x:c>
      <x:c r="U418" s="18" t="n">
        <x:v>3</x:v>
      </x:c>
      <x:c r="V418" s="18" t="n">
        <x:v>1</x:v>
      </x:c>
      <x:c r="W418" s="18" t="n">
        <x:v>1</x:v>
      </x:c>
      <x:c r="X418" s="18" t="n">
        <x:v>1</x:v>
      </x:c>
      <x:c r="Y418" s="18" t="n">
        <x:v>7</x:v>
      </x:c>
      <x:c r="Z418" s="18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22</x:v>
      </x:c>
      <x:c r="AE418" s="18" t="n">
        <x:v>0</x:v>
      </x:c>
      <x:c r="AF418" s="18" t="n">
        <x:v>1</x:v>
      </x:c>
      <x:c r="AG418" s="18" t="n">
        <x:v>1</x:v>
      </x:c>
      <x:c r="AH418" s="18" t="n">
        <x:v>0</x:v>
      </x:c>
      <x:c r="AI418" s="18" t="n">
        <x:v>0</x:v>
      </x:c>
      <x:c r="AJ418" s="18" t="n">
        <x:v>26</x:v>
      </x:c>
      <x:c r="AK418" s="18" t="n">
        <x:v>0</x:v>
      </x:c>
      <x:c r="AL418" s="18" t="n">
        <x:v>26</x:v>
      </x:c>
      <x:c r="AM418" s="18" t="n">
        <x:v>113</x:v>
      </x:c>
      <x:c r="AN418" s="18" t="n">
        <x:v>3</x:v>
      </x:c>
      <x:c r="AO418" s="18" t="n">
        <x:v>0</x:v>
      </x:c>
      <x:c r="AP418" s="18" t="n">
        <x:v>0</x:v>
      </x:c>
      <x:c r="AQ418" s="18" t="n">
        <x:v>1</x:v>
      </x:c>
      <x:c r="AR418" s="18" t="n">
        <x:v>0</x:v>
      </x:c>
      <x:c r="AS418" s="18" t="n">
        <x:v>0</x:v>
      </x:c>
      <x:c r="AT418" s="18" t="n">
        <x:v>0</x:v>
      </x:c>
      <x:c r="AU418" s="18" t="n">
        <x:v>3</x:v>
      </x:c>
      <x:c r="AV418" s="18" t="n">
        <x:v>23</x:v>
      </x:c>
      <x:c r="AW418" s="18" t="n">
        <x:v>0</x:v>
      </x:c>
      <x:c r="AX418" s="18" t="n">
        <x:v>1</x:v>
      </x:c>
      <x:c r="AY418" s="18" t="n">
        <x:v>0</x:v>
      </x:c>
      <x:c r="AZ418" s="18" t="n">
        <x:v>0</x:v>
      </x:c>
      <x:c r="BA418" s="18" t="n">
        <x:v>0</x:v>
      </x:c>
      <x:c r="BB418" s="18" t="n">
        <x:v>1</x:v>
      </x:c>
      <x:c r="BC418" s="18" t="n">
        <x:v>0</x:v>
      </x:c>
      <x:c r="BD418" s="18" t="n">
        <x:v>0</x:v>
      </x:c>
      <x:c r="BE418" s="18" t="n">
        <x:v>0</x:v>
      </x:c>
      <x:c r="BF418" s="18" t="n">
        <x:v>18</x:v>
      </x:c>
      <x:c r="BG418" s="18" t="n">
        <x:v>0</x:v>
      </x:c>
    </x:row>
    <x:row r="419">
      <x:c r="A419" s="29" t="str">
        <x:v>960.2</x:v>
      </x:c>
      <x:c r="B419" s="17" t="n">
        <x:v>3008</x:v>
      </x:c>
      <x:c r="C419" s="17" t="str">
        <x:v>בי"ס נירים</x:v>
      </x:c>
      <x:c r="D419" s="17" t="str">
        <x:v>יהושפט המלך 6</x:v>
      </x:c>
      <x:c r="E419" s="17" t="str">
        <x:v>גבוה מאוד</x:v>
      </x:c>
      <x:c r="F419" s="18" t="n">
        <x:v>621</x:v>
      </x:c>
      <x:c r="G419" s="18" t="n">
        <x:v>238</x:v>
      </x:c>
      <x:c r="H419" s="19" t="n">
        <x:f>IFERROR(G419/F419,0)</x:f>
        <x:v>0.3832528180354267</x:v>
      </x:c>
      <x:c r="I419" s="18" t="n">
        <x:v>3</x:v>
      </x:c>
      <x:c r="J419" s="18" t="n">
        <x:v>235</x:v>
      </x:c>
      <x:c r="K419" s="18" t="n">
        <x:f>SUM(AM419,BF419,W419,AD419)</x:f>
        <x:v>141</x:v>
      </x:c>
      <x:c r="L419" s="18" t="n">
        <x:f>Q419+R419</x:f>
        <x:v>86</x:v>
      </x:c>
      <x:c r="M419" s="19" t="n">
        <x:f>IFERROR(K419/J419,0)</x:f>
        <x:v>0.6</x:v>
      </x:c>
      <x:c r="N419" s="19" t="n">
        <x:f>IFERROR(L419/J419,0)</x:f>
        <x:v>0.3659574468085106</x:v>
      </x:c>
      <x:c r="O419" s="17" t="str">
        <x:f>IF(K419&gt;MAX(L419,S419),"קואליציית ההקמה 2022",IF(L419&gt;MAX(K419,S419),"אופוזיציה רחבה 2022","רשימות אחרות"))</x:f>
        <x:v>קואליציית ההקמה 2022</x:v>
      </x:c>
      <x:c r="P419" s="17" t="str">
        <x:f>IF(AND(H419&lt;50%,N419&gt;50%),"כן","לא")</x:f>
        <x:v>לא</x:v>
      </x:c>
      <x:c r="Q419" s="18" t="n">
        <x:f>SUM(AV419,AJ419,AL419,T419,AN419)</x:f>
        <x:v>74</x:v>
      </x:c>
      <x:c r="R419" s="18" t="n">
        <x:f>SUM(Y419,AU419,X419)</x:f>
        <x:v>12</x:v>
      </x:c>
      <x:c r="S419" s="18" t="n">
        <x:f>J419-K419-L419</x:f>
        <x:v>8</x:v>
      </x:c>
      <x:c r="T419" s="18" t="n">
        <x:v>5</x:v>
      </x:c>
      <x:c r="U419" s="18" t="n">
        <x:v>0</x:v>
      </x:c>
      <x:c r="V419" s="18" t="n">
        <x:v>1</x:v>
      </x:c>
      <x:c r="W419" s="18" t="n">
        <x:v>2</x:v>
      </x:c>
      <x:c r="X419" s="18" t="n">
        <x:v>3</x:v>
      </x:c>
      <x:c r="Y419" s="18" t="n">
        <x:v>7</x:v>
      </x:c>
      <x:c r="Z419" s="18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17</x:v>
      </x:c>
      <x:c r="AE419" s="18" t="n">
        <x:v>0</x:v>
      </x:c>
      <x:c r="AF419" s="18" t="n">
        <x:v>2</x:v>
      </x:c>
      <x:c r="AG419" s="18" t="n">
        <x:v>0</x:v>
      </x:c>
      <x:c r="AH419" s="18" t="n">
        <x:v>0</x:v>
      </x:c>
      <x:c r="AI419" s="18" t="n">
        <x:v>0</x:v>
      </x:c>
      <x:c r="AJ419" s="18" t="n">
        <x:v>13</x:v>
      </x:c>
      <x:c r="AK419" s="18" t="n">
        <x:v>0</x:v>
      </x:c>
      <x:c r="AL419" s="18" t="n">
        <x:v>25</x:v>
      </x:c>
      <x:c r="AM419" s="18" t="n">
        <x:v>106</x:v>
      </x:c>
      <x:c r="AN419" s="18" t="n">
        <x:v>5</x:v>
      </x:c>
      <x:c r="AO419" s="18" t="n">
        <x:v>0</x:v>
      </x:c>
      <x:c r="AP419" s="18" t="n">
        <x:v>0</x:v>
      </x:c>
      <x:c r="AQ419" s="18" t="n">
        <x:v>0</x:v>
      </x:c>
      <x:c r="AR419" s="18" t="n">
        <x:v>0</x:v>
      </x:c>
      <x:c r="AS419" s="18" t="n">
        <x:v>0</x:v>
      </x:c>
      <x:c r="AT419" s="18" t="n">
        <x:v>0</x:v>
      </x:c>
      <x:c r="AU419" s="18" t="n">
        <x:v>2</x:v>
      </x:c>
      <x:c r="AV419" s="18" t="n">
        <x:v>26</x:v>
      </x:c>
      <x:c r="AW419" s="18" t="n">
        <x:v>0</x:v>
      </x:c>
      <x:c r="AX419" s="18" t="n">
        <x:v>2</x:v>
      </x:c>
      <x:c r="AY419" s="18" t="n">
        <x:v>0</x:v>
      </x:c>
      <x:c r="AZ419" s="18" t="n">
        <x:v>0</x:v>
      </x:c>
      <x:c r="BA419" s="18" t="n">
        <x:v>0</x:v>
      </x:c>
      <x:c r="BB419" s="18" t="n">
        <x:v>1</x:v>
      </x:c>
      <x:c r="BC419" s="18" t="n">
        <x:v>0</x:v>
      </x:c>
      <x:c r="BD419" s="18" t="n">
        <x:v>1</x:v>
      </x:c>
      <x:c r="BE419" s="18" t="n">
        <x:v>1</x:v>
      </x:c>
      <x:c r="BF419" s="18" t="n">
        <x:v>16</x:v>
      </x:c>
      <x:c r="BG419" s="18" t="n">
        <x:v>0</x:v>
      </x:c>
    </x:row>
    <x:row r="420">
      <x:c r="A420" s="29" t="str">
        <x:v>960.3</x:v>
      </x:c>
      <x:c r="B420" s="17" t="n">
        <x:v>3009</x:v>
      </x:c>
      <x:c r="C420" s="17" t="str">
        <x:v>בי"ס נירים</x:v>
      </x:c>
      <x:c r="D420" s="17" t="str">
        <x:v>יהושפט המלך 6</x:v>
      </x:c>
      <x:c r="E420" s="17" t="str">
        <x:v>גבוה מאוד</x:v>
      </x:c>
      <x:c r="F420" s="18" t="n">
        <x:v>621</x:v>
      </x:c>
      <x:c r="G420" s="18" t="n">
        <x:v>210</x:v>
      </x:c>
      <x:c r="H420" s="19" t="n">
        <x:f>IFERROR(G420/F420,0)</x:f>
        <x:v>0.33816425120772947</x:v>
      </x:c>
      <x:c r="I420" s="18" t="n">
        <x:v>3</x:v>
      </x:c>
      <x:c r="J420" s="18" t="n">
        <x:v>207</x:v>
      </x:c>
      <x:c r="K420" s="18" t="n">
        <x:f>SUM(AM420,BF420,W420,AD420)</x:f>
        <x:v>108</x:v>
      </x:c>
      <x:c r="L420" s="18" t="n">
        <x:f>Q420+R420</x:f>
        <x:v>90</x:v>
      </x:c>
      <x:c r="M420" s="19" t="n">
        <x:f>IFERROR(K420/J420,0)</x:f>
        <x:v>0.5217391304347826</x:v>
      </x:c>
      <x:c r="N420" s="19" t="n">
        <x:f>IFERROR(L420/J420,0)</x:f>
        <x:v>0.43478260869565216</x:v>
      </x:c>
      <x:c r="O420" s="17" t="str">
        <x:f>IF(K420&gt;MAX(L420,S420),"קואליציית ההקמה 2022",IF(L420&gt;MAX(K420,S420),"אופוזיציה רחבה 2022","רשימות אחרות"))</x:f>
        <x:v>קואליציית ההקמה 2022</x:v>
      </x:c>
      <x:c r="P420" s="17" t="str">
        <x:f>IF(AND(H420&lt;50%,N420&gt;50%),"כן","לא")</x:f>
        <x:v>לא</x:v>
      </x:c>
      <x:c r="Q420" s="18" t="n">
        <x:f>SUM(AV420,AJ420,AL420,T420,AN420)</x:f>
        <x:v>89</x:v>
      </x:c>
      <x:c r="R420" s="18" t="n">
        <x:f>SUM(Y420,AU420,X420)</x:f>
        <x:v>1</x:v>
      </x:c>
      <x:c r="S420" s="18" t="n">
        <x:f>J420-K420-L420</x:f>
        <x:v>9</x:v>
      </x:c>
      <x:c r="T420" s="18" t="n">
        <x:v>2</x:v>
      </x:c>
      <x:c r="U420" s="18" t="n">
        <x:v>1</x:v>
      </x:c>
      <x:c r="V420" s="18" t="n">
        <x:v>3</x:v>
      </x:c>
      <x:c r="W420" s="18" t="n">
        <x:v>1</x:v>
      </x:c>
      <x:c r="X420" s="18" t="n">
        <x:v>1</x:v>
      </x:c>
      <x:c r="Y420" s="18" t="n">
        <x:v>0</x:v>
      </x:c>
      <x:c r="Z420" s="18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30</x:v>
      </x:c>
      <x:c r="AE420" s="18" t="n">
        <x:v>0</x:v>
      </x:c>
      <x:c r="AF420" s="18" t="n">
        <x:v>1</x:v>
      </x:c>
      <x:c r="AG420" s="18" t="n">
        <x:v>0</x:v>
      </x:c>
      <x:c r="AH420" s="18" t="n">
        <x:v>0</x:v>
      </x:c>
      <x:c r="AI420" s="18" t="n">
        <x:v>0</x:v>
      </x:c>
      <x:c r="AJ420" s="18" t="n">
        <x:v>14</x:v>
      </x:c>
      <x:c r="AK420" s="18" t="n">
        <x:v>0</x:v>
      </x:c>
      <x:c r="AL420" s="18" t="n">
        <x:v>42</x:v>
      </x:c>
      <x:c r="AM420" s="18" t="n">
        <x:v>74</x:v>
      </x:c>
      <x:c r="AN420" s="18" t="n">
        <x:v>4</x:v>
      </x:c>
      <x:c r="AO420" s="18" t="n">
        <x:v>0</x:v>
      </x:c>
      <x:c r="AP420" s="18" t="n">
        <x:v>1</x:v>
      </x:c>
      <x:c r="AQ420" s="18" t="n">
        <x:v>0</x:v>
      </x:c>
      <x:c r="AR420" s="18" t="n">
        <x:v>0</x:v>
      </x:c>
      <x:c r="AS420" s="18" t="n">
        <x:v>0</x:v>
      </x:c>
      <x:c r="AT420" s="18" t="n">
        <x:v>0</x:v>
      </x:c>
      <x:c r="AU420" s="18" t="n">
        <x:v>0</x:v>
      </x:c>
      <x:c r="AV420" s="18" t="n">
        <x:v>27</x:v>
      </x:c>
      <x:c r="AW420" s="18" t="n">
        <x:v>1</x:v>
      </x:c>
      <x:c r="AX420" s="18" t="n">
        <x:v>0</x:v>
      </x:c>
      <x:c r="AY420" s="18" t="n">
        <x:v>0</x:v>
      </x:c>
      <x:c r="AZ420" s="18" t="n">
        <x:v>0</x:v>
      </x:c>
      <x:c r="BA420" s="18" t="n">
        <x:v>0</x:v>
      </x:c>
      <x:c r="BB420" s="18" t="n">
        <x:v>0</x:v>
      </x:c>
      <x:c r="BC420" s="18" t="n">
        <x:v>0</x:v>
      </x:c>
      <x:c r="BD420" s="18" t="n">
        <x:v>2</x:v>
      </x:c>
      <x:c r="BE420" s="18" t="n">
        <x:v>0</x:v>
      </x:c>
      <x:c r="BF420" s="18" t="n">
        <x:v>3</x:v>
      </x:c>
      <x:c r="BG420" s="18" t="n">
        <x:v>0</x:v>
      </x:c>
    </x:row>
    <x:row r="421">
      <x:c r="A421" s="29" t="str">
        <x:v>961</x:v>
      </x:c>
      <x:c r="B421" s="17" t="n">
        <x:v>3130</x:v>
      </x:c>
      <x:c r="C421" s="17" t="str">
        <x:v>בי"ס הבונים</x:v>
      </x:c>
      <x:c r="D421" s="17" t="str">
        <x:v>חביבה רייך 16</x:v>
      </x:c>
      <x:c r="E421" s="17" t="str">
        <x:v>גבוה</x:v>
      </x:c>
      <x:c r="F421" s="18" t="n">
        <x:v>582</x:v>
      </x:c>
      <x:c r="G421" s="18" t="n">
        <x:v>372</x:v>
      </x:c>
      <x:c r="H421" s="19" t="n">
        <x:f>IFERROR(G421/F421,0)</x:f>
        <x:v>0.6391752577319587</x:v>
      </x:c>
      <x:c r="I421" s="18" t="n">
        <x:v>1</x:v>
      </x:c>
      <x:c r="J421" s="18" t="n">
        <x:v>371</x:v>
      </x:c>
      <x:c r="K421" s="18" t="n">
        <x:f>SUM(AM421,BF421,W421,AD421)</x:f>
        <x:v>109</x:v>
      </x:c>
      <x:c r="L421" s="18" t="n">
        <x:f>Q421+R421</x:f>
        <x:v>252</x:v>
      </x:c>
      <x:c r="M421" s="19" t="n">
        <x:f>IFERROR(K421/J421,0)</x:f>
        <x:v>0.29380053908355797</x:v>
      </x:c>
      <x:c r="N421" s="19" t="n">
        <x:f>IFERROR(L421/J421,0)</x:f>
        <x:v>0.6792452830188679</x:v>
      </x:c>
      <x:c r="O421" s="17" t="str">
        <x:f>IF(K421&gt;MAX(L421,S421),"קואליציית ההקמה 2022",IF(L421&gt;MAX(K421,S421),"אופוזיציה רחבה 2022","רשימות אחרות"))</x:f>
        <x:v>אופוזיציה רחבה 2022</x:v>
      </x:c>
      <x:c r="P421" s="17" t="str">
        <x:f>IF(AND(H421&lt;50%,N421&gt;50%),"כן","לא")</x:f>
        <x:v>לא</x:v>
      </x:c>
      <x:c r="Q421" s="18" t="n">
        <x:f>SUM(AV421,AJ421,AL421,T421,AN421)</x:f>
        <x:v>251</x:v>
      </x:c>
      <x:c r="R421" s="18" t="n">
        <x:f>SUM(Y421,AU421,X421)</x:f>
        <x:v>1</x:v>
      </x:c>
      <x:c r="S421" s="18" t="n">
        <x:f>J421-K421-L421</x:f>
        <x:v>10</x:v>
      </x:c>
      <x:c r="T421" s="18" t="n">
        <x:v>12</x:v>
      </x:c>
      <x:c r="U421" s="18" t="n">
        <x:v>1</x:v>
      </x:c>
      <x:c r="V421" s="18" t="n">
        <x:v>4</x:v>
      </x:c>
      <x:c r="W421" s="18" t="n">
        <x:v>0</x:v>
      </x:c>
      <x:c r="X421" s="18" t="n">
        <x:v>0</x:v>
      </x:c>
      <x:c r="Y421" s="18" t="n">
        <x:v>1</x:v>
      </x:c>
      <x:c r="Z421" s="18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25</x:v>
      </x:c>
      <x:c r="AE421" s="18" t="n">
        <x:v>0</x:v>
      </x:c>
      <x:c r="AF421" s="18" t="n">
        <x:v>3</x:v>
      </x:c>
      <x:c r="AG421" s="18" t="n">
        <x:v>0</x:v>
      </x:c>
      <x:c r="AH421" s="18" t="n">
        <x:v>0</x:v>
      </x:c>
      <x:c r="AI421" s="18" t="n">
        <x:v>0</x:v>
      </x:c>
      <x:c r="AJ421" s="18" t="n">
        <x:v>76</x:v>
      </x:c>
      <x:c r="AK421" s="18" t="n">
        <x:v>0</x:v>
      </x:c>
      <x:c r="AL421" s="18" t="n">
        <x:v>15</x:v>
      </x:c>
      <x:c r="AM421" s="18" t="n">
        <x:v>80</x:v>
      </x:c>
      <x:c r="AN421" s="18" t="n">
        <x:v>6</x:v>
      </x:c>
      <x:c r="AO421" s="18" t="n">
        <x:v>0</x:v>
      </x:c>
      <x:c r="AP421" s="18" t="n">
        <x:v>0</x:v>
      </x:c>
      <x:c r="AQ421" s="18" t="n">
        <x:v>0</x:v>
      </x:c>
      <x:c r="AR421" s="18" t="n">
        <x:v>0</x:v>
      </x:c>
      <x:c r="AS421" s="18" t="n">
        <x:v>0</x:v>
      </x:c>
      <x:c r="AT421" s="18" t="n">
        <x:v>0</x:v>
      </x:c>
      <x:c r="AU421" s="18" t="n">
        <x:v>0</x:v>
      </x:c>
      <x:c r="AV421" s="18" t="n">
        <x:v>142</x:v>
      </x:c>
      <x:c r="AW421" s="18" t="n">
        <x:v>1</x:v>
      </x:c>
      <x:c r="AX421" s="18" t="n">
        <x:v>0</x:v>
      </x:c>
      <x:c r="AY421" s="18" t="n">
        <x:v>0</x:v>
      </x:c>
      <x:c r="AZ421" s="18" t="n">
        <x:v>0</x:v>
      </x:c>
      <x:c r="BA421" s="18" t="n">
        <x:v>0</x:v>
      </x:c>
      <x:c r="BB421" s="18" t="n">
        <x:v>0</x:v>
      </x:c>
      <x:c r="BC421" s="18" t="n">
        <x:v>0</x:v>
      </x:c>
      <x:c r="BD421" s="18" t="n">
        <x:v>1</x:v>
      </x:c>
      <x:c r="BE421" s="18" t="n">
        <x:v>0</x:v>
      </x:c>
      <x:c r="BF421" s="18" t="n">
        <x:v>4</x:v>
      </x:c>
      <x:c r="BG421" s="18" t="n">
        <x:v>0</x:v>
      </x:c>
    </x:row>
    <x:row r="422">
      <x:c r="A422" s="29" t="str">
        <x:v>963</x:v>
      </x:c>
      <x:c r="B422" s="17" t="n">
        <x:v>3155</x:v>
      </x:c>
      <x:c r="C422" s="17" t="str">
        <x:v>בי"ס תיכון עירוני ג</x:v>
      </x:c>
      <x:c r="D422" s="17" t="str">
        <x:v>גדליהו 22</x:v>
      </x:c>
      <x:c r="E422" s="17" t="str">
        <x:v>גבוה מאוד</x:v>
      </x:c>
      <x:c r="F422" s="18" t="n">
        <x:v>578</x:v>
      </x:c>
      <x:c r="G422" s="18" t="n">
        <x:v>359</x:v>
      </x:c>
      <x:c r="H422" s="19" t="n">
        <x:f>IFERROR(G422/F422,0)</x:f>
        <x:v>0.6211072664359861</x:v>
      </x:c>
      <x:c r="I422" s="18" t="n">
        <x:v>2</x:v>
      </x:c>
      <x:c r="J422" s="18" t="n">
        <x:v>357</x:v>
      </x:c>
      <x:c r="K422" s="18" t="n">
        <x:f>SUM(AM422,BF422,W422,AD422)</x:f>
        <x:v>170</x:v>
      </x:c>
      <x:c r="L422" s="18" t="n">
        <x:f>Q422+R422</x:f>
        <x:v>182</x:v>
      </x:c>
      <x:c r="M422" s="19" t="n">
        <x:f>IFERROR(K422/J422,0)</x:f>
        <x:v>0.47619047619047616</x:v>
      </x:c>
      <x:c r="N422" s="19" t="n">
        <x:f>IFERROR(L422/J422,0)</x:f>
        <x:v>0.5098039215686274</x:v>
      </x:c>
      <x:c r="O422" s="17" t="str">
        <x:f>IF(K422&gt;MAX(L422,S422),"קואליציית ההקמה 2022",IF(L422&gt;MAX(K422,S422),"אופוזיציה רחבה 2022","רשימות אחרות"))</x:f>
        <x:v>אופוזיציה רחבה 2022</x:v>
      </x:c>
      <x:c r="P422" s="17" t="str">
        <x:f>IF(AND(H422&lt;50%,N422&gt;50%),"כן","לא")</x:f>
        <x:v>לא</x:v>
      </x:c>
      <x:c r="Q422" s="18" t="n">
        <x:f>SUM(AV422,AJ422,AL422,T422,AN422)</x:f>
        <x:v>180</x:v>
      </x:c>
      <x:c r="R422" s="18" t="n">
        <x:f>SUM(Y422,AU422,X422)</x:f>
        <x:v>2</x:v>
      </x:c>
      <x:c r="S422" s="18" t="n">
        <x:f>J422-K422-L422</x:f>
        <x:v>5</x:v>
      </x:c>
      <x:c r="T422" s="18" t="n">
        <x:v>9</x:v>
      </x:c>
      <x:c r="U422" s="18" t="n">
        <x:v>2</x:v>
      </x:c>
      <x:c r="V422" s="18" t="n">
        <x:v>1</x:v>
      </x:c>
      <x:c r="W422" s="18" t="n">
        <x:v>0</x:v>
      </x:c>
      <x:c r="X422" s="18" t="n">
        <x:v>1</x:v>
      </x:c>
      <x:c r="Y422" s="18" t="n">
        <x:v>1</x:v>
      </x:c>
      <x:c r="Z422" s="18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26</x:v>
      </x:c>
      <x:c r="AE422" s="18" t="n">
        <x:v>0</x:v>
      </x:c>
      <x:c r="AF422" s="18" t="n">
        <x:v>1</x:v>
      </x:c>
      <x:c r="AG422" s="18" t="n">
        <x:v>0</x:v>
      </x:c>
      <x:c r="AH422" s="18" t="n">
        <x:v>0</x:v>
      </x:c>
      <x:c r="AI422" s="18" t="n">
        <x:v>0</x:v>
      </x:c>
      <x:c r="AJ422" s="18" t="n">
        <x:v>55</x:v>
      </x:c>
      <x:c r="AK422" s="18" t="n">
        <x:v>0</x:v>
      </x:c>
      <x:c r="AL422" s="18" t="n">
        <x:v>23</x:v>
      </x:c>
      <x:c r="AM422" s="18" t="n">
        <x:v>138</x:v>
      </x:c>
      <x:c r="AN422" s="18" t="n">
        <x:v>4</x:v>
      </x:c>
      <x:c r="AO422" s="18" t="n">
        <x:v>0</x:v>
      </x:c>
      <x:c r="AP422" s="18" t="n">
        <x:v>0</x:v>
      </x:c>
      <x:c r="AQ422" s="18" t="n">
        <x:v>0</x:v>
      </x:c>
      <x:c r="AR422" s="18" t="n">
        <x:v>0</x:v>
      </x:c>
      <x:c r="AS422" s="18" t="n">
        <x:v>0</x:v>
      </x:c>
      <x:c r="AT422" s="18" t="n">
        <x:v>0</x:v>
      </x:c>
      <x:c r="AU422" s="18" t="n">
        <x:v>0</x:v>
      </x:c>
      <x:c r="AV422" s="18" t="n">
        <x:v>89</x:v>
      </x:c>
      <x:c r="AW422" s="18" t="n">
        <x:v>0</x:v>
      </x:c>
      <x:c r="AX422" s="18" t="n">
        <x:v>0</x:v>
      </x:c>
      <x:c r="AY422" s="18" t="n">
        <x:v>0</x:v>
      </x:c>
      <x:c r="AZ422" s="18" t="n">
        <x:v>0</x:v>
      </x:c>
      <x:c r="BA422" s="18" t="n">
        <x:v>0</x:v>
      </x:c>
      <x:c r="BB422" s="18" t="n">
        <x:v>0</x:v>
      </x:c>
      <x:c r="BC422" s="18" t="n">
        <x:v>0</x:v>
      </x:c>
      <x:c r="BD422" s="18" t="n">
        <x:v>1</x:v>
      </x:c>
      <x:c r="BE422" s="18" t="n">
        <x:v>0</x:v>
      </x:c>
      <x:c r="BF422" s="18" t="n">
        <x:v>6</x:v>
      </x:c>
      <x:c r="BG422" s="18" t="n">
        <x:v>0</x:v>
      </x:c>
    </x:row>
    <x:row r="423">
      <x:c r="A423" s="29" t="str">
        <x:v>966</x:v>
      </x:c>
      <x:c r="B423" s="17" t="n">
        <x:v>3010</x:v>
      </x:c>
      <x:c r="C423" s="17" t="str">
        <x:v>בי"ס נאות פרס</x:v>
      </x:c>
      <x:c r="D423" s="17" t="str">
        <x:v>כיכר ואצלב האוול</x:v>
      </x:c>
      <x:c r="E423" s="17" t="str">
        <x:v>גבוה מאוד</x:v>
      </x:c>
      <x:c r="F423" s="18" t="n">
        <x:v>672</x:v>
      </x:c>
      <x:c r="G423" s="18" t="n">
        <x:v>512</x:v>
      </x:c>
      <x:c r="H423" s="19" t="n">
        <x:f>IFERROR(G423/F423,0)</x:f>
        <x:v>0.7619047619047619</x:v>
      </x:c>
      <x:c r="I423" s="18" t="n">
        <x:v>3</x:v>
      </x:c>
      <x:c r="J423" s="18" t="n">
        <x:v>509</x:v>
      </x:c>
      <x:c r="K423" s="18" t="n">
        <x:f>SUM(AM423,BF423,W423,AD423)</x:f>
        <x:v>185</x:v>
      </x:c>
      <x:c r="L423" s="18" t="n">
        <x:f>Q423+R423</x:f>
        <x:v>318</x:v>
      </x:c>
      <x:c r="M423" s="19" t="n">
        <x:f>IFERROR(K423/J423,0)</x:f>
        <x:v>0.36345776031434185</x:v>
      </x:c>
      <x:c r="N423" s="19" t="n">
        <x:f>IFERROR(L423/J423,0)</x:f>
        <x:v>0.6247544204322201</x:v>
      </x:c>
      <x:c r="O423" s="17" t="str">
        <x:f>IF(K423&gt;MAX(L423,S423),"קואליציית ההקמה 2022",IF(L423&gt;MAX(K423,S423),"אופוזיציה רחבה 2022","רשימות אחרות"))</x:f>
        <x:v>אופוזיציה רחבה 2022</x:v>
      </x:c>
      <x:c r="P423" s="17" t="str">
        <x:f>IF(AND(H423&lt;50%,N423&gt;50%),"כן","לא")</x:f>
        <x:v>לא</x:v>
      </x:c>
      <x:c r="Q423" s="18" t="n">
        <x:f>SUM(AV423,AJ423,AL423,T423,AN423)</x:f>
        <x:v>295</x:v>
      </x:c>
      <x:c r="R423" s="18" t="n">
        <x:f>SUM(Y423,AU423,X423)</x:f>
        <x:v>23</x:v>
      </x:c>
      <x:c r="S423" s="18" t="n">
        <x:f>J423-K423-L423</x:f>
        <x:v>6</x:v>
      </x:c>
      <x:c r="T423" s="18" t="n">
        <x:v>23</x:v>
      </x:c>
      <x:c r="U423" s="18" t="n">
        <x:v>2</x:v>
      </x:c>
      <x:c r="V423" s="18" t="n">
        <x:v>1</x:v>
      </x:c>
      <x:c r="W423" s="18" t="n">
        <x:v>0</x:v>
      </x:c>
      <x:c r="X423" s="18" t="n">
        <x:v>4</x:v>
      </x:c>
      <x:c r="Y423" s="18" t="n">
        <x:v>15</x:v>
      </x:c>
      <x:c r="Z423" s="18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27</x:v>
      </x:c>
      <x:c r="AE423" s="18" t="n">
        <x:v>0</x:v>
      </x:c>
      <x:c r="AF423" s="18" t="n">
        <x:v>1</x:v>
      </x:c>
      <x:c r="AG423" s="18" t="n">
        <x:v>0</x:v>
      </x:c>
      <x:c r="AH423" s="18" t="n">
        <x:v>0</x:v>
      </x:c>
      <x:c r="AI423" s="18" t="n">
        <x:v>0</x:v>
      </x:c>
      <x:c r="AJ423" s="18" t="n">
        <x:v>67</x:v>
      </x:c>
      <x:c r="AK423" s="18" t="n">
        <x:v>1</x:v>
      </x:c>
      <x:c r="AL423" s="18" t="n">
        <x:v>22</x:v>
      </x:c>
      <x:c r="AM423" s="18" t="n">
        <x:v>152</x:v>
      </x:c>
      <x:c r="AN423" s="18" t="n">
        <x:v>14</x:v>
      </x:c>
      <x:c r="AO423" s="18" t="n">
        <x:v>0</x:v>
      </x:c>
      <x:c r="AP423" s="18" t="n">
        <x:v>0</x:v>
      </x:c>
      <x:c r="AQ423" s="18" t="n">
        <x:v>0</x:v>
      </x:c>
      <x:c r="AR423" s="18" t="n">
        <x:v>0</x:v>
      </x:c>
      <x:c r="AS423" s="18" t="n">
        <x:v>0</x:v>
      </x:c>
      <x:c r="AT423" s="18" t="n">
        <x:v>0</x:v>
      </x:c>
      <x:c r="AU423" s="18" t="n">
        <x:v>4</x:v>
      </x:c>
      <x:c r="AV423" s="18" t="n">
        <x:v>169</x:v>
      </x:c>
      <x:c r="AW423" s="18" t="n">
        <x:v>0</x:v>
      </x:c>
      <x:c r="AX423" s="18" t="n">
        <x:v>0</x:v>
      </x:c>
      <x:c r="AY423" s="18" t="n">
        <x:v>0</x:v>
      </x:c>
      <x:c r="AZ423" s="18" t="n">
        <x:v>0</x:v>
      </x:c>
      <x:c r="BA423" s="18" t="n">
        <x:v>0</x:v>
      </x:c>
      <x:c r="BB423" s="18" t="n">
        <x:v>0</x:v>
      </x:c>
      <x:c r="BC423" s="18" t="n">
        <x:v>0</x:v>
      </x:c>
      <x:c r="BD423" s="18" t="n">
        <x:v>1</x:v>
      </x:c>
      <x:c r="BE423" s="18" t="n">
        <x:v>0</x:v>
      </x:c>
      <x:c r="BF423" s="18" t="n">
        <x:v>6</x:v>
      </x:c>
      <x:c r="BG423" s="18" t="n">
        <x:v>0</x:v>
      </x:c>
    </x:row>
    <x:row r="424">
      <x:c r="A424" s="29" t="str">
        <x:v>968</x:v>
      </x:c>
      <x:c r="B424" s="17" t="n">
        <x:v>3011</x:v>
      </x:c>
      <x:c r="C424" s="17" t="str">
        <x:v>בי"ס נאות פרס</x:v>
      </x:c>
      <x:c r="D424" s="17" t="str">
        <x:v>כיכר ואצלב האוול</x:v>
      </x:c>
      <x:c r="E424" s="17" t="str">
        <x:v>גבוה מאוד</x:v>
      </x:c>
      <x:c r="F424" s="18" t="n">
        <x:v>616</x:v>
      </x:c>
      <x:c r="G424" s="18" t="n">
        <x:v>461</x:v>
      </x:c>
      <x:c r="H424" s="19" t="n">
        <x:f>IFERROR(G424/F424,0)</x:f>
        <x:v>0.7483766233766234</x:v>
      </x:c>
      <x:c r="I424" s="18" t="n">
        <x:v>2</x:v>
      </x:c>
      <x:c r="J424" s="18" t="n">
        <x:v>459</x:v>
      </x:c>
      <x:c r="K424" s="18" t="n">
        <x:f>SUM(AM424,BF424,W424,AD424)</x:f>
        <x:v>171</x:v>
      </x:c>
      <x:c r="L424" s="18" t="n">
        <x:f>Q424+R424</x:f>
        <x:v>280</x:v>
      </x:c>
      <x:c r="M424" s="19" t="n">
        <x:f>IFERROR(K424/J424,0)</x:f>
        <x:v>0.37254901960784315</x:v>
      </x:c>
      <x:c r="N424" s="19" t="n">
        <x:f>IFERROR(L424/J424,0)</x:f>
        <x:v>0.6100217864923747</x:v>
      </x:c>
      <x:c r="O424" s="17" t="str">
        <x:f>IF(K424&gt;MAX(L424,S424),"קואליציית ההקמה 2022",IF(L424&gt;MAX(K424,S424),"אופוזיציה רחבה 2022","רשימות אחרות"))</x:f>
        <x:v>אופוזיציה רחבה 2022</x:v>
      </x:c>
      <x:c r="P424" s="17" t="str">
        <x:f>IF(AND(H424&lt;50%,N424&gt;50%),"כן","לא")</x:f>
        <x:v>לא</x:v>
      </x:c>
      <x:c r="Q424" s="18" t="n">
        <x:f>SUM(AV424,AJ424,AL424,T424,AN424)</x:f>
        <x:v>246</x:v>
      </x:c>
      <x:c r="R424" s="18" t="n">
        <x:f>SUM(Y424,AU424,X424)</x:f>
        <x:v>34</x:v>
      </x:c>
      <x:c r="S424" s="18" t="n">
        <x:f>J424-K424-L424</x:f>
        <x:v>8</x:v>
      </x:c>
      <x:c r="T424" s="18" t="n">
        <x:v>12</x:v>
      </x:c>
      <x:c r="U424" s="18" t="n">
        <x:v>2</x:v>
      </x:c>
      <x:c r="V424" s="18" t="n">
        <x:v>1</x:v>
      </x:c>
      <x:c r="W424" s="18" t="n">
        <x:v>0</x:v>
      </x:c>
      <x:c r="X424" s="18" t="n">
        <x:v>11</x:v>
      </x:c>
      <x:c r="Y424" s="18" t="n">
        <x:v>20</x:v>
      </x:c>
      <x:c r="Z424" s="18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26</x:v>
      </x:c>
      <x:c r="AE424" s="18" t="n">
        <x:v>0</x:v>
      </x:c>
      <x:c r="AF424" s="18" t="n">
        <x:v>3</x:v>
      </x:c>
      <x:c r="AG424" s="18" t="n">
        <x:v>0</x:v>
      </x:c>
      <x:c r="AH424" s="18" t="n">
        <x:v>0</x:v>
      </x:c>
      <x:c r="AI424" s="18" t="n">
        <x:v>0</x:v>
      </x:c>
      <x:c r="AJ424" s="18" t="n">
        <x:v>58</x:v>
      </x:c>
      <x:c r="AK424" s="18" t="n">
        <x:v>0</x:v>
      </x:c>
      <x:c r="AL424" s="18" t="n">
        <x:v>30</x:v>
      </x:c>
      <x:c r="AM424" s="18" t="n">
        <x:v>140</x:v>
      </x:c>
      <x:c r="AN424" s="18" t="n">
        <x:v>12</x:v>
      </x:c>
      <x:c r="AO424" s="18" t="n">
        <x:v>0</x:v>
      </x:c>
      <x:c r="AP424" s="18" t="n">
        <x:v>0</x:v>
      </x:c>
      <x:c r="AQ424" s="18" t="n">
        <x:v>0</x:v>
      </x:c>
      <x:c r="AR424" s="18" t="n">
        <x:v>0</x:v>
      </x:c>
      <x:c r="AS424" s="18" t="n">
        <x:v>0</x:v>
      </x:c>
      <x:c r="AT424" s="18" t="n">
        <x:v>0</x:v>
      </x:c>
      <x:c r="AU424" s="18" t="n">
        <x:v>3</x:v>
      </x:c>
      <x:c r="AV424" s="18" t="n">
        <x:v>134</x:v>
      </x:c>
      <x:c r="AW424" s="18" t="n">
        <x:v>0</x:v>
      </x:c>
      <x:c r="AX424" s="18" t="n">
        <x:v>0</x:v>
      </x:c>
      <x:c r="AY424" s="18" t="n">
        <x:v>0</x:v>
      </x:c>
      <x:c r="AZ424" s="18" t="n">
        <x:v>0</x:v>
      </x:c>
      <x:c r="BA424" s="18" t="n">
        <x:v>0</x:v>
      </x:c>
      <x:c r="BB424" s="18" t="n">
        <x:v>0</x:v>
      </x:c>
      <x:c r="BC424" s="18" t="n">
        <x:v>0</x:v>
      </x:c>
      <x:c r="BD424" s="18" t="n">
        <x:v>2</x:v>
      </x:c>
      <x:c r="BE424" s="18" t="n">
        <x:v>0</x:v>
      </x:c>
      <x:c r="BF424" s="18" t="n">
        <x:v>5</x:v>
      </x:c>
      <x:c r="BG424" s="18" t="n">
        <x:v>0</x:v>
      </x:c>
    </x:row>
    <x:row r="425">
      <x:c r="A425" s="29" t="str">
        <x:v>990.1</x:v>
      </x:c>
      <x:c r="B425" s="17" t="n">
        <x:v>2882</x:v>
      </x:c>
      <x:c r="C425" s="17" t="str">
        <x:v>עיריית חיפה - מרכז שירות לתושב</x:v>
      </x:c>
      <x:c r="D425" s="17" t="str">
        <x:v>חסן שוקרי 11</x:v>
      </x:c>
      <x:c r="E425" s="17" t="str">
        <x:v>גבוה מאוד</x:v>
      </x:c>
      <x:c r="F425" s="18" t="n">
        <x:v>564</x:v>
      </x:c>
      <x:c r="G425" s="18" t="n">
        <x:v>153</x:v>
      </x:c>
      <x:c r="H425" s="19" t="n">
        <x:f>IFERROR(G425/F425,0)</x:f>
        <x:v>0.2712765957446808</x:v>
      </x:c>
      <x:c r="I425" s="18" t="n">
        <x:v>2</x:v>
      </x:c>
      <x:c r="J425" s="18" t="n">
        <x:v>151</x:v>
      </x:c>
      <x:c r="K425" s="18" t="n">
        <x:f>SUM(AM425,BF425,W425,AD425)</x:f>
        <x:v>52</x:v>
      </x:c>
      <x:c r="L425" s="18" t="n">
        <x:f>Q425+R425</x:f>
        <x:v>93</x:v>
      </x:c>
      <x:c r="M425" s="19" t="n">
        <x:f>IFERROR(K425/J425,0)</x:f>
        <x:v>0.3443708609271523</x:v>
      </x:c>
      <x:c r="N425" s="19" t="n">
        <x:f>IFERROR(L425/J425,0)</x:f>
        <x:v>0.6158940397350994</x:v>
      </x:c>
      <x:c r="O425" s="17" t="str">
        <x:f>IF(K425&gt;MAX(L425,S425),"קואליציית ההקמה 2022",IF(L425&gt;MAX(K425,S425),"אופוזיציה רחבה 2022","רשימות אחרות"))</x:f>
        <x:v>אופוזיציה רחבה 2022</x:v>
      </x:c>
      <x:c r="P425" s="17" t="str">
        <x:f>IF(AND(H425&lt;50%,N425&gt;50%),"כן","לא")</x:f>
        <x:v>כן</x:v>
      </x:c>
      <x:c r="Q425" s="18" t="n">
        <x:f>SUM(AV425,AJ425,AL425,T425,AN425)</x:f>
        <x:v>46</x:v>
      </x:c>
      <x:c r="R425" s="18" t="n">
        <x:f>SUM(Y425,AU425,X425)</x:f>
        <x:v>47</x:v>
      </x:c>
      <x:c r="S425" s="18" t="n">
        <x:f>J425-K425-L425</x:f>
        <x:v>6</x:v>
      </x:c>
      <x:c r="T425" s="18" t="n">
        <x:v>5</x:v>
      </x:c>
      <x:c r="U425" s="18" t="n">
        <x:v>1</x:v>
      </x:c>
      <x:c r="V425" s="18" t="n">
        <x:v>0</x:v>
      </x:c>
      <x:c r="W425" s="18" t="n">
        <x:v>2</x:v>
      </x:c>
      <x:c r="X425" s="18" t="n">
        <x:v>8</x:v>
      </x:c>
      <x:c r="Y425" s="18" t="n">
        <x:v>35</x:v>
      </x:c>
      <x:c r="Z425" s="18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6</x:v>
      </x:c>
      <x:c r="AE425" s="18" t="n">
        <x:v>0</x:v>
      </x:c>
      <x:c r="AF425" s="18" t="n">
        <x:v>0</x:v>
      </x:c>
      <x:c r="AG425" s="18" t="n">
        <x:v>0</x:v>
      </x:c>
      <x:c r="AH425" s="18" t="n">
        <x:v>0</x:v>
      </x:c>
      <x:c r="AI425" s="18" t="n">
        <x:v>0</x:v>
      </x:c>
      <x:c r="AJ425" s="18" t="n">
        <x:v>2</x:v>
      </x:c>
      <x:c r="AK425" s="18" t="n">
        <x:v>1</x:v>
      </x:c>
      <x:c r="AL425" s="18" t="n">
        <x:v>20</x:v>
      </x:c>
      <x:c r="AM425" s="18" t="n">
        <x:v>39</x:v>
      </x:c>
      <x:c r="AN425" s="18" t="n">
        <x:v>6</x:v>
      </x:c>
      <x:c r="AO425" s="18" t="n">
        <x:v>0</x:v>
      </x:c>
      <x:c r="AP425" s="18" t="n">
        <x:v>0</x:v>
      </x:c>
      <x:c r="AQ425" s="18" t="n">
        <x:v>0</x:v>
      </x:c>
      <x:c r="AR425" s="18" t="n">
        <x:v>0</x:v>
      </x:c>
      <x:c r="AS425" s="18" t="n">
        <x:v>0</x:v>
      </x:c>
      <x:c r="AT425" s="18" t="n">
        <x:v>0</x:v>
      </x:c>
      <x:c r="AU425" s="18" t="n">
        <x:v>4</x:v>
      </x:c>
      <x:c r="AV425" s="18" t="n">
        <x:v>13</x:v>
      </x:c>
      <x:c r="AW425" s="18" t="n">
        <x:v>1</x:v>
      </x:c>
      <x:c r="AX425" s="18" t="n">
        <x:v>0</x:v>
      </x:c>
      <x:c r="AY425" s="18" t="n">
        <x:v>0</x:v>
      </x:c>
      <x:c r="AZ425" s="18" t="n">
        <x:v>1</x:v>
      </x:c>
      <x:c r="BA425" s="18" t="n">
        <x:v>0</x:v>
      </x:c>
      <x:c r="BB425" s="18" t="n">
        <x:v>2</x:v>
      </x:c>
      <x:c r="BC425" s="18" t="n">
        <x:v>0</x:v>
      </x:c>
      <x:c r="BD425" s="18" t="n">
        <x:v>0</x:v>
      </x:c>
      <x:c r="BE425" s="18" t="n">
        <x:v>0</x:v>
      </x:c>
      <x:c r="BF425" s="18" t="n">
        <x:v>5</x:v>
      </x:c>
      <x:c r="BG425" s="18" t="n">
        <x:v>0</x:v>
      </x:c>
    </x:row>
    <x:row r="426">
      <x:c r="A426" s="29" t="str">
        <x:v>990.2</x:v>
      </x:c>
      <x:c r="B426" s="17" t="n">
        <x:v>2883</x:v>
      </x:c>
      <x:c r="C426" s="17" t="str">
        <x:v>עיריית חיפה - מרכז שירות לתושב</x:v>
      </x:c>
      <x:c r="D426" s="17" t="str">
        <x:v>חסן שוקרי 11</x:v>
      </x:c>
      <x:c r="E426" s="17" t="str">
        <x:v>גבוה מאוד</x:v>
      </x:c>
      <x:c r="F426" s="18" t="n">
        <x:v>564</x:v>
      </x:c>
      <x:c r="G426" s="18" t="n">
        <x:v>141</x:v>
      </x:c>
      <x:c r="H426" s="19" t="n">
        <x:f>IFERROR(G426/F426,0)</x:f>
        <x:v>0.25</x:v>
      </x:c>
      <x:c r="I426" s="18" t="n">
        <x:v>1</x:v>
      </x:c>
      <x:c r="J426" s="18" t="n">
        <x:v>140</x:v>
      </x:c>
      <x:c r="K426" s="18" t="n">
        <x:f>SUM(AM426,BF426,W426,AD426)</x:f>
        <x:v>53</x:v>
      </x:c>
      <x:c r="L426" s="18" t="n">
        <x:f>Q426+R426</x:f>
        <x:v>86</x:v>
      </x:c>
      <x:c r="M426" s="19" t="n">
        <x:f>IFERROR(K426/J426,0)</x:f>
        <x:v>0.37857142857142856</x:v>
      </x:c>
      <x:c r="N426" s="19" t="n">
        <x:f>IFERROR(L426/J426,0)</x:f>
        <x:v>0.6142857142857143</x:v>
      </x:c>
      <x:c r="O426" s="17" t="str">
        <x:f>IF(K426&gt;MAX(L426,S426),"קואליציית ההקמה 2022",IF(L426&gt;MAX(K426,S426),"אופוזיציה רחבה 2022","רשימות אחרות"))</x:f>
        <x:v>אופוזיציה רחבה 2022</x:v>
      </x:c>
      <x:c r="P426" s="17" t="str">
        <x:f>IF(AND(H426&lt;50%,N426&gt;50%),"כן","לא")</x:f>
        <x:v>כן</x:v>
      </x:c>
      <x:c r="Q426" s="18" t="n">
        <x:f>SUM(AV426,AJ426,AL426,T426,AN426)</x:f>
        <x:v>44</x:v>
      </x:c>
      <x:c r="R426" s="18" t="n">
        <x:f>SUM(Y426,AU426,X426)</x:f>
        <x:v>42</x:v>
      </x:c>
      <x:c r="S426" s="18" t="n">
        <x:f>J426-K426-L426</x:f>
        <x:v>1</x:v>
      </x:c>
      <x:c r="T426" s="18" t="n">
        <x:v>4</x:v>
      </x:c>
      <x:c r="U426" s="18" t="n">
        <x:v>1</x:v>
      </x:c>
      <x:c r="V426" s="18" t="n">
        <x:v>0</x:v>
      </x:c>
      <x:c r="W426" s="18" t="n">
        <x:v>1</x:v>
      </x:c>
      <x:c r="X426" s="18" t="n">
        <x:v>7</x:v>
      </x:c>
      <x:c r="Y426" s="18" t="n">
        <x:v>30</x:v>
      </x:c>
      <x:c r="Z426" s="18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6</x:v>
      </x:c>
      <x:c r="AE426" s="18" t="n">
        <x:v>0</x:v>
      </x:c>
      <x:c r="AF426" s="18" t="n">
        <x:v>0</x:v>
      </x:c>
      <x:c r="AG426" s="18" t="n">
        <x:v>0</x:v>
      </x:c>
      <x:c r="AH426" s="18" t="n">
        <x:v>0</x:v>
      </x:c>
      <x:c r="AI426" s="18" t="n">
        <x:v>0</x:v>
      </x:c>
      <x:c r="AJ426" s="18" t="n">
        <x:v>7</x:v>
      </x:c>
      <x:c r="AK426" s="18" t="n">
        <x:v>0</x:v>
      </x:c>
      <x:c r="AL426" s="18" t="n">
        <x:v>14</x:v>
      </x:c>
      <x:c r="AM426" s="18" t="n">
        <x:v>45</x:v>
      </x:c>
      <x:c r="AN426" s="18" t="n">
        <x:v>4</x:v>
      </x:c>
      <x:c r="AO426" s="18" t="n">
        <x:v>0</x:v>
      </x:c>
      <x:c r="AP426" s="18" t="n">
        <x:v>0</x:v>
      </x:c>
      <x:c r="AQ426" s="18" t="n">
        <x:v>0</x:v>
      </x:c>
      <x:c r="AR426" s="18" t="n">
        <x:v>0</x:v>
      </x:c>
      <x:c r="AS426" s="18" t="n">
        <x:v>0</x:v>
      </x:c>
      <x:c r="AT426" s="18" t="n">
        <x:v>0</x:v>
      </x:c>
      <x:c r="AU426" s="18" t="n">
        <x:v>5</x:v>
      </x:c>
      <x:c r="AV426" s="18" t="n">
        <x:v>15</x:v>
      </x:c>
      <x:c r="AW426" s="18" t="n">
        <x:v>0</x:v>
      </x:c>
      <x:c r="AX426" s="18" t="n">
        <x:v>0</x:v>
      </x:c>
      <x:c r="AY426" s="18" t="n">
        <x:v>0</x:v>
      </x:c>
      <x:c r="AZ426" s="18" t="n">
        <x:v>0</x:v>
      </x:c>
      <x:c r="BA426" s="18" t="n">
        <x:v>0</x:v>
      </x:c>
      <x:c r="BB426" s="18" t="n">
        <x:v>0</x:v>
      </x:c>
      <x:c r="BC426" s="18" t="n">
        <x:v>0</x:v>
      </x:c>
      <x:c r="BD426" s="18" t="n">
        <x:v>0</x:v>
      </x:c>
      <x:c r="BE426" s="18" t="n">
        <x:v>0</x:v>
      </x:c>
      <x:c r="BF426" s="18" t="n">
        <x:v>1</x:v>
      </x:c>
      <x:c r="BG426" s="18" t="n">
        <x:v>0</x:v>
      </x:c>
    </x:row>
  </x:sheetData>
  <x:mergeCells>
    <x:mergeCell ref="A1:BG1"/>
  </x:mergeCells>
  <x:conditionalFormatting sqref="H3:H42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3:N426">
    <x:cfRule type="colorScale" priority="2">
      <x:colorScale>
        <x:cfvo type="min"/>
        <x:cfvo type="percentile" val="50"/>
        <x:cfvo type="max"/>
        <x:color rgb="FFFDE2E2"/>
        <x:color rgb="FFEAF4F7"/>
        <x:color rgb="FF5B9BD5"/>
      </x:colorScale>
    </x:cfRule>
  </x:conditionalFormatting>
  <x:conditionalFormatting sqref="P3:P426">
    <x:cfRule type="containsText" dxfId="4" priority="3" operator="containsText" text="כן"/>
  </x:conditionalFormatting>
  <x:pageMargins left="0.7" right="0.7" top="0.75" bottom="0.75" header="0.3" footer="0.3"/>
  <x:tableParts count="1">
    <x:tablePart xmlns:r="http://schemas.openxmlformats.org/officeDocument/2006/relationships" r:id="R63d0953be6a54e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41.11000061035156" hidden="0" customWidth="1"/>
    <x:col min="3" max="3" width="46.66999816894531" hidden="0" customWidth="1"/>
    <x:col min="4" max="4" width="33.33000183105469" hidden="0" customWidth="1"/>
    <x:col min="5" max="5" width="11.109999656677246" hidden="0" customWidth="1"/>
  </x:cols>
  <x:sheetData>
    <x:row r="1" ht="34" customHeight="1">
      <x:c r="A1" s="36" t="str">
        <x:v>מקורות, הגדרות ומתודולוגיה</x:v>
      </x:c>
      <x:c r="B1" s="36" t="str">
        <x:v>מקורות, הגדרות ומתודולוגיה</x:v>
      </x:c>
      <x:c r="C1" s="36" t="str">
        <x:v>מקורות, הגדרות ומתודולוגיה</x:v>
      </x:c>
      <x:c r="D1" s="36" t="str">
        <x:v>מקורות, הגדרות ומתודולוגיה</x:v>
      </x:c>
      <x:c r="E1" s="36" t="str">
        <x:v>מקורות, הגדרות ומתודולוגיה</x:v>
      </x:c>
    </x:row>
    <x:row r="2">
      <x:c r="A2" s="37"/>
      <x:c r="B2" s="37"/>
      <x:c r="C2" s="37"/>
      <x:c r="D2" s="37"/>
      <x:c r="E2" s="37"/>
    </x:row>
    <x:row r="3" ht="34" customHeight="1">
      <x:c r="A3" s="14" t="str">
        <x:v>מקור</x:v>
      </x:c>
      <x:c r="B3" s="14" t="str">
        <x:v>תפקיד במאגר</x:v>
      </x:c>
      <x:c r="C3" s="14" t="str">
        <x:v>קישור</x:v>
      </x:c>
      <x:c r="D3" s="14" t="str">
        <x:v>הערה</x:v>
      </x:c>
      <x:c r="E3" s="37"/>
    </x:row>
    <x:row r="4">
      <x:c r="A4" s="25" t="str">
        <x:v>תוצאות רשמיות לפי קלפי - הכנסת ה-25</x:v>
      </x:c>
      <x:c r="B4" s="25" t="str">
        <x:v>מספר מצביעים, בעלי זכות, כשרים/פסולים וקולות לכל רשימה</x:v>
      </x:c>
      <x:c r="C4" s="25" t="str">
        <x:v>https://media25.bechirot.gov.il/files/expb.csv</x:v>
      </x:c>
      <x:c r="D4" s="25" t="str"/>
      <x:c r="E4" s="37"/>
    </x:row>
    <x:row r="5">
      <x:c r="A5" s="25" t="str">
        <x:v>דף תוצאות קלפיות חיפה - הכנסת ה-25</x:v>
      </x:c>
      <x:c r="B5" s="25" t="str">
        <x:v>שם אתר הקלפי ומספר הברזל לכל קלפי</x:v>
      </x:c>
      <x:c r="C5" s="25" t="str">
        <x:v>https://votes25.bechirot.gov.il/ballotresults?BallotNumber=2&amp;cityID=4000</x:v>
      </x:c>
      <x:c r="D5" s="25" t="str"/>
      <x:c r="E5" s="37"/>
    </x:row>
    <x:row r="6">
      <x:c r="A6" s="25" t="str">
        <x:v>הודעת בחירות רשמית - חיפה 2024</x:v>
      </x:c>
      <x:c r="B6" s="25" t="str">
        <x:v>מקור ההצלבה העיקרי למספר קלפי, שם אתר וכתובת</x:v>
      </x:c>
      <x:c r="C6" s="25" t="str">
        <x:v>https://www.haifa.muni.il/wp-content/uploads/2024/03/%D7%94%D7%95%D7%93%D7%A2%D7%AA-%D7%91%D7%97%D7%99%D7%A8%D7%95%D7%AA-%D7%97%D7%95%D7%96%D7%A8%D7%95%D7%AA-%D7%9C%D7%A4%D7%A8%D7%A1%D7%95%D7%9D.pdf</x:v>
      </x:c>
      <x:c r="D6" s="25" t="str">
        <x:v>מקור סמוך בזמן, אך לא רשימת טופס א' של בחירות הכנסת ה-25</x:v>
      </x:c>
      <x:c r="E6" s="37"/>
    </x:row>
    <x:row r="7">
      <x:c r="A7" s="25" t="str">
        <x:v>מאגר קלפיות ממשלתי היסטורי (2016)</x:v>
      </x:c>
      <x:c r="B7" s="25" t="str">
        <x:v>מקור משלים לכתובות שאינן מופיעות ברשימת 2024</x:v>
      </x:c>
      <x:c r="C7" s="25" t="str">
        <x:v>https://data.gov.il/api/3/action/datastore_search?resource_id=68c4d7e8-2218-48ee-996f-2db2f72b2395</x:v>
      </x:c>
      <x:c r="D7" s="25" t="str"/>
      <x:c r="E7" s="37"/>
    </x:row>
    <x:row r="8">
      <x:c r="A8" s="25" t="str">
        <x:v>עיריית חיפה - מוסדות חינוך</x:v>
      </x:c>
      <x:c r="B8" s="25" t="str">
        <x:v>מקור משלים לשמות וכתובות מוסדות חינוך</x:v>
      </x:c>
      <x:c r="C8" s="25" t="str">
        <x:v>https://opendata.haifa.muni.il/dataset/3399b3a2-cb63-4149-bd23-287a99405e15/resource/5d7bbca6-0e6d-42aa-a31a-36329779558f/download/gis.geojson</x:v>
      </x:c>
      <x:c r="D8" s="25" t="str"/>
      <x:c r="E8" s="37"/>
    </x:row>
    <x:row r="9">
      <x:c r="A9" s="37"/>
      <x:c r="B9" s="37"/>
      <x:c r="C9" s="37"/>
      <x:c r="D9" s="37"/>
      <x:c r="E9" s="37"/>
    </x:row>
    <x:row r="10">
      <x:c r="A10" s="37"/>
      <x:c r="B10" s="37"/>
      <x:c r="C10" s="37"/>
      <x:c r="D10" s="37"/>
      <x:c r="E10" s="37"/>
    </x:row>
    <x:row r="11" ht="34" customHeight="1">
      <x:c r="A11" s="14" t="str">
        <x:v>קוד רשימה</x:v>
      </x:c>
      <x:c r="B11" s="14" t="str">
        <x:v>סיווג אנליטי</x:v>
      </x:c>
      <x:c r="C11" s="14" t="str">
        <x:v>הערה</x:v>
      </x:c>
      <x:c r="D11" s="37"/>
      <x:c r="E11" s="37"/>
    </x:row>
    <x:row r="12">
      <x:c r="A12" s="25" t="str">
        <x:v>אמת</x:v>
      </x:c>
      <x:c r="B12" s="25" t="str">
        <x:v>אופוזיציה ציונית 2022</x:v>
      </x:c>
      <x:c r="C12" s="25" t="str"/>
      <x:c r="D12" s="37"/>
      <x:c r="E12" s="37"/>
    </x:row>
    <x:row r="13">
      <x:c r="A13" s="25" t="str">
        <x:v>אצ</x:v>
      </x:c>
      <x:c r="B13" s="25" t="str">
        <x:v>רשימות אחרות</x:v>
      </x:c>
      <x:c r="C13" s="25" t="str"/>
      <x:c r="D13" s="37"/>
      <x:c r="E13" s="37"/>
    </x:row>
    <x:row r="14">
      <x:c r="A14" s="25" t="str">
        <x:v>ב</x:v>
      </x:c>
      <x:c r="B14" s="25" t="str">
        <x:v>רשימות אחרות</x:v>
      </x:c>
      <x:c r="C14" s="25" t="str"/>
      <x:c r="D14" s="37"/>
      <x:c r="E14" s="37"/>
    </x:row>
    <x:row r="15">
      <x:c r="A15" s="25" t="str">
        <x:v>ג</x:v>
      </x:c>
      <x:c r="B15" s="25" t="str">
        <x:v>קואליציית ההקמה 2022</x:v>
      </x:c>
      <x:c r="C15" s="25" t="str"/>
      <x:c r="D15" s="37"/>
      <x:c r="E15" s="37"/>
    </x:row>
    <x:row r="16">
      <x:c r="A16" s="25" t="str">
        <x:v>ד</x:v>
      </x:c>
      <x:c r="B16" s="25" t="str">
        <x:v>רשימות ערביות 2022</x:v>
      </x:c>
      <x:c r="C16" s="25" t="str"/>
      <x:c r="D16" s="37"/>
      <x:c r="E16" s="37"/>
    </x:row>
    <x:row r="17">
      <x:c r="A17" s="25" t="str">
        <x:v>ום</x:v>
      </x:c>
      <x:c r="B17" s="25" t="str">
        <x:v>רשימות ערביות 2022</x:v>
      </x:c>
      <x:c r="C17" s="25" t="str"/>
      <x:c r="D17" s="37"/>
      <x:c r="E17" s="37"/>
    </x:row>
    <x:row r="18">
      <x:c r="A18" s="25" t="str">
        <x:v>ז</x:v>
      </x:c>
      <x:c r="B18" s="25" t="str">
        <x:v>רשימות אחרות</x:v>
      </x:c>
      <x:c r="C18" s="25" t="str"/>
      <x:c r="D18" s="37"/>
      <x:c r="E18" s="37"/>
    </x:row>
    <x:row r="19">
      <x:c r="A19" s="25" t="str">
        <x:v>זך</x:v>
      </x:c>
      <x:c r="B19" s="25" t="str">
        <x:v>רשימות אחרות</x:v>
      </x:c>
      <x:c r="C19" s="25" t="str"/>
      <x:c r="D19" s="37"/>
      <x:c r="E19" s="37"/>
    </x:row>
    <x:row r="20">
      <x:c r="A20" s="25" t="str">
        <x:v>זנ</x:v>
      </x:c>
      <x:c r="B20" s="25" t="str">
        <x:v>רשימות אחרות</x:v>
      </x:c>
      <x:c r="C20" s="25" t="str"/>
      <x:c r="D20" s="37"/>
      <x:c r="E20" s="37"/>
    </x:row>
    <x:row r="21">
      <x:c r="A21" s="25" t="str">
        <x:v>זץ</x:v>
      </x:c>
      <x:c r="B21" s="25" t="str">
        <x:v>רשימות אחרות</x:v>
      </x:c>
      <x:c r="C21" s="25" t="str"/>
      <x:c r="D21" s="37"/>
      <x:c r="E21" s="37"/>
    </x:row>
    <x:row r="22">
      <x:c r="A22" s="25" t="str">
        <x:v>ט</x:v>
      </x:c>
      <x:c r="B22" s="25" t="str">
        <x:v>קואליציית ההקמה 2022</x:v>
      </x:c>
      <x:c r="C22" s="25" t="str"/>
      <x:c r="D22" s="37"/>
      <x:c r="E22" s="37"/>
    </x:row>
    <x:row r="23">
      <x:c r="A23" s="25" t="str">
        <x:v>י</x:v>
      </x:c>
      <x:c r="B23" s="25" t="str">
        <x:v>רשימות אחרות</x:v>
      </x:c>
      <x:c r="C23" s="25" t="str"/>
      <x:c r="D23" s="37"/>
      <x:c r="E23" s="37"/>
    </x:row>
    <x:row r="24">
      <x:c r="A24" s="25" t="str">
        <x:v>יז</x:v>
      </x:c>
      <x:c r="B24" s="25" t="str">
        <x:v>רשימות אחרות</x:v>
      </x:c>
      <x:c r="C24" s="25" t="str"/>
      <x:c r="D24" s="37"/>
      <x:c r="E24" s="37"/>
    </x:row>
    <x:row r="25">
      <x:c r="A25" s="25" t="str">
        <x:v>ינ</x:v>
      </x:c>
      <x:c r="B25" s="25" t="str">
        <x:v>רשימות אחרות</x:v>
      </x:c>
      <x:c r="C25" s="25" t="str"/>
      <x:c r="D25" s="37"/>
      <x:c r="E25" s="37"/>
    </x:row>
    <x:row r="26">
      <x:c r="A26" s="25" t="str">
        <x:v>יץ</x:v>
      </x:c>
      <x:c r="B26" s="25" t="str">
        <x:v>רשימות אחרות</x:v>
      </x:c>
      <x:c r="C26" s="25" t="str"/>
      <x:c r="D26" s="37"/>
      <x:c r="E26" s="37"/>
    </x:row>
    <x:row r="27">
      <x:c r="A27" s="25" t="str">
        <x:v>יק</x:v>
      </x:c>
      <x:c r="B27" s="25" t="str">
        <x:v>רשימות אחרות</x:v>
      </x:c>
      <x:c r="C27" s="25" t="str"/>
      <x:c r="D27" s="37"/>
      <x:c r="E27" s="37"/>
    </x:row>
    <x:row r="28">
      <x:c r="A28" s="25" t="str">
        <x:v>כן</x:v>
      </x:c>
      <x:c r="B28" s="25" t="str">
        <x:v>אופוזיציה ציונית 2022</x:v>
      </x:c>
      <x:c r="C28" s="25" t="str"/>
      <x:c r="D28" s="37"/>
      <x:c r="E28" s="37"/>
    </x:row>
    <x:row r="29">
      <x:c r="A29" s="25" t="str">
        <x:v>ך</x:v>
      </x:c>
      <x:c r="B29" s="25" t="str">
        <x:v>רשימות אחרות</x:v>
      </x:c>
      <x:c r="C29" s="25" t="str"/>
      <x:c r="D29" s="37"/>
      <x:c r="E29" s="37"/>
    </x:row>
    <x:row r="30">
      <x:c r="A30" s="25" t="str">
        <x:v>ל</x:v>
      </x:c>
      <x:c r="B30" s="25" t="str">
        <x:v>אופוזיציה ציונית 2022</x:v>
      </x:c>
      <x:c r="C30" s="25" t="str"/>
      <x:c r="D30" s="37"/>
      <x:c r="E30" s="37"/>
    </x:row>
    <x:row r="31">
      <x:c r="A31" s="25" t="str">
        <x:v>מחל</x:v>
      </x:c>
      <x:c r="B31" s="25" t="str">
        <x:v>קואליציית ההקמה 2022</x:v>
      </x:c>
      <x:c r="C31" s="25" t="str"/>
      <x:c r="D31" s="37"/>
      <x:c r="E31" s="37"/>
    </x:row>
    <x:row r="32">
      <x:c r="A32" s="25" t="str">
        <x:v>מרצ</x:v>
      </x:c>
      <x:c r="B32" s="25" t="str">
        <x:v>אופוזיציה ציונית 2022</x:v>
      </x:c>
      <x:c r="C32" s="25" t="str"/>
      <x:c r="D32" s="37"/>
      <x:c r="E32" s="37"/>
    </x:row>
    <x:row r="33">
      <x:c r="A33" s="25" t="str">
        <x:v>נז</x:v>
      </x:c>
      <x:c r="B33" s="25" t="str">
        <x:v>רשימות אחרות</x:v>
      </x:c>
      <x:c r="C33" s="25" t="str"/>
      <x:c r="D33" s="37"/>
      <x:c r="E33" s="37"/>
    </x:row>
    <x:row r="34">
      <x:c r="A34" s="25" t="str">
        <x:v>ני</x:v>
      </x:c>
      <x:c r="B34" s="25" t="str">
        <x:v>רשימות אחרות</x:v>
      </x:c>
      <x:c r="C34" s="25" t="str"/>
      <x:c r="D34" s="37"/>
      <x:c r="E34" s="37"/>
    </x:row>
    <x:row r="35">
      <x:c r="A35" s="25" t="str">
        <x:v>נף</x:v>
      </x:c>
      <x:c r="B35" s="25" t="str">
        <x:v>רשימות אחרות</x:v>
      </x:c>
      <x:c r="C35" s="25" t="str"/>
      <x:c r="D35" s="37"/>
      <x:c r="E35" s="37"/>
    </x:row>
    <x:row r="36">
      <x:c r="A36" s="25" t="str">
        <x:v>נץ</x:v>
      </x:c>
      <x:c r="B36" s="25" t="str">
        <x:v>רשימות אחרות</x:v>
      </x:c>
      <x:c r="C36" s="25" t="str"/>
      <x:c r="D36" s="37"/>
      <x:c r="E36" s="37"/>
    </x:row>
    <x:row r="37">
      <x:c r="A37" s="25" t="str">
        <x:v>נק</x:v>
      </x:c>
      <x:c r="B37" s="25" t="str">
        <x:v>רשימות אחרות</x:v>
      </x:c>
      <x:c r="C37" s="25" t="str"/>
      <x:c r="D37" s="37"/>
      <x:c r="E37" s="37"/>
    </x:row>
    <x:row r="38">
      <x:c r="A38" s="25" t="str">
        <x:v>נר</x:v>
      </x:c>
      <x:c r="B38" s="25" t="str">
        <x:v>רשימות אחרות</x:v>
      </x:c>
      <x:c r="C38" s="25" t="str"/>
      <x:c r="D38" s="37"/>
      <x:c r="E38" s="37"/>
    </x:row>
    <x:row r="39">
      <x:c r="A39" s="25" t="str">
        <x:v>עם</x:v>
      </x:c>
      <x:c r="B39" s="25" t="str">
        <x:v>רשימות ערביות 2022</x:v>
      </x:c>
      <x:c r="C39" s="25" t="str"/>
      <x:c r="D39" s="37"/>
      <x:c r="E39" s="37"/>
    </x:row>
    <x:row r="40">
      <x:c r="A40" s="25" t="str">
        <x:v>פה</x:v>
      </x:c>
      <x:c r="B40" s="25" t="str">
        <x:v>אופוזיציה ציונית 2022</x:v>
      </x:c>
      <x:c r="C40" s="25" t="str"/>
      <x:c r="D40" s="37"/>
      <x:c r="E40" s="37"/>
    </x:row>
    <x:row r="41">
      <x:c r="A41" s="25" t="str">
        <x:v>ף</x:v>
      </x:c>
      <x:c r="B41" s="25" t="str">
        <x:v>רשימות אחרות</x:v>
      </x:c>
      <x:c r="C41" s="25" t="str"/>
      <x:c r="D41" s="37"/>
      <x:c r="E41" s="37"/>
    </x:row>
    <x:row r="42">
      <x:c r="A42" s="25" t="str">
        <x:v>צ</x:v>
      </x:c>
      <x:c r="B42" s="25" t="str">
        <x:v>רשימות אחרות</x:v>
      </x:c>
      <x:c r="C42" s="25" t="str"/>
      <x:c r="D42" s="37"/>
      <x:c r="E42" s="37"/>
    </x:row>
    <x:row r="43">
      <x:c r="A43" s="25" t="str">
        <x:v>ץ</x:v>
      </x:c>
      <x:c r="B43" s="25" t="str">
        <x:v>רשימות אחרות</x:v>
      </x:c>
      <x:c r="C43" s="25" t="str"/>
      <x:c r="D43" s="37"/>
      <x:c r="E43" s="37"/>
    </x:row>
    <x:row r="44">
      <x:c r="A44" s="25" t="str">
        <x:v>ק</x:v>
      </x:c>
      <x:c r="B44" s="25" t="str">
        <x:v>רשימות אחרות</x:v>
      </x:c>
      <x:c r="C44" s="25" t="str"/>
      <x:c r="D44" s="37"/>
      <x:c r="E44" s="37"/>
    </x:row>
    <x:row r="45">
      <x:c r="A45" s="25" t="str">
        <x:v>קי</x:v>
      </x:c>
      <x:c r="B45" s="25" t="str">
        <x:v>רשימות אחרות</x:v>
      </x:c>
      <x:c r="C45" s="25" t="str"/>
      <x:c r="D45" s="37"/>
      <x:c r="E45" s="37"/>
    </x:row>
    <x:row r="46">
      <x:c r="A46" s="25" t="str">
        <x:v>קך</x:v>
      </x:c>
      <x:c r="B46" s="25" t="str">
        <x:v>רשימות אחרות</x:v>
      </x:c>
      <x:c r="C46" s="25" t="str"/>
      <x:c r="D46" s="37"/>
      <x:c r="E46" s="37"/>
    </x:row>
    <x:row r="47">
      <x:c r="A47" s="25" t="str">
        <x:v>קנ</x:v>
      </x:c>
      <x:c r="B47" s="25" t="str">
        <x:v>רשימות אחרות</x:v>
      </x:c>
      <x:c r="C47" s="25" t="str"/>
      <x:c r="D47" s="37"/>
      <x:c r="E47" s="37"/>
    </x:row>
    <x:row r="48">
      <x:c r="A48" s="25" t="str">
        <x:v>קץ</x:v>
      </x:c>
      <x:c r="B48" s="25" t="str">
        <x:v>רשימות אחרות</x:v>
      </x:c>
      <x:c r="C48" s="25" t="str"/>
      <x:c r="D48" s="37"/>
      <x:c r="E48" s="37"/>
    </x:row>
    <x:row r="49">
      <x:c r="A49" s="25" t="str">
        <x:v>רז</x:v>
      </x:c>
      <x:c r="B49" s="25" t="str">
        <x:v>רשימות אחרות</x:v>
      </x:c>
      <x:c r="C49" s="25" t="str"/>
      <x:c r="D49" s="37"/>
      <x:c r="E49" s="37"/>
    </x:row>
    <x:row r="50">
      <x:c r="A50" s="25" t="str">
        <x:v>שס</x:v>
      </x:c>
      <x:c r="B50" s="25" t="str">
        <x:v>קואליציית ההקמה 2022</x:v>
      </x:c>
      <x:c r="C50" s="25" t="str"/>
      <x:c r="D50" s="37"/>
      <x:c r="E50" s="37"/>
    </x:row>
    <x:row r="51">
      <x:c r="A51" s="25" t="str">
        <x:v>ת</x:v>
      </x:c>
      <x:c r="B51" s="25" t="str">
        <x:v>רשימות אחרות</x:v>
      </x:c>
      <x:c r="C51" s="25" t="str"/>
      <x:c r="D51" s="37"/>
      <x:c r="E51" s="37"/>
    </x:row>
    <x:row r="52">
      <x:c r="A52" s="37"/>
      <x:c r="B52" s="37"/>
      <x:c r="C52" s="37"/>
      <x:c r="D52" s="37"/>
      <x:c r="E52" s="37"/>
    </x:row>
    <x:row r="53">
      <x:c r="A53" s="37"/>
      <x:c r="B53" s="37"/>
      <x:c r="C53" s="37"/>
      <x:c r="D53" s="37"/>
      <x:c r="E53" s="37"/>
    </x:row>
    <x:row r="54" ht="34" customHeight="1">
      <x:c r="A54" s="14" t="str">
        <x:v>רמת ביטחון</x:v>
      </x:c>
      <x:c r="B54" s="14" t="str">
        <x:v>כלל</x:v>
      </x:c>
      <x:c r="C54" s="14" t="str">
        <x:v>משמעות</x:v>
      </x:c>
      <x:c r="D54" s="37"/>
      <x:c r="E54" s="37"/>
    </x:row>
    <x:row r="55">
      <x:c r="A55" s="25" t="str">
        <x:v>גבוה מאוד</x:v>
      </x:c>
      <x:c r="B55" s="25" t="str">
        <x:v>מספר קלפי בסיסי + שם אתר זהים ברשימת 2024</x:v>
      </x:c>
      <x:c r="C55" s="25" t="str">
        <x:v>מתאים לעבודה אנליטית; עדיין אינו אימות ישיר מול טופס א' 2022</x:v>
      </x:c>
      <x:c r="D55" s="37"/>
      <x:c r="E55" s="37"/>
    </x:row>
    <x:row r="56">
      <x:c r="A56" s="25" t="str">
        <x:v>גבוה</x:v>
      </x:c>
      <x:c r="B56" s="25" t="str">
        <x:v>שם ייחודי, הכרעה לפי מספר, או הצלבה בין שני מקורות</x:v>
      </x:c>
      <x:c r="C56" s="25" t="str">
        <x:v>סביר מאוד; מומלץ לעבור על חריגים לפני פרסום</x:v>
      </x:c>
      <x:c r="D56" s="37"/>
      <x:c r="E56" s="37"/>
    </x:row>
    <x:row r="57">
      <x:c r="A57" s="25" t="str">
        <x:v>בינוני-גבוה</x:v>
      </x:c>
      <x:c r="B57" s="25" t="str">
        <x:v>מקור משלים בלבד</x:v>
      </x:c>
      <x:c r="C57" s="25" t="str">
        <x:v>בדיקה ממוקדת נדרשת</x:v>
      </x:c>
      <x:c r="D57" s="37"/>
      <x:c r="E57" s="37"/>
    </x:row>
    <x:row r="58">
      <x:c r="A58" s="37"/>
      <x:c r="B58" s="37"/>
      <x:c r="C58" s="37"/>
      <x:c r="D58" s="37"/>
      <x:c r="E58" s="37"/>
    </x:row>
    <x:row r="59">
      <x:c r="A59" s="34" t="str">
        <x:v>סיווג אנליטי לפי מחנות הכנסת ה-25; אינו טענה על חברות פורמלית באופוזיציה בכל מועד מאוחר יותר.</x:v>
      </x:c>
      <x:c r="B59" s="34" t="str">
        <x:v>סיווג אנליטי לפי מחנות הכנסת ה-25; אינו טענה על חברות פורמלית באופוזיציה בכל מועד מאוחר יותר.</x:v>
      </x:c>
      <x:c r="C59" s="34" t="str">
        <x:v>סיווג אנליטי לפי מחנות הכנסת ה-25; אינו טענה על חברות פורמלית באופוזיציה בכל מועד מאוחר יותר.</x:v>
      </x:c>
      <x:c r="D59" s="34" t="str">
        <x:v>סיווג אנליטי לפי מחנות הכנסת ה-25; אינו טענה על חברות פורמלית באופוזיציה בכל מועד מאוחר יותר.</x:v>
      </x:c>
      <x:c r="E59" s="34" t="str">
        <x:v>סיווג אנליטי לפי מחנות הכנסת ה-25; אינו טענה על חברות פורמלית באופוזיציה בכל מועד מאוחר יותר.</x:v>
      </x:c>
    </x:row>
    <x:row r="60">
      <x:c r="A60" s="34" t="str">
        <x:v>סיווג אנליטי לפי מחנות הכנסת ה-25; אינו טענה על חברות פורמלית באופוזיציה בכל מועד מאוחר יותר.</x:v>
      </x:c>
      <x:c r="B60" s="34" t="str">
        <x:v>סיווג אנליטי לפי מחנות הכנסת ה-25; אינו טענה על חברות פורמלית באופוזיציה בכל מועד מאוחר יותר.</x:v>
      </x:c>
      <x:c r="C60" s="34" t="str">
        <x:v>סיווג אנליטי לפי מחנות הכנסת ה-25; אינו טענה על חברות פורמלית באופוזיציה בכל מועד מאוחר יותר.</x:v>
      </x:c>
      <x:c r="D60" s="34" t="str">
        <x:v>סיווג אנליטי לפי מחנות הכנסת ה-25; אינו טענה על חברות פורמלית באופוזיציה בכל מועד מאוחר יותר.</x:v>
      </x:c>
      <x:c r="E60" s="34" t="str">
        <x:v>סיווג אנליטי לפי מחנות הכנסת ה-25; אינו טענה על חברות פורמלית באופוזיציה בכל מועד מאוחר יותר.</x:v>
      </x:c>
    </x:row>
  </x:sheetData>
  <x:mergeCells>
    <x:mergeCell ref="A1:E1"/>
    <x:mergeCell ref="A59:E60"/>
  </x:mergeCells>
  <x:pageMargins left="0.7" right="0.7" top="0.75" bottom="0.75" header="0.3" footer="0.3"/>
  <x:tableParts count="1">
    <x:tablePart xmlns:r="http://schemas.openxmlformats.org/officeDocument/2006/relationships" r:id="Re19c595f8e7c4774"/>
  </x:tableParts>
</x:worksheet>
</file>